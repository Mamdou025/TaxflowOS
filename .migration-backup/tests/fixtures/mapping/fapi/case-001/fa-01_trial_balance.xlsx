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mgcan-my.sharepoint.com/personal/saphietoundiaye_kpmg_ca/Documents/Tax Tech/Sinaxe/Trial balance mapping/Client A/2024/"/>
    </mc:Choice>
  </mc:AlternateContent>
  <xr:revisionPtr revIDLastSave="14" documentId="13_ncr:9_{C365E5AC-B0A6-41A0-9593-801E5EA7E86C}" xr6:coauthVersionLast="47" xr6:coauthVersionMax="47" xr10:uidLastSave="{78F1E283-9FB9-48CD-81CB-A942EC4EC9A9}"/>
  <bookViews>
    <workbookView xWindow="-108" yWindow="-108" windowWidth="41496" windowHeight="16776" xr2:uid="{2C3EEFD0-42C1-4179-8BD4-74D4FE201F59}"/>
  </bookViews>
  <sheets>
    <sheet name="TrialBalance" sheetId="1" r:id="rId1"/>
    <sheet name="BalanceSheet" sheetId="3" r:id="rId2"/>
    <sheet name="ProfitandLoss" sheetId="4" r:id="rId3"/>
    <sheet name="Sheet2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B17" i="4"/>
  <c r="B20" i="4"/>
  <c r="B21" i="4" s="1"/>
  <c r="B36" i="4"/>
  <c r="B47" i="4" s="1"/>
  <c r="B41" i="4"/>
  <c r="B46" i="4"/>
  <c r="C126" i="1" s="1"/>
  <c r="D126" i="1" s="1"/>
  <c r="B61" i="4"/>
  <c r="B67" i="4"/>
  <c r="B70" i="4"/>
  <c r="B73" i="4"/>
  <c r="B111" i="4" s="1"/>
  <c r="B76" i="4"/>
  <c r="C155" i="1" s="1"/>
  <c r="D155" i="1" s="1"/>
  <c r="B79" i="4"/>
  <c r="B89" i="4"/>
  <c r="B98" i="4"/>
  <c r="B104" i="4"/>
  <c r="B110" i="4"/>
  <c r="B118" i="4"/>
  <c r="B122" i="4"/>
  <c r="B127" i="4"/>
  <c r="B131" i="4" s="1"/>
  <c r="B130" i="4"/>
  <c r="B13" i="3"/>
  <c r="B14" i="3" s="1"/>
  <c r="B19" i="3"/>
  <c r="B20" i="3" s="1"/>
  <c r="B24" i="3"/>
  <c r="B25" i="3"/>
  <c r="B30" i="3"/>
  <c r="B34" i="3" s="1"/>
  <c r="B33" i="3"/>
  <c r="C25" i="1" s="1"/>
  <c r="D25" i="1" s="1"/>
  <c r="B48" i="3"/>
  <c r="B49" i="3"/>
  <c r="B53" i="3"/>
  <c r="B54" i="3"/>
  <c r="B59" i="3"/>
  <c r="C43" i="1" s="1"/>
  <c r="D43" i="1" s="1"/>
  <c r="B60" i="3"/>
  <c r="B64" i="3"/>
  <c r="B65" i="3" s="1"/>
  <c r="B71" i="3"/>
  <c r="B80" i="3"/>
  <c r="B85" i="3"/>
  <c r="B88" i="3"/>
  <c r="B95" i="3" s="1"/>
  <c r="B91" i="3"/>
  <c r="B94" i="3"/>
  <c r="C74" i="1" s="1"/>
  <c r="D74" i="1" s="1"/>
  <c r="B104" i="3"/>
  <c r="B107" i="3"/>
  <c r="C81" i="1" s="1"/>
  <c r="D81" i="1" s="1"/>
  <c r="B108" i="3"/>
  <c r="B111" i="3" s="1"/>
  <c r="C9" i="1"/>
  <c r="D9" i="1" s="1"/>
  <c r="C10" i="1"/>
  <c r="D10" i="1" s="1"/>
  <c r="C11" i="1"/>
  <c r="C12" i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20" i="1"/>
  <c r="D20" i="1" s="1"/>
  <c r="C21" i="1"/>
  <c r="D21" i="1" s="1"/>
  <c r="C22" i="1"/>
  <c r="D22" i="1" s="1"/>
  <c r="C23" i="1"/>
  <c r="D23" i="1" s="1"/>
  <c r="C24" i="1"/>
  <c r="D24" i="1" s="1"/>
  <c r="C26" i="1"/>
  <c r="C27" i="1"/>
  <c r="C28" i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C42" i="1"/>
  <c r="C44" i="1"/>
  <c r="C45" i="1"/>
  <c r="C46" i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C55" i="1"/>
  <c r="D55" i="1" s="1"/>
  <c r="C56" i="1"/>
  <c r="D56" i="1" s="1"/>
  <c r="C57" i="1"/>
  <c r="D57" i="1" s="1"/>
  <c r="C58" i="1"/>
  <c r="D58" i="1" s="1"/>
  <c r="C59" i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9" i="1"/>
  <c r="D69" i="1" s="1"/>
  <c r="C70" i="1"/>
  <c r="D70" i="1" s="1"/>
  <c r="C71" i="1"/>
  <c r="D71" i="1" s="1"/>
  <c r="C72" i="1"/>
  <c r="D72" i="1" s="1"/>
  <c r="C73" i="1"/>
  <c r="D73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2" i="1"/>
  <c r="D82" i="1" s="1"/>
  <c r="C83" i="1"/>
  <c r="D83" i="1" s="1"/>
  <c r="C84" i="1"/>
  <c r="D84" i="1" s="1"/>
  <c r="C85" i="1"/>
  <c r="C86" i="1"/>
  <c r="C87" i="1"/>
  <c r="C88" i="1"/>
  <c r="D88" i="1" s="1"/>
  <c r="C89" i="1"/>
  <c r="C90" i="1"/>
  <c r="C91" i="1"/>
  <c r="C92" i="1"/>
  <c r="D92" i="1" s="1"/>
  <c r="C93" i="1"/>
  <c r="C95" i="1"/>
  <c r="C96" i="1"/>
  <c r="D96" i="1" s="1"/>
  <c r="C97" i="1"/>
  <c r="D97" i="1" s="1"/>
  <c r="C98" i="1"/>
  <c r="D98" i="1" s="1"/>
  <c r="C99" i="1"/>
  <c r="D99" i="1" s="1"/>
  <c r="C100" i="1"/>
  <c r="C101" i="1"/>
  <c r="D101" i="1" s="1"/>
  <c r="C102" i="1"/>
  <c r="C103" i="1"/>
  <c r="C104" i="1"/>
  <c r="D104" i="1" s="1"/>
  <c r="C105" i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C115" i="1"/>
  <c r="C116" i="1"/>
  <c r="C117" i="1"/>
  <c r="D117" i="1" s="1"/>
  <c r="C118" i="1"/>
  <c r="D118" i="1" s="1"/>
  <c r="C119" i="1"/>
  <c r="C120" i="1"/>
  <c r="D120" i="1" s="1"/>
  <c r="C121" i="1"/>
  <c r="D121" i="1" s="1"/>
  <c r="C122" i="1"/>
  <c r="C123" i="1"/>
  <c r="D123" i="1" s="1"/>
  <c r="C124" i="1"/>
  <c r="D124" i="1" s="1"/>
  <c r="C125" i="1"/>
  <c r="D125" i="1" s="1"/>
  <c r="C128" i="1"/>
  <c r="D128" i="1" s="1"/>
  <c r="C129" i="1"/>
  <c r="D129" i="1" s="1"/>
  <c r="C130" i="1"/>
  <c r="C131" i="1"/>
  <c r="C132" i="1"/>
  <c r="C133" i="1"/>
  <c r="D133" i="1" s="1"/>
  <c r="C134" i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C147" i="1"/>
  <c r="C148" i="1"/>
  <c r="D148" i="1" s="1"/>
  <c r="C149" i="1"/>
  <c r="C150" i="1"/>
  <c r="D150" i="1" s="1"/>
  <c r="C151" i="1"/>
  <c r="D151" i="1" s="1"/>
  <c r="C152" i="1"/>
  <c r="D152" i="1" s="1"/>
  <c r="C153" i="1"/>
  <c r="D153" i="1" s="1"/>
  <c r="C154" i="1"/>
  <c r="D154" i="1" s="1"/>
  <c r="C156" i="1"/>
  <c r="D156" i="1" s="1"/>
  <c r="C157" i="1"/>
  <c r="D157" i="1" s="1"/>
  <c r="C158" i="1"/>
  <c r="C159" i="1"/>
  <c r="C160" i="1"/>
  <c r="D160" i="1" s="1"/>
  <c r="C161" i="1"/>
  <c r="C162" i="1"/>
  <c r="C163" i="1"/>
  <c r="C164" i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C174" i="1"/>
  <c r="C175" i="1"/>
  <c r="C176" i="1"/>
  <c r="D176" i="1" s="1"/>
  <c r="C177" i="1"/>
  <c r="D177" i="1" s="1"/>
  <c r="C178" i="1"/>
  <c r="C179" i="1"/>
  <c r="D179" i="1" s="1"/>
  <c r="C180" i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C197" i="1"/>
  <c r="C198" i="1"/>
  <c r="D198" i="1" s="1"/>
  <c r="C199" i="1"/>
  <c r="D199" i="1" s="1"/>
  <c r="C200" i="1"/>
  <c r="D200" i="1" s="1"/>
  <c r="C201" i="1"/>
  <c r="D201" i="1" s="1"/>
  <c r="C202" i="1"/>
  <c r="C203" i="1"/>
  <c r="D203" i="1" s="1"/>
  <c r="C204" i="1"/>
  <c r="D204" i="1" s="1"/>
  <c r="C205" i="1"/>
  <c r="D205" i="1" s="1"/>
  <c r="C206" i="1"/>
  <c r="D206" i="1" s="1"/>
  <c r="C208" i="1"/>
  <c r="D208" i="1" s="1"/>
  <c r="C209" i="1"/>
  <c r="D209" i="1" s="1"/>
  <c r="C210" i="1"/>
  <c r="D210" i="1" s="1"/>
  <c r="C211" i="1"/>
  <c r="D211" i="1" s="1"/>
  <c r="D202" i="1"/>
  <c r="D197" i="1"/>
  <c r="D196" i="1"/>
  <c r="D189" i="1"/>
  <c r="D180" i="1"/>
  <c r="D178" i="1"/>
  <c r="D175" i="1"/>
  <c r="D174" i="1"/>
  <c r="D173" i="1"/>
  <c r="D164" i="1"/>
  <c r="D163" i="1"/>
  <c r="D162" i="1"/>
  <c r="D161" i="1"/>
  <c r="D159" i="1"/>
  <c r="D158" i="1"/>
  <c r="D149" i="1"/>
  <c r="D147" i="1"/>
  <c r="D146" i="1"/>
  <c r="D134" i="1"/>
  <c r="D132" i="1"/>
  <c r="D131" i="1"/>
  <c r="D130" i="1"/>
  <c r="D122" i="1"/>
  <c r="D119" i="1"/>
  <c r="D116" i="1"/>
  <c r="D115" i="1"/>
  <c r="D114" i="1"/>
  <c r="D105" i="1"/>
  <c r="D103" i="1"/>
  <c r="D102" i="1"/>
  <c r="D100" i="1"/>
  <c r="D95" i="1"/>
  <c r="D93" i="1"/>
  <c r="D91" i="1"/>
  <c r="D90" i="1"/>
  <c r="D89" i="1"/>
  <c r="D87" i="1"/>
  <c r="D86" i="1"/>
  <c r="D85" i="1"/>
  <c r="D59" i="1"/>
  <c r="D54" i="1"/>
  <c r="D46" i="1"/>
  <c r="D45" i="1"/>
  <c r="D44" i="1"/>
  <c r="D42" i="1"/>
  <c r="D41" i="1"/>
  <c r="D28" i="1"/>
  <c r="D27" i="1"/>
  <c r="D26" i="1"/>
  <c r="D12" i="1"/>
  <c r="D11" i="1"/>
  <c r="B11" i="1"/>
  <c r="B15" i="1"/>
  <c r="B19" i="1"/>
  <c r="B22" i="1"/>
  <c r="B25" i="1"/>
  <c r="B28" i="1"/>
  <c r="B40" i="1"/>
  <c r="B43" i="1"/>
  <c r="B48" i="1"/>
  <c r="B51" i="1"/>
  <c r="B60" i="1"/>
  <c r="B65" i="1"/>
  <c r="B68" i="1"/>
  <c r="B71" i="1"/>
  <c r="B74" i="1"/>
  <c r="B77" i="1"/>
  <c r="B81" i="1"/>
  <c r="B87" i="1"/>
  <c r="B94" i="1" s="1"/>
  <c r="B90" i="1"/>
  <c r="B93" i="1"/>
  <c r="B99" i="1"/>
  <c r="B110" i="1" s="1"/>
  <c r="B114" i="1"/>
  <c r="B121" i="1" s="1"/>
  <c r="B117" i="1"/>
  <c r="B120" i="1"/>
  <c r="B126" i="1"/>
  <c r="B131" i="1"/>
  <c r="B140" i="1" s="1"/>
  <c r="B146" i="1"/>
  <c r="B149" i="1"/>
  <c r="B152" i="1"/>
  <c r="B190" i="1" s="1"/>
  <c r="B155" i="1"/>
  <c r="B158" i="1"/>
  <c r="B168" i="1"/>
  <c r="B177" i="1"/>
  <c r="B183" i="1"/>
  <c r="B189" i="1"/>
  <c r="B194" i="1"/>
  <c r="B207" i="1" s="1"/>
  <c r="B198" i="1"/>
  <c r="B203" i="1"/>
  <c r="B206" i="1"/>
  <c r="B22" i="4" l="1"/>
  <c r="B49" i="4" s="1"/>
  <c r="B113" i="4" s="1"/>
  <c r="B135" i="4" s="1"/>
  <c r="C94" i="1"/>
  <c r="D94" i="1" s="1"/>
  <c r="B48" i="4"/>
  <c r="C127" i="1"/>
  <c r="D127" i="1" s="1"/>
  <c r="B134" i="4"/>
  <c r="C207" i="1"/>
  <c r="D207" i="1" s="1"/>
  <c r="C190" i="1"/>
  <c r="D190" i="1" s="1"/>
  <c r="B112" i="4"/>
  <c r="B35" i="3"/>
  <c r="B97" i="3" s="1"/>
  <c r="B98" i="3" s="1"/>
  <c r="B99" i="3" s="1"/>
  <c r="B96" i="3"/>
  <c r="C68" i="1"/>
  <c r="D68" i="1" s="1"/>
  <c r="C19" i="1"/>
  <c r="D19" i="1" s="1"/>
  <c r="B127" i="1"/>
  <c r="B211" i="1"/>
</calcChain>
</file>

<file path=xl/sharedStrings.xml><?xml version="1.0" encoding="utf-8"?>
<sst xmlns="http://schemas.openxmlformats.org/spreadsheetml/2006/main" count="464" uniqueCount="257">
  <si>
    <t>Trial Balance</t>
  </si>
  <si>
    <t>End of Dec 2024</t>
  </si>
  <si>
    <t/>
  </si>
  <si>
    <t>Account</t>
  </si>
  <si>
    <t>Total</t>
  </si>
  <si>
    <t>10000 - BANK</t>
  </si>
  <si>
    <t>Total - 10000 - BANK</t>
  </si>
  <si>
    <t>12000 - ACCOUNTS RECEIVABLE</t>
  </si>
  <si>
    <t>12100 - Comptes clients</t>
  </si>
  <si>
    <t>12200 - Comptes clients - intercos</t>
  </si>
  <si>
    <t>Total - 12000 - ACCOUNTS RECEIVABLE</t>
  </si>
  <si>
    <t>13000 - SALES TAXES ON PURCHASE</t>
  </si>
  <si>
    <t>13356 - TVA déductible s/aut.biens et sces</t>
  </si>
  <si>
    <t>13358 - TVA déductible sur achats intracommunautaires</t>
  </si>
  <si>
    <t>Total - 13000 - SALES TAXES ON PURCHASE</t>
  </si>
  <si>
    <t>14000 - UNBILLED RECEIVABLE</t>
  </si>
  <si>
    <t>14100 - Travaux en cours</t>
  </si>
  <si>
    <t>Total - 14000 - UNBILLED RECEIVABLE</t>
  </si>
  <si>
    <t>15000 - PREPAID EXPENSES</t>
  </si>
  <si>
    <t>15100 - Frais payés d'avance</t>
  </si>
  <si>
    <t>Total - 15000 - PREPAID EXPENSES</t>
  </si>
  <si>
    <t>17000 - INVESTMENTS</t>
  </si>
  <si>
    <t>17100 - Dépôts de garantie LT</t>
  </si>
  <si>
    <t>Total - 17000 - INVESTMENTS</t>
  </si>
  <si>
    <t>18000 - FIXED ASSETS</t>
  </si>
  <si>
    <t>18010 - Ameliorations locatives</t>
  </si>
  <si>
    <t>18020 - Amort. cum. ameliorations locatives</t>
  </si>
  <si>
    <t>18110 - Équipements informatique</t>
  </si>
  <si>
    <t>18120 - Amort cum. Équip. informatique</t>
  </si>
  <si>
    <t>18310 - Équipement de photographie</t>
  </si>
  <si>
    <t>18320 - Amort. cum. Équip. photographie</t>
  </si>
  <si>
    <t>18350 - Équipement Audio</t>
  </si>
  <si>
    <t>18360 - Amort.cum.équip. Audio</t>
  </si>
  <si>
    <t>18410 - Mobilier de bureau &amp; matériel</t>
  </si>
  <si>
    <t>18420 - Amort. cum. - Matér./mobil./inst.</t>
  </si>
  <si>
    <t>Total - 18000 - FIXED ASSETS</t>
  </si>
  <si>
    <t>21000 - ACCOUNTS PAYABLE</t>
  </si>
  <si>
    <t>21010 - Comptes fournisseurs</t>
  </si>
  <si>
    <t>Total - 21000 - ACCOUNTS PAYABLE</t>
  </si>
  <si>
    <t>22000 - ACCRUED LIABILITIES</t>
  </si>
  <si>
    <t>22100 - Frais courus à payer</t>
  </si>
  <si>
    <t>22205 - Provision perte de change</t>
  </si>
  <si>
    <t>22210 - Etat - Charges à payer</t>
  </si>
  <si>
    <t>Total - 22000 - ACCRUED LIABILITIES</t>
  </si>
  <si>
    <t>22400 - CREDIT CARDS PAYABLE</t>
  </si>
  <si>
    <t>Total - 22400 - CREDIT CARDS PAYABLE</t>
  </si>
  <si>
    <t>23000 - SALARIES PAYABLE</t>
  </si>
  <si>
    <t>23010 - Salaires à payer</t>
  </si>
  <si>
    <t>23040 - Bonis à payer</t>
  </si>
  <si>
    <t>23070 - Vacances à payer</t>
  </si>
  <si>
    <t>23100 - Sécurité sociale (France)</t>
  </si>
  <si>
    <t>23102 - Caisse de retraite (France)</t>
  </si>
  <si>
    <t>23103 - Prélèvement à la source (France)</t>
  </si>
  <si>
    <t>23104 - Etat taxe apprentissage (France)</t>
  </si>
  <si>
    <t>Total - 23000 - SALARIES PAYABLE</t>
  </si>
  <si>
    <t>24000 - SALES TAXES ON SALES</t>
  </si>
  <si>
    <t>24410 - TVA à décaisser</t>
  </si>
  <si>
    <t>24411 - TVA collectée 20%</t>
  </si>
  <si>
    <t>24413 - TVA due sur achats intracommunautaire</t>
  </si>
  <si>
    <t>Total - 24000 - SALES TAXES ON SALES</t>
  </si>
  <si>
    <t>25000 - UNEARNED INCOME</t>
  </si>
  <si>
    <t>25010 - Revenu reporté</t>
  </si>
  <si>
    <t>Total - 25000 - UNEARNED INCOME</t>
  </si>
  <si>
    <t>27000 - ADVANCES PAYABLE</t>
  </si>
  <si>
    <t>Total - 27000 - ADVANCES PAYABLE</t>
  </si>
  <si>
    <t>28000 - INCOME TAXES PAYABLE</t>
  </si>
  <si>
    <t>28505 - Impôt France à payer</t>
  </si>
  <si>
    <t>Total - 28000 - INCOME TAXES PAYABLE</t>
  </si>
  <si>
    <t>30000 - SHARE CAPITAL</t>
  </si>
  <si>
    <t>30250 - Actions ordinaires</t>
  </si>
  <si>
    <t>Total - 30000 - SHARE CAPITAL</t>
  </si>
  <si>
    <t>31000 - RETAINED EARNINGS</t>
  </si>
  <si>
    <t>31170 - Réserve légale</t>
  </si>
  <si>
    <t>31210 - Retained Earnings</t>
  </si>
  <si>
    <t>Total - 31000 - RETAINED EARNINGS</t>
  </si>
  <si>
    <t>40000 - SALES</t>
  </si>
  <si>
    <t>42000 - SALES REVENUE</t>
  </si>
  <si>
    <t>42100 - Ventes</t>
  </si>
  <si>
    <t>42110 - Prestations de services - Europe</t>
  </si>
  <si>
    <t>42200 - Revenus - intercos</t>
  </si>
  <si>
    <t>Total - 42000 - SALES REVENUE</t>
  </si>
  <si>
    <t>43000 - UNEARNED REVENUE</t>
  </si>
  <si>
    <t>43100 - Variation TEC/RR</t>
  </si>
  <si>
    <t>Total - 43000 - UNEARNED REVENUE</t>
  </si>
  <si>
    <t>44000 - OTHER REVENUE</t>
  </si>
  <si>
    <t>44220 - Autres revenus</t>
  </si>
  <si>
    <t>Total - 44000 - OTHER REVENUE</t>
  </si>
  <si>
    <t>Total - 40000 - SALES</t>
  </si>
  <si>
    <t>50000 - COST OF SALES</t>
  </si>
  <si>
    <t>51000 - SALARIES AND SOCIAL CHARGES</t>
  </si>
  <si>
    <t>51100 - Salaire COGS</t>
  </si>
  <si>
    <t>Total - 51100 - Salaire COGS</t>
  </si>
  <si>
    <t>51101 - Indemnités et avantages divers COGS (France)</t>
  </si>
  <si>
    <t>51206 - Cotisations à l'URSSAF COGS (France)</t>
  </si>
  <si>
    <t>51207 - Taxe d'apprentissage COGS (France)</t>
  </si>
  <si>
    <t>51208 - Formation continue (Organisme) COGS (France)</t>
  </si>
  <si>
    <t>51209 - Cotisations aux mutuelles COGS (France)</t>
  </si>
  <si>
    <t>51210 - Cotisations aux caisses de retraite COGS (France)</t>
  </si>
  <si>
    <t>51211 - Cotisations Pôle Emploi COGS (France)</t>
  </si>
  <si>
    <t>51212 - Cotisations autres organismes COGS (France)</t>
  </si>
  <si>
    <t>51300 - Boni COGS</t>
  </si>
  <si>
    <t>51500 - Assurance collective COGS</t>
  </si>
  <si>
    <t>Total - 51000 - SALARIES AND SOCIAL CHARGES</t>
  </si>
  <si>
    <t>52000 - SUBCONTRACTORS</t>
  </si>
  <si>
    <t>52100 - Sous-traitants compagnies</t>
  </si>
  <si>
    <t>Total - 52100 - Sous-traitants compagnies</t>
  </si>
  <si>
    <t>52200 - Sous-traitants - intercos</t>
  </si>
  <si>
    <t>Total - 52200 - Sous-traitants - intercos</t>
  </si>
  <si>
    <t>52400 - Sous-traitants artistes</t>
  </si>
  <si>
    <t>Total - 52400 - Sous-traitants artistes</t>
  </si>
  <si>
    <t>Total - 52000 - SUBCONTRACTORS</t>
  </si>
  <si>
    <t>53000 - PRODUCTION EXPENSES</t>
  </si>
  <si>
    <t>53100 - Repas Projets</t>
  </si>
  <si>
    <t>53150 - Frais de voyage et déplacement Projets</t>
  </si>
  <si>
    <t>53200 - Dépenses Projets</t>
  </si>
  <si>
    <t>Total - 53000 - PRODUCTION EXPENSES</t>
  </si>
  <si>
    <t>Total - 50000 - COST OF SALES</t>
  </si>
  <si>
    <t>60000 - ADMINISTRATIVE SALARIES AND SOCIAL CHARGES</t>
  </si>
  <si>
    <t>60100 - Salaires</t>
  </si>
  <si>
    <t>Total - 60100 - Salaires</t>
  </si>
  <si>
    <t>60101 - Indemnités et avantages divers Admin (France)</t>
  </si>
  <si>
    <t>60151 - Cotisations à l'URSSAF Admin (France)</t>
  </si>
  <si>
    <t>60152 - Taxe d'apprentissage Admin (France)</t>
  </si>
  <si>
    <t>60153 - Formation continue (Organisme) Admin (France)</t>
  </si>
  <si>
    <t>60154 - Cotisations aux mutuelles Admin (France)</t>
  </si>
  <si>
    <t>60155 - Cotisations aux caisses de retraite Admin (France)</t>
  </si>
  <si>
    <t>60156 - Cotisations Pôle Emploi Admin (France)</t>
  </si>
  <si>
    <t>60157 - Cotisations autres organismes Admin (France)</t>
  </si>
  <si>
    <t>Total - 60000 - ADMINISTRATIVE SALARIES AND SOCIAL CHARGES</t>
  </si>
  <si>
    <t>61000 - SELLING AND ADMINISTRATIVE EXPENSES</t>
  </si>
  <si>
    <t>62000 - PROFESSIONNAL FEES</t>
  </si>
  <si>
    <t>62100 - Honoraires professionnels</t>
  </si>
  <si>
    <t>62200 - Frais légaux</t>
  </si>
  <si>
    <t>62300 - Consultant</t>
  </si>
  <si>
    <t>Total - 62000 - PROFESSIONNAL FEES</t>
  </si>
  <si>
    <t>63000 - TRAVEL EXPENSES</t>
  </si>
  <si>
    <t>63010 - Frais de voyage et déplacement</t>
  </si>
  <si>
    <t>Total - 63000 - TRAVEL EXPENSES</t>
  </si>
  <si>
    <t>64000 - MEALS</t>
  </si>
  <si>
    <t>64010 - Repas</t>
  </si>
  <si>
    <t>Total - 64000 - MEALS</t>
  </si>
  <si>
    <t>65000 - INSURANCE</t>
  </si>
  <si>
    <t>65100 - Assurance commercial multirisques</t>
  </si>
  <si>
    <t>Total - 65000 - INSURANCE</t>
  </si>
  <si>
    <t>66000 - BAD DEBT</t>
  </si>
  <si>
    <t>66010 - Créances douteuses</t>
  </si>
  <si>
    <t>Total - 66000 - BAD DEBT</t>
  </si>
  <si>
    <t>68000 - FACILITY EXPENSES</t>
  </si>
  <si>
    <t>68010 - Loyer</t>
  </si>
  <si>
    <t>68030 - Chauffage et Électricité</t>
  </si>
  <si>
    <t>68090 - Réparation &amp; Entretien local</t>
  </si>
  <si>
    <t>68110 - Frais de bureau</t>
  </si>
  <si>
    <t>68120 - Sécurité</t>
  </si>
  <si>
    <t>68135 - Taxes foncières/bureau (France)</t>
  </si>
  <si>
    <t>68150 - Frais de livraison</t>
  </si>
  <si>
    <t>68170 - Épicerie</t>
  </si>
  <si>
    <t>Total - 68000 - FACILITY EXPENSES</t>
  </si>
  <si>
    <t>69000 - MARKETING AND COMMUNICATIONS EXPENSES</t>
  </si>
  <si>
    <t>69090 - Promo</t>
  </si>
  <si>
    <t>69110 - Commandites (et bourses)</t>
  </si>
  <si>
    <t>69150 - Events &amp; Awards</t>
  </si>
  <si>
    <t>69170 - Événements corporatifs</t>
  </si>
  <si>
    <t>69190 - Comité social</t>
  </si>
  <si>
    <t>69211 - Cadeaux clients</t>
  </si>
  <si>
    <t>69212 - Cadeaux employés</t>
  </si>
  <si>
    <t>Total - 69000 - MARKETING AND COMMUNICATIONS EXPENSES</t>
  </si>
  <si>
    <t>70000 - HUMAN RESOURCE EXPENSES</t>
  </si>
  <si>
    <t>70010 - Recrutement</t>
  </si>
  <si>
    <t>70030 - Formation</t>
  </si>
  <si>
    <t>70050 - Service santé privé</t>
  </si>
  <si>
    <t>70110 - Frais d'abonnement et d'adhésion</t>
  </si>
  <si>
    <t>Total - 70000 - HUMAN RESOURCE EXPENSES</t>
  </si>
  <si>
    <t>71000 - TECHNOLOGY EXPENSES</t>
  </si>
  <si>
    <t>71010 - Internet</t>
  </si>
  <si>
    <t>71031 - Frais de maintenance - Hardware</t>
  </si>
  <si>
    <t>71050 - Subscription</t>
  </si>
  <si>
    <t>71110 - Fourniture IT</t>
  </si>
  <si>
    <t>Total - 71000 - TECHNOLOGY EXPENSES</t>
  </si>
  <si>
    <t>Total - 61000 - SELLING AND ADMINISTRATIVE EXPENSES</t>
  </si>
  <si>
    <t>80000 - OTHER EXPENSES</t>
  </si>
  <si>
    <t>82000 - AMORTIZATION</t>
  </si>
  <si>
    <t>82100 - Amortissement immob. Corporelles</t>
  </si>
  <si>
    <t>Total - 82000 - AMORTIZATION</t>
  </si>
  <si>
    <t>83000 - FINANCIAL EXPENSES</t>
  </si>
  <si>
    <t>83100 - Frais bancaires</t>
  </si>
  <si>
    <t>83200 - Intérêts et pénalités</t>
  </si>
  <si>
    <t>Total - 83000 - FINANCIAL EXPENSES</t>
  </si>
  <si>
    <t>85000 - FOREIGN EXCHANGE (GAINS) LOSSES</t>
  </si>
  <si>
    <t>85200 - Gain/perte de change sur intercos</t>
  </si>
  <si>
    <t>85550 - Rounding Gain/Loss</t>
  </si>
  <si>
    <t>85551 - Rounding gain/loss (France - revenus)</t>
  </si>
  <si>
    <t>Total - 85000 - FOREIGN EXCHANGE (GAINS) LOSSES</t>
  </si>
  <si>
    <t>90000 - INCOME TAX EXPENSE</t>
  </si>
  <si>
    <t>90010 - Impôts exigibles</t>
  </si>
  <si>
    <t>Total - 90000 - INCOME TAX EXPENSE</t>
  </si>
  <si>
    <t>Total - 80000 - OTHER EXPENSES</t>
  </si>
  <si>
    <t>85500 - Échange devises réalisé</t>
  </si>
  <si>
    <t>85660 - Unrealized Gain/Loss</t>
  </si>
  <si>
    <t>3035 - Cumulative Translation Adjustment</t>
  </si>
  <si>
    <t>Balance Sheet</t>
  </si>
  <si>
    <t>Financial Row</t>
  </si>
  <si>
    <t>Amount</t>
  </si>
  <si>
    <t>Current Assets</t>
  </si>
  <si>
    <t>Bank</t>
  </si>
  <si>
    <t>Total Bank</t>
  </si>
  <si>
    <t>Accounts Receivable</t>
  </si>
  <si>
    <t>Total Accounts Receivable</t>
  </si>
  <si>
    <t>Unbilled Receivable</t>
  </si>
  <si>
    <t>Total Unbilled Receivable</t>
  </si>
  <si>
    <t>Other Current Asset</t>
  </si>
  <si>
    <t>Total Other Current Asset</t>
  </si>
  <si>
    <t>Total Current Assets</t>
  </si>
  <si>
    <t>Fixed Assets</t>
  </si>
  <si>
    <t>Total Fixed Assets</t>
  </si>
  <si>
    <t>Other Assets</t>
  </si>
  <si>
    <t>Total Other Assets</t>
  </si>
  <si>
    <t>Current Liabilities</t>
  </si>
  <si>
    <t>Accounts Payable</t>
  </si>
  <si>
    <t>Total Accounts Payable</t>
  </si>
  <si>
    <t>Credit Card</t>
  </si>
  <si>
    <t>Total Credit Card</t>
  </si>
  <si>
    <t>Other Current Liability</t>
  </si>
  <si>
    <t>Total Other Current Liability</t>
  </si>
  <si>
    <t>Total Liabilities</t>
  </si>
  <si>
    <t>Current Assets Less Current Liabilities</t>
  </si>
  <si>
    <t>Total Assets Less Current Liabilities</t>
  </si>
  <si>
    <t>Total Assets Less Total Liabilities</t>
  </si>
  <si>
    <t>Capital and Reserves</t>
  </si>
  <si>
    <t>Total - Capital and Reserves</t>
  </si>
  <si>
    <t>Retained Earnings</t>
  </si>
  <si>
    <t>Net Income</t>
  </si>
  <si>
    <t>Total Capital and Reserves</t>
  </si>
  <si>
    <t>vlookup du B/S et P&amp;L</t>
  </si>
  <si>
    <t>Taux</t>
  </si>
  <si>
    <t>en Euro</t>
  </si>
  <si>
    <t>en CAD</t>
  </si>
  <si>
    <t>Net Profit/(Loss)</t>
  </si>
  <si>
    <t>Total - Other Expenses</t>
  </si>
  <si>
    <t>Other Expenses</t>
  </si>
  <si>
    <t>Operating Profit</t>
  </si>
  <si>
    <t>Total - Overheads</t>
  </si>
  <si>
    <t>Overheads</t>
  </si>
  <si>
    <t>Gross Profit</t>
  </si>
  <si>
    <t>Total - Purchases</t>
  </si>
  <si>
    <t>Purchases</t>
  </si>
  <si>
    <t>Total - Sales</t>
  </si>
  <si>
    <t>Sales</t>
  </si>
  <si>
    <t>From Jan 2024 to Dec 2024</t>
  </si>
  <si>
    <t>Profit and Loss</t>
  </si>
  <si>
    <t>en EUR</t>
  </si>
  <si>
    <t>Client A</t>
  </si>
  <si>
    <t>Rodeo Imagination Inc. : Groupe Client A Inc (Consolidated)</t>
  </si>
  <si>
    <t>10625 - Compte courant  LCL - Client A SAS (EUR</t>
  </si>
  <si>
    <t>10630 - Compte courant BNP - Client A SAS (EUR)</t>
  </si>
  <si>
    <t>22435 - CB en attente de débit - Client A SAS (EUR)</t>
  </si>
  <si>
    <t>27200 - Avance de Client A Inc</t>
  </si>
  <si>
    <t>Rodeo Imagination Inc. : Groupe Client A Inc : Client A Inc. : Client 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</si>
</sst>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&quot;$&quot;#,##0.00"/>
    <numFmt numFmtId="166" formatCode="_-* #,##0.000000_-;\-* #,##0.000000_-;_-* &quot;-&quot;??_-;_-@_-"/>
    <numFmt numFmtId="167" formatCode="&quot;€&quot;#,##0.00"/>
  </numFmts>
  <fonts count="23" x14ac:knownFonts="1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ashed">
        <color rgb="FFCCCCCC"/>
      </top>
      <bottom/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Alignment="1">
      <alignment horizontal="left" vertical="center"/>
    </xf>
    <xf numFmtId="165" fontId="22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left" indent="1"/>
    </xf>
    <xf numFmtId="0" fontId="21" fillId="0" borderId="10" xfId="0" applyFont="1" applyBorder="1" applyAlignment="1">
      <alignment horizontal="left" vertical="center"/>
    </xf>
    <xf numFmtId="165" fontId="21" fillId="0" borderId="10" xfId="0" applyNumberFormat="1" applyFont="1" applyBorder="1" applyAlignment="1">
      <alignment horizontal="right" vertical="center"/>
    </xf>
    <xf numFmtId="0" fontId="21" fillId="0" borderId="0" xfId="0" applyFont="1" applyAlignment="1">
      <alignment horizontal="left" indent="1"/>
    </xf>
    <xf numFmtId="0" fontId="22" fillId="0" borderId="0" xfId="0" applyFont="1" applyAlignment="1">
      <alignment horizontal="left" indent="2"/>
    </xf>
    <xf numFmtId="0" fontId="21" fillId="0" borderId="10" xfId="0" applyFont="1" applyBorder="1" applyAlignment="1">
      <alignment horizontal="left" indent="1"/>
    </xf>
    <xf numFmtId="0" fontId="21" fillId="0" borderId="0" xfId="0" applyFont="1" applyAlignment="1">
      <alignment horizontal="left" indent="2"/>
    </xf>
    <xf numFmtId="0" fontId="22" fillId="0" borderId="0" xfId="0" applyFont="1" applyAlignment="1">
      <alignment horizontal="left" indent="3"/>
    </xf>
    <xf numFmtId="0" fontId="21" fillId="0" borderId="10" xfId="0" applyFont="1" applyBorder="1" applyAlignment="1">
      <alignment horizontal="left" indent="2"/>
    </xf>
    <xf numFmtId="0" fontId="22" fillId="0" borderId="0" xfId="0" applyFont="1" applyAlignment="1">
      <alignment horizontal="left" vertical="center"/>
    </xf>
    <xf numFmtId="164" fontId="0" fillId="0" borderId="0" xfId="1" applyFont="1"/>
    <xf numFmtId="166" fontId="0" fillId="0" borderId="0" xfId="0" applyNumberFormat="1"/>
    <xf numFmtId="167" fontId="21" fillId="0" borderId="0" xfId="0" applyNumberFormat="1" applyFont="1" applyAlignment="1">
      <alignment horizontal="right" vertical="center"/>
    </xf>
    <xf numFmtId="167" fontId="22" fillId="0" borderId="0" xfId="0" applyNumberFormat="1" applyFont="1" applyAlignment="1">
      <alignment horizontal="right" vertical="center"/>
    </xf>
    <xf numFmtId="0" fontId="21" fillId="0" borderId="11" xfId="0" applyFont="1" applyBorder="1" applyAlignment="1">
      <alignment horizontal="left" indent="2"/>
    </xf>
    <xf numFmtId="167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1"/>
    </xf>
    <xf numFmtId="0" fontId="21" fillId="0" borderId="12" xfId="0" applyFont="1" applyBorder="1" applyAlignment="1">
      <alignment horizontal="left" vertical="center"/>
    </xf>
    <xf numFmtId="167" fontId="21" fillId="0" borderId="12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vertical="center"/>
    </xf>
    <xf numFmtId="0" fontId="0" fillId="34" borderId="0" xfId="0" applyFill="1" applyAlignment="1">
      <alignment horizontal="center"/>
    </xf>
    <xf numFmtId="0" fontId="19" fillId="0" borderId="0" xfId="0" applyFont="1"/>
    <xf numFmtId="0" fontId="18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9" fillId="0" borderId="0" xfId="0" applyFont="1" applyAlignment="1">
      <alignment horizontal="centerContinuous"/>
    </xf>
    <xf numFmtId="0" fontId="20" fillId="3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Milliers" xfId="1" builtinId="3"/>
    <cellStyle name="Neutre" xfId="9" builtinId="28" customBuiltin="1"/>
    <cellStyle name="Normal" xfId="0" builtinId="0" customBuiltin="1"/>
    <cellStyle name="Note" xfId="16" builtinId="10" customBuiltin="1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2EAF-DA0E-42F6-9285-F86D7B63D904}">
  <dimension ref="A1:D211"/>
  <sheetViews>
    <sheetView tabSelected="1" workbookViewId="0">
      <selection activeCell="I25" sqref="I25"/>
    </sheetView>
  </sheetViews>
  <sheetFormatPr baseColWidth="10" defaultColWidth="9.140625" defaultRowHeight="10.199999999999999" x14ac:dyDescent="0.2"/>
  <cols>
    <col min="1" max="1" width="61" bestFit="1" customWidth="1"/>
    <col min="2" max="2" width="21.140625" customWidth="1"/>
    <col min="3" max="3" width="22" customWidth="1"/>
    <col min="4" max="4" width="19.28515625" customWidth="1"/>
  </cols>
  <sheetData>
    <row r="1" spans="1:4" ht="15.6" x14ac:dyDescent="0.3">
      <c r="A1" s="28" t="s">
        <v>250</v>
      </c>
      <c r="B1" s="28"/>
      <c r="C1" s="29"/>
      <c r="D1" s="29"/>
    </row>
    <row r="2" spans="1:4" ht="15.6" x14ac:dyDescent="0.3">
      <c r="A2" s="28" t="s">
        <v>251</v>
      </c>
      <c r="B2" s="28"/>
      <c r="C2" s="29"/>
      <c r="D2" s="29"/>
    </row>
    <row r="3" spans="1:4" ht="17.399999999999999" x14ac:dyDescent="0.3">
      <c r="A3" s="30" t="s">
        <v>0</v>
      </c>
      <c r="B3" s="30"/>
      <c r="C3" s="29"/>
      <c r="D3" s="29"/>
    </row>
    <row r="4" spans="1:4" ht="17.399999999999999" x14ac:dyDescent="0.3">
      <c r="A4" s="30" t="s">
        <v>1</v>
      </c>
      <c r="B4" s="30"/>
      <c r="C4" s="29"/>
      <c r="D4" s="29"/>
    </row>
    <row r="5" spans="1:4" ht="17.399999999999999" x14ac:dyDescent="0.3">
      <c r="A5" s="27" t="s">
        <v>2</v>
      </c>
      <c r="B5" s="27"/>
    </row>
    <row r="6" spans="1:4" ht="17.399999999999999" x14ac:dyDescent="0.3">
      <c r="A6" s="27" t="s">
        <v>2</v>
      </c>
      <c r="B6" s="1" t="s">
        <v>235</v>
      </c>
      <c r="C6" s="1" t="s">
        <v>249</v>
      </c>
    </row>
    <row r="7" spans="1:4" x14ac:dyDescent="0.2">
      <c r="A7" s="2" t="s">
        <v>3</v>
      </c>
      <c r="B7" s="31" t="s">
        <v>4</v>
      </c>
      <c r="C7" s="26" t="s">
        <v>232</v>
      </c>
      <c r="D7" s="26" t="s">
        <v>233</v>
      </c>
    </row>
    <row r="8" spans="1:4" x14ac:dyDescent="0.2">
      <c r="A8" s="4" t="s">
        <v>5</v>
      </c>
      <c r="B8" s="5"/>
    </row>
    <row r="9" spans="1:4" x14ac:dyDescent="0.2">
      <c r="A9" s="6" t="s">
        <v>252</v>
      </c>
      <c r="B9" s="5">
        <v>303244.71041370003</v>
      </c>
      <c r="C9" s="16">
        <f>IFERROR(VLOOKUP(A9,BalanceSheet!$A:$B,2,0),0)</f>
        <v>202569.63</v>
      </c>
      <c r="D9" s="17">
        <f>IFERROR(B9/C9,0)</f>
        <v>1.49699</v>
      </c>
    </row>
    <row r="10" spans="1:4" x14ac:dyDescent="0.2">
      <c r="A10" s="6" t="s">
        <v>253</v>
      </c>
      <c r="B10" s="5">
        <v>827350.53505940002</v>
      </c>
      <c r="C10" s="16">
        <f>IFERROR(VLOOKUP(A10,BalanceSheet!$A:$B,2,0),0)</f>
        <v>552676.06000000006</v>
      </c>
      <c r="D10" s="17">
        <f t="shared" ref="D10:D73" si="0">IFERROR(B10/C10,0)</f>
        <v>1.4969899999999998</v>
      </c>
    </row>
    <row r="11" spans="1:4" x14ac:dyDescent="0.2">
      <c r="A11" s="7" t="s">
        <v>6</v>
      </c>
      <c r="B11" s="8">
        <f>SUM(B9:B10)</f>
        <v>1130595.2454731001</v>
      </c>
      <c r="C11" s="16">
        <f>IFERROR(VLOOKUP(A11,BalanceSheet!$A:$B,2,0),0)</f>
        <v>755245.69000000006</v>
      </c>
      <c r="D11" s="17">
        <f t="shared" si="0"/>
        <v>1.49699</v>
      </c>
    </row>
    <row r="12" spans="1:4" x14ac:dyDescent="0.2">
      <c r="A12" s="4" t="s">
        <v>7</v>
      </c>
      <c r="B12" s="5"/>
      <c r="C12" s="16">
        <f>IFERROR(VLOOKUP(A12,BalanceSheet!$A:$B,2,0),0)</f>
        <v>0</v>
      </c>
      <c r="D12" s="17">
        <f t="shared" si="0"/>
        <v>0</v>
      </c>
    </row>
    <row r="13" spans="1:4" x14ac:dyDescent="0.2">
      <c r="A13" s="6" t="s">
        <v>8</v>
      </c>
      <c r="B13" s="5">
        <v>391196.45071980002</v>
      </c>
      <c r="C13" s="16">
        <f>IFERROR(VLOOKUP(A13,BalanceSheet!$A:$B,2,0),0)</f>
        <v>261322.02</v>
      </c>
      <c r="D13" s="17">
        <f t="shared" si="0"/>
        <v>1.49699</v>
      </c>
    </row>
    <row r="14" spans="1:4" x14ac:dyDescent="0.2">
      <c r="A14" s="6" t="s">
        <v>9</v>
      </c>
      <c r="B14" s="5">
        <v>269062.30602459999</v>
      </c>
      <c r="C14" s="16">
        <f>IFERROR(VLOOKUP(A14,BalanceSheet!$A:$B,2,0),0)</f>
        <v>179735.54</v>
      </c>
      <c r="D14" s="17">
        <f t="shared" si="0"/>
        <v>1.4969899999999998</v>
      </c>
    </row>
    <row r="15" spans="1:4" x14ac:dyDescent="0.2">
      <c r="A15" s="7" t="s">
        <v>10</v>
      </c>
      <c r="B15" s="8">
        <f>SUM(B13:B14)</f>
        <v>660258.75674440002</v>
      </c>
      <c r="C15" s="16">
        <f>IFERROR(VLOOKUP(A15,BalanceSheet!$A:$B,2,0),0)</f>
        <v>441057.56</v>
      </c>
      <c r="D15" s="17">
        <f t="shared" si="0"/>
        <v>1.49699</v>
      </c>
    </row>
    <row r="16" spans="1:4" x14ac:dyDescent="0.2">
      <c r="A16" s="4" t="s">
        <v>11</v>
      </c>
      <c r="B16" s="5"/>
      <c r="C16" s="16">
        <f>IFERROR(VLOOKUP(A16,BalanceSheet!$A:$B,2,0),0)</f>
        <v>0</v>
      </c>
      <c r="D16" s="17">
        <f t="shared" si="0"/>
        <v>0</v>
      </c>
    </row>
    <row r="17" spans="1:4" x14ac:dyDescent="0.2">
      <c r="A17" s="6" t="s">
        <v>12</v>
      </c>
      <c r="B17" s="5">
        <v>6283.6604347000002</v>
      </c>
      <c r="C17" s="16">
        <f>IFERROR(VLOOKUP(A17,BalanceSheet!$A:$B,2,0),0)</f>
        <v>4197.53</v>
      </c>
      <c r="D17" s="17">
        <f t="shared" si="0"/>
        <v>1.49699</v>
      </c>
    </row>
    <row r="18" spans="1:4" x14ac:dyDescent="0.2">
      <c r="A18" s="6" t="s">
        <v>13</v>
      </c>
      <c r="B18" s="5">
        <v>57.783814</v>
      </c>
      <c r="C18" s="16">
        <f>IFERROR(VLOOKUP(A18,BalanceSheet!$A:$B,2,0),0)</f>
        <v>38.6</v>
      </c>
      <c r="D18" s="17">
        <f t="shared" si="0"/>
        <v>1.49699</v>
      </c>
    </row>
    <row r="19" spans="1:4" x14ac:dyDescent="0.2">
      <c r="A19" s="7" t="s">
        <v>14</v>
      </c>
      <c r="B19" s="8">
        <f>SUM(B17:B18)</f>
        <v>6341.4442487000006</v>
      </c>
      <c r="C19" s="16">
        <f>IFERROR(VLOOKUP(A19,BalanceSheet!$A:$B,2,0),0)</f>
        <v>4236.13</v>
      </c>
      <c r="D19" s="17">
        <f t="shared" si="0"/>
        <v>1.49699</v>
      </c>
    </row>
    <row r="20" spans="1:4" x14ac:dyDescent="0.2">
      <c r="A20" s="4" t="s">
        <v>15</v>
      </c>
      <c r="B20" s="5"/>
      <c r="C20" s="16">
        <f>IFERROR(VLOOKUP(A20,BalanceSheet!$A:$B,2,0),0)</f>
        <v>0</v>
      </c>
      <c r="D20" s="17">
        <f t="shared" si="0"/>
        <v>0</v>
      </c>
    </row>
    <row r="21" spans="1:4" x14ac:dyDescent="0.2">
      <c r="A21" s="6" t="s">
        <v>16</v>
      </c>
      <c r="B21" s="5">
        <v>803652.80911190005</v>
      </c>
      <c r="C21" s="16">
        <f>IFERROR(VLOOKUP(A21,BalanceSheet!$A:$B,2,0),0)</f>
        <v>536845.81000000006</v>
      </c>
      <c r="D21" s="17">
        <f t="shared" si="0"/>
        <v>1.4969899999999998</v>
      </c>
    </row>
    <row r="22" spans="1:4" x14ac:dyDescent="0.2">
      <c r="A22" s="7" t="s">
        <v>17</v>
      </c>
      <c r="B22" s="8">
        <f>SUM(B21)</f>
        <v>803652.80911190005</v>
      </c>
      <c r="C22" s="16">
        <f>IFERROR(VLOOKUP(A22,BalanceSheet!$A:$B,2,0),0)</f>
        <v>536845.81000000006</v>
      </c>
      <c r="D22" s="17">
        <f t="shared" si="0"/>
        <v>1.4969899999999998</v>
      </c>
    </row>
    <row r="23" spans="1:4" x14ac:dyDescent="0.2">
      <c r="A23" s="4" t="s">
        <v>18</v>
      </c>
      <c r="B23" s="5"/>
      <c r="C23" s="16">
        <f>IFERROR(VLOOKUP(A23,BalanceSheet!$A:$B,2,0),0)</f>
        <v>0</v>
      </c>
      <c r="D23" s="17">
        <f t="shared" si="0"/>
        <v>0</v>
      </c>
    </row>
    <row r="24" spans="1:4" x14ac:dyDescent="0.2">
      <c r="A24" s="6" t="s">
        <v>19</v>
      </c>
      <c r="B24" s="5">
        <v>231.284955</v>
      </c>
      <c r="C24" s="16">
        <f>IFERROR(VLOOKUP(A24,BalanceSheet!$A:$B,2,0),0)</f>
        <v>154.5</v>
      </c>
      <c r="D24" s="17">
        <f t="shared" si="0"/>
        <v>1.49699</v>
      </c>
    </row>
    <row r="25" spans="1:4" x14ac:dyDescent="0.2">
      <c r="A25" s="7" t="s">
        <v>20</v>
      </c>
      <c r="B25" s="8">
        <f>SUM(B24)</f>
        <v>231.284955</v>
      </c>
      <c r="C25" s="16">
        <f>IFERROR(VLOOKUP(A25,BalanceSheet!$A:$B,2,0),0)</f>
        <v>154.5</v>
      </c>
      <c r="D25" s="17">
        <f t="shared" si="0"/>
        <v>1.49699</v>
      </c>
    </row>
    <row r="26" spans="1:4" x14ac:dyDescent="0.2">
      <c r="A26" s="4" t="s">
        <v>21</v>
      </c>
      <c r="B26" s="5"/>
      <c r="C26" s="16">
        <f>IFERROR(VLOOKUP(A26,BalanceSheet!$A:$B,2,0),0)</f>
        <v>0</v>
      </c>
      <c r="D26" s="17">
        <f t="shared" si="0"/>
        <v>0</v>
      </c>
    </row>
    <row r="27" spans="1:4" x14ac:dyDescent="0.2">
      <c r="A27" s="6" t="s">
        <v>22</v>
      </c>
      <c r="B27" s="5">
        <v>610019.87713369995</v>
      </c>
      <c r="C27" s="16">
        <f>IFERROR(VLOOKUP(A27,BalanceSheet!$A:$B,2,0),0)</f>
        <v>407497.63</v>
      </c>
      <c r="D27" s="17">
        <f t="shared" si="0"/>
        <v>1.4969899999999998</v>
      </c>
    </row>
    <row r="28" spans="1:4" x14ac:dyDescent="0.2">
      <c r="A28" s="7" t="s">
        <v>23</v>
      </c>
      <c r="B28" s="8">
        <f>SUM(B27)</f>
        <v>610019.87713369995</v>
      </c>
      <c r="C28" s="16">
        <f>IFERROR(VLOOKUP(A28,BalanceSheet!$A:$B,2,0),0)</f>
        <v>407497.63</v>
      </c>
      <c r="D28" s="17">
        <f t="shared" si="0"/>
        <v>1.4969899999999998</v>
      </c>
    </row>
    <row r="29" spans="1:4" x14ac:dyDescent="0.2">
      <c r="A29" s="4" t="s">
        <v>24</v>
      </c>
      <c r="B29" s="5"/>
      <c r="C29" s="16">
        <f>IFERROR(VLOOKUP(A29,BalanceSheet!$A:$B,2,0),0)</f>
        <v>0</v>
      </c>
      <c r="D29" s="17">
        <f t="shared" si="0"/>
        <v>0</v>
      </c>
    </row>
    <row r="30" spans="1:4" x14ac:dyDescent="0.2">
      <c r="A30" s="6" t="s">
        <v>25</v>
      </c>
      <c r="B30" s="5">
        <v>46735.324214699998</v>
      </c>
      <c r="C30" s="16">
        <f>IFERROR(VLOOKUP(A30,BalanceSheet!$A:$B,2,0),0)</f>
        <v>31219.53</v>
      </c>
      <c r="D30" s="17">
        <f t="shared" si="0"/>
        <v>1.49699</v>
      </c>
    </row>
    <row r="31" spans="1:4" x14ac:dyDescent="0.2">
      <c r="A31" s="6" t="s">
        <v>26</v>
      </c>
      <c r="B31" s="5">
        <v>-4047.0525854000002</v>
      </c>
      <c r="C31" s="16">
        <f>IFERROR(VLOOKUP(A31,BalanceSheet!$A:$B,2,0),0)</f>
        <v>-2703.46</v>
      </c>
      <c r="D31" s="17">
        <f t="shared" si="0"/>
        <v>1.49699</v>
      </c>
    </row>
    <row r="32" spans="1:4" x14ac:dyDescent="0.2">
      <c r="A32" s="6" t="s">
        <v>27</v>
      </c>
      <c r="B32" s="5">
        <v>237033.0672622</v>
      </c>
      <c r="C32" s="16">
        <f>IFERROR(VLOOKUP(A32,BalanceSheet!$A:$B,2,0),0)</f>
        <v>158339.78</v>
      </c>
      <c r="D32" s="17">
        <f t="shared" si="0"/>
        <v>1.49699</v>
      </c>
    </row>
    <row r="33" spans="1:4" x14ac:dyDescent="0.2">
      <c r="A33" s="6" t="s">
        <v>28</v>
      </c>
      <c r="B33" s="5">
        <v>-145853.38238900001</v>
      </c>
      <c r="C33" s="16">
        <f>IFERROR(VLOOKUP(A33,BalanceSheet!$A:$B,2,0),0)</f>
        <v>-97431.1</v>
      </c>
      <c r="D33" s="17">
        <f t="shared" si="0"/>
        <v>1.49699</v>
      </c>
    </row>
    <row r="34" spans="1:4" x14ac:dyDescent="0.2">
      <c r="A34" s="6" t="s">
        <v>29</v>
      </c>
      <c r="B34" s="5">
        <v>9899.2355924000003</v>
      </c>
      <c r="C34" s="16">
        <f>IFERROR(VLOOKUP(A34,BalanceSheet!$A:$B,2,0),0)</f>
        <v>6612.76</v>
      </c>
      <c r="D34" s="17">
        <f t="shared" si="0"/>
        <v>1.49699</v>
      </c>
    </row>
    <row r="35" spans="1:4" x14ac:dyDescent="0.2">
      <c r="A35" s="6" t="s">
        <v>30</v>
      </c>
      <c r="B35" s="5">
        <v>-1789.2772975</v>
      </c>
      <c r="C35" s="16">
        <f>IFERROR(VLOOKUP(A35,BalanceSheet!$A:$B,2,0),0)</f>
        <v>-1195.25</v>
      </c>
      <c r="D35" s="17">
        <f t="shared" si="0"/>
        <v>1.49699</v>
      </c>
    </row>
    <row r="36" spans="1:4" x14ac:dyDescent="0.2">
      <c r="A36" s="6" t="s">
        <v>31</v>
      </c>
      <c r="B36" s="5">
        <v>39019.104229600001</v>
      </c>
      <c r="C36" s="16">
        <f>IFERROR(VLOOKUP(A36,BalanceSheet!$A:$B,2,0),0)</f>
        <v>26065.040000000001</v>
      </c>
      <c r="D36" s="17">
        <f t="shared" si="0"/>
        <v>1.49699</v>
      </c>
    </row>
    <row r="37" spans="1:4" x14ac:dyDescent="0.2">
      <c r="A37" s="6" t="s">
        <v>32</v>
      </c>
      <c r="B37" s="5">
        <v>-15220.466186199999</v>
      </c>
      <c r="C37" s="16">
        <f>IFERROR(VLOOKUP(A37,BalanceSheet!$A:$B,2,0),0)</f>
        <v>-10167.379999999999</v>
      </c>
      <c r="D37" s="17">
        <f t="shared" si="0"/>
        <v>1.49699</v>
      </c>
    </row>
    <row r="38" spans="1:4" x14ac:dyDescent="0.2">
      <c r="A38" s="6" t="s">
        <v>33</v>
      </c>
      <c r="B38" s="5">
        <v>20427.5512925</v>
      </c>
      <c r="C38" s="16">
        <f>IFERROR(VLOOKUP(A38,BalanceSheet!$A:$B,2,0),0)</f>
        <v>13645.75</v>
      </c>
      <c r="D38" s="17">
        <f t="shared" si="0"/>
        <v>1.49699</v>
      </c>
    </row>
    <row r="39" spans="1:4" x14ac:dyDescent="0.2">
      <c r="A39" s="6" t="s">
        <v>34</v>
      </c>
      <c r="B39" s="5">
        <v>-5772.8125971999998</v>
      </c>
      <c r="C39" s="16">
        <f>IFERROR(VLOOKUP(A39,BalanceSheet!$A:$B,2,0),0)</f>
        <v>-3856.28</v>
      </c>
      <c r="D39" s="17">
        <f t="shared" si="0"/>
        <v>1.4969899999999998</v>
      </c>
    </row>
    <row r="40" spans="1:4" x14ac:dyDescent="0.2">
      <c r="A40" s="7" t="s">
        <v>35</v>
      </c>
      <c r="B40" s="8">
        <f>SUM(B30:B39)</f>
        <v>180431.29153609998</v>
      </c>
      <c r="C40" s="16">
        <f>IFERROR(VLOOKUP(A40,BalanceSheet!$A:$B,2,0),0)</f>
        <v>120529.38999999998</v>
      </c>
      <c r="D40" s="17">
        <f t="shared" si="0"/>
        <v>1.49699</v>
      </c>
    </row>
    <row r="41" spans="1:4" x14ac:dyDescent="0.2">
      <c r="A41" s="4" t="s">
        <v>36</v>
      </c>
      <c r="B41" s="5"/>
      <c r="C41" s="16">
        <f>IFERROR(VLOOKUP(A41,BalanceSheet!$A:$B,2,0),0)</f>
        <v>0</v>
      </c>
      <c r="D41" s="17">
        <f t="shared" si="0"/>
        <v>0</v>
      </c>
    </row>
    <row r="42" spans="1:4" x14ac:dyDescent="0.2">
      <c r="A42" s="6" t="s">
        <v>37</v>
      </c>
      <c r="B42" s="5">
        <v>-47623.278803100002</v>
      </c>
      <c r="C42" s="16">
        <f>IFERROR(VLOOKUP(A42,BalanceSheet!$A:$B,2,0),0)</f>
        <v>31812.69</v>
      </c>
      <c r="D42" s="17">
        <f t="shared" si="0"/>
        <v>-1.49699</v>
      </c>
    </row>
    <row r="43" spans="1:4" x14ac:dyDescent="0.2">
      <c r="A43" s="7" t="s">
        <v>38</v>
      </c>
      <c r="B43" s="8">
        <f>SUM(B42)</f>
        <v>-47623.278803100002</v>
      </c>
      <c r="C43" s="16">
        <f>IFERROR(VLOOKUP(A43,BalanceSheet!$A:$B,2,0),0)</f>
        <v>31812.69</v>
      </c>
      <c r="D43" s="17">
        <f t="shared" si="0"/>
        <v>-1.49699</v>
      </c>
    </row>
    <row r="44" spans="1:4" x14ac:dyDescent="0.2">
      <c r="A44" s="4" t="s">
        <v>39</v>
      </c>
      <c r="B44" s="5"/>
      <c r="C44" s="16">
        <f>IFERROR(VLOOKUP(A44,BalanceSheet!$A:$B,2,0),0)</f>
        <v>0</v>
      </c>
      <c r="D44" s="17">
        <f t="shared" si="0"/>
        <v>0</v>
      </c>
    </row>
    <row r="45" spans="1:4" x14ac:dyDescent="0.2">
      <c r="A45" s="6" t="s">
        <v>40</v>
      </c>
      <c r="B45" s="5">
        <v>-108278.55914149999</v>
      </c>
      <c r="C45" s="16">
        <f>IFERROR(VLOOKUP(A45,BalanceSheet!$A:$B,2,0),0)</f>
        <v>72330.850000000006</v>
      </c>
      <c r="D45" s="17">
        <f t="shared" si="0"/>
        <v>-1.4969899999999998</v>
      </c>
    </row>
    <row r="46" spans="1:4" x14ac:dyDescent="0.2">
      <c r="A46" s="6" t="s">
        <v>41</v>
      </c>
      <c r="B46" s="5">
        <v>-605.09832789999996</v>
      </c>
      <c r="C46" s="16">
        <f>IFERROR(VLOOKUP(A46,BalanceSheet!$A:$B,2,0),0)</f>
        <v>404.21</v>
      </c>
      <c r="D46" s="17">
        <f t="shared" si="0"/>
        <v>-1.49699</v>
      </c>
    </row>
    <row r="47" spans="1:4" x14ac:dyDescent="0.2">
      <c r="A47" s="6" t="s">
        <v>42</v>
      </c>
      <c r="B47" s="5">
        <v>-5562.81484</v>
      </c>
      <c r="C47" s="16">
        <f>IFERROR(VLOOKUP(A47,BalanceSheet!$A:$B,2,0),0)</f>
        <v>3716</v>
      </c>
      <c r="D47" s="17">
        <f t="shared" si="0"/>
        <v>-1.49699</v>
      </c>
    </row>
    <row r="48" spans="1:4" x14ac:dyDescent="0.2">
      <c r="A48" s="7" t="s">
        <v>43</v>
      </c>
      <c r="B48" s="8">
        <f>SUM(B45:B47)</f>
        <v>-114446.47230940001</v>
      </c>
      <c r="C48" s="16">
        <f>IFERROR(VLOOKUP(A48,BalanceSheet!$A:$B,2,0),0)</f>
        <v>76451.060000000012</v>
      </c>
      <c r="D48" s="17">
        <f t="shared" si="0"/>
        <v>-1.4969899999999998</v>
      </c>
    </row>
    <row r="49" spans="1:4" x14ac:dyDescent="0.2">
      <c r="A49" s="4" t="s">
        <v>44</v>
      </c>
      <c r="B49" s="5"/>
      <c r="C49" s="16">
        <f>IFERROR(VLOOKUP(A49,BalanceSheet!$A:$B,2,0),0)</f>
        <v>0</v>
      </c>
      <c r="D49" s="17">
        <f t="shared" si="0"/>
        <v>0</v>
      </c>
    </row>
    <row r="50" spans="1:4" x14ac:dyDescent="0.2">
      <c r="A50" s="6" t="s">
        <v>254</v>
      </c>
      <c r="B50" s="5">
        <v>-15564.070300900001</v>
      </c>
      <c r="C50" s="16">
        <f>IFERROR(VLOOKUP(A50,BalanceSheet!$A:$B,2,0),0)</f>
        <v>10396.91</v>
      </c>
      <c r="D50" s="17">
        <f t="shared" si="0"/>
        <v>-1.49699</v>
      </c>
    </row>
    <row r="51" spans="1:4" x14ac:dyDescent="0.2">
      <c r="A51" s="7" t="s">
        <v>45</v>
      </c>
      <c r="B51" s="8">
        <f>SUM(B50)</f>
        <v>-15564.070300900001</v>
      </c>
      <c r="C51" s="16">
        <f>IFERROR(VLOOKUP(A51,BalanceSheet!$A:$B,2,0),0)</f>
        <v>10396.91</v>
      </c>
      <c r="D51" s="17">
        <f t="shared" si="0"/>
        <v>-1.49699</v>
      </c>
    </row>
    <row r="52" spans="1:4" x14ac:dyDescent="0.2">
      <c r="A52" s="4" t="s">
        <v>46</v>
      </c>
      <c r="B52" s="5"/>
      <c r="C52" s="16">
        <f>IFERROR(VLOOKUP(A52,BalanceSheet!$A:$B,2,0),0)</f>
        <v>0</v>
      </c>
      <c r="D52" s="17">
        <f t="shared" si="0"/>
        <v>0</v>
      </c>
    </row>
    <row r="53" spans="1:4" x14ac:dyDescent="0.2">
      <c r="A53" s="6" t="s">
        <v>47</v>
      </c>
      <c r="B53" s="5">
        <v>21.856054</v>
      </c>
      <c r="C53" s="16">
        <f>IFERROR(VLOOKUP(A53,BalanceSheet!$A:$B,2,0),0)</f>
        <v>-14.6</v>
      </c>
      <c r="D53" s="17">
        <f t="shared" si="0"/>
        <v>-1.49699</v>
      </c>
    </row>
    <row r="54" spans="1:4" x14ac:dyDescent="0.2">
      <c r="A54" s="6" t="s">
        <v>48</v>
      </c>
      <c r="B54" s="5">
        <v>-152393.58199999999</v>
      </c>
      <c r="C54" s="16">
        <f>IFERROR(VLOOKUP(A54,BalanceSheet!$A:$B,2,0),0)</f>
        <v>101800</v>
      </c>
      <c r="D54" s="17">
        <f t="shared" si="0"/>
        <v>-1.49699</v>
      </c>
    </row>
    <row r="55" spans="1:4" x14ac:dyDescent="0.2">
      <c r="A55" s="6" t="s">
        <v>49</v>
      </c>
      <c r="B55" s="5">
        <v>-75418.221470899996</v>
      </c>
      <c r="C55" s="16">
        <f>IFERROR(VLOOKUP(A55,BalanceSheet!$A:$B,2,0),0)</f>
        <v>50379.91</v>
      </c>
      <c r="D55" s="17">
        <f t="shared" si="0"/>
        <v>-1.4969899999999998</v>
      </c>
    </row>
    <row r="56" spans="1:4" x14ac:dyDescent="0.2">
      <c r="A56" s="6" t="s">
        <v>50</v>
      </c>
      <c r="B56" s="5">
        <v>-75608.638598899997</v>
      </c>
      <c r="C56" s="16">
        <f>IFERROR(VLOOKUP(A56,BalanceSheet!$A:$B,2,0),0)</f>
        <v>50507.11</v>
      </c>
      <c r="D56" s="17">
        <f t="shared" si="0"/>
        <v>-1.4969899999999998</v>
      </c>
    </row>
    <row r="57" spans="1:4" x14ac:dyDescent="0.2">
      <c r="A57" s="6" t="s">
        <v>51</v>
      </c>
      <c r="B57" s="5">
        <v>-51667.0380105</v>
      </c>
      <c r="C57" s="16">
        <f>IFERROR(VLOOKUP(A57,BalanceSheet!$A:$B,2,0),0)</f>
        <v>34513.949999999997</v>
      </c>
      <c r="D57" s="17">
        <f t="shared" si="0"/>
        <v>-1.49699</v>
      </c>
    </row>
    <row r="58" spans="1:4" x14ac:dyDescent="0.2">
      <c r="A58" s="6" t="s">
        <v>52</v>
      </c>
      <c r="B58" s="5">
        <v>-17836.6059102</v>
      </c>
      <c r="C58" s="16">
        <f>IFERROR(VLOOKUP(A58,BalanceSheet!$A:$B,2,0),0)</f>
        <v>11914.98</v>
      </c>
      <c r="D58" s="17">
        <f t="shared" si="0"/>
        <v>-1.49699</v>
      </c>
    </row>
    <row r="59" spans="1:4" x14ac:dyDescent="0.2">
      <c r="A59" s="6" t="s">
        <v>53</v>
      </c>
      <c r="B59" s="5">
        <v>-550.90728990000002</v>
      </c>
      <c r="C59" s="16">
        <f>IFERROR(VLOOKUP(A59,BalanceSheet!$A:$B,2,0),0)</f>
        <v>368.01</v>
      </c>
      <c r="D59" s="17">
        <f t="shared" si="0"/>
        <v>-1.49699</v>
      </c>
    </row>
    <row r="60" spans="1:4" x14ac:dyDescent="0.2">
      <c r="A60" s="7" t="s">
        <v>54</v>
      </c>
      <c r="B60" s="8">
        <f>SUM(B53:B59)</f>
        <v>-373453.13722640002</v>
      </c>
      <c r="C60" s="16">
        <f>IFERROR(VLOOKUP(A60,BalanceSheet!$A:$B,2,0),0)</f>
        <v>249469.36000000002</v>
      </c>
      <c r="D60" s="17">
        <f t="shared" si="0"/>
        <v>-1.49699</v>
      </c>
    </row>
    <row r="61" spans="1:4" x14ac:dyDescent="0.2">
      <c r="A61" s="4" t="s">
        <v>55</v>
      </c>
      <c r="B61" s="5"/>
      <c r="C61" s="16">
        <f>IFERROR(VLOOKUP(A61,BalanceSheet!$A:$B,2,0),0)</f>
        <v>0</v>
      </c>
      <c r="D61" s="17">
        <f t="shared" si="0"/>
        <v>0</v>
      </c>
    </row>
    <row r="62" spans="1:4" x14ac:dyDescent="0.2">
      <c r="A62" s="6" t="s">
        <v>56</v>
      </c>
      <c r="B62" s="5">
        <v>-84397.302219999998</v>
      </c>
      <c r="C62" s="16">
        <f>IFERROR(VLOOKUP(A62,BalanceSheet!$A:$B,2,0),0)</f>
        <v>56378</v>
      </c>
      <c r="D62" s="17">
        <f t="shared" si="0"/>
        <v>-1.49699</v>
      </c>
    </row>
    <row r="63" spans="1:4" x14ac:dyDescent="0.2">
      <c r="A63" s="6" t="s">
        <v>57</v>
      </c>
      <c r="B63" s="5">
        <v>-46136.6180341</v>
      </c>
      <c r="C63" s="16">
        <f>IFERROR(VLOOKUP(A63,BalanceSheet!$A:$B,2,0),0)</f>
        <v>30819.59</v>
      </c>
      <c r="D63" s="17">
        <f t="shared" si="0"/>
        <v>-1.49699</v>
      </c>
    </row>
    <row r="64" spans="1:4" x14ac:dyDescent="0.2">
      <c r="A64" s="6" t="s">
        <v>58</v>
      </c>
      <c r="B64" s="5">
        <v>-57.783814</v>
      </c>
      <c r="C64" s="16">
        <f>IFERROR(VLOOKUP(A64,BalanceSheet!$A:$B,2,0),0)</f>
        <v>38.6</v>
      </c>
      <c r="D64" s="17">
        <f t="shared" si="0"/>
        <v>-1.49699</v>
      </c>
    </row>
    <row r="65" spans="1:4" x14ac:dyDescent="0.2">
      <c r="A65" s="7" t="s">
        <v>59</v>
      </c>
      <c r="B65" s="8">
        <f>SUM(B62:B64)</f>
        <v>-130591.70406809999</v>
      </c>
      <c r="C65" s="16">
        <f>IFERROR(VLOOKUP(A65,BalanceSheet!$A:$B,2,0),0)</f>
        <v>87236.19</v>
      </c>
      <c r="D65" s="17">
        <f t="shared" si="0"/>
        <v>-1.4969899999999998</v>
      </c>
    </row>
    <row r="66" spans="1:4" x14ac:dyDescent="0.2">
      <c r="A66" s="4" t="s">
        <v>60</v>
      </c>
      <c r="B66" s="5"/>
      <c r="C66" s="16">
        <f>IFERROR(VLOOKUP(A66,BalanceSheet!$A:$B,2,0),0)</f>
        <v>0</v>
      </c>
      <c r="D66" s="17">
        <f t="shared" si="0"/>
        <v>0</v>
      </c>
    </row>
    <row r="67" spans="1:4" x14ac:dyDescent="0.2">
      <c r="A67" s="6" t="s">
        <v>61</v>
      </c>
      <c r="B67" s="5">
        <v>-173650.84</v>
      </c>
      <c r="C67" s="16">
        <f>IFERROR(VLOOKUP(A67,BalanceSheet!$A:$B,2,0),0)</f>
        <v>116000</v>
      </c>
      <c r="D67" s="17">
        <f t="shared" si="0"/>
        <v>-1.49699</v>
      </c>
    </row>
    <row r="68" spans="1:4" x14ac:dyDescent="0.2">
      <c r="A68" s="7" t="s">
        <v>62</v>
      </c>
      <c r="B68" s="8">
        <f>SUM(B67)</f>
        <v>-173650.84</v>
      </c>
      <c r="C68" s="16">
        <f>IFERROR(VLOOKUP(A68,BalanceSheet!$A:$B,2,0),0)</f>
        <v>116000</v>
      </c>
      <c r="D68" s="17">
        <f t="shared" si="0"/>
        <v>-1.49699</v>
      </c>
    </row>
    <row r="69" spans="1:4" x14ac:dyDescent="0.2">
      <c r="A69" s="4" t="s">
        <v>63</v>
      </c>
      <c r="B69" s="5"/>
      <c r="C69" s="16">
        <f>IFERROR(VLOOKUP(A69,BalanceSheet!$A:$B,2,0),0)</f>
        <v>0</v>
      </c>
      <c r="D69" s="17">
        <f t="shared" si="0"/>
        <v>0</v>
      </c>
    </row>
    <row r="70" spans="1:4" x14ac:dyDescent="0.2">
      <c r="A70" s="6" t="s">
        <v>255</v>
      </c>
      <c r="B70" s="5">
        <v>-1798201.5884151</v>
      </c>
      <c r="C70" s="16">
        <f>IFERROR(VLOOKUP(A70,BalanceSheet!$A:$B,2,0),0)</f>
        <v>1201211.49</v>
      </c>
      <c r="D70" s="17">
        <f t="shared" si="0"/>
        <v>-1.49699</v>
      </c>
    </row>
    <row r="71" spans="1:4" x14ac:dyDescent="0.2">
      <c r="A71" s="7" t="s">
        <v>64</v>
      </c>
      <c r="B71" s="8">
        <f>SUM(B70)</f>
        <v>-1798201.5884151</v>
      </c>
      <c r="C71" s="16">
        <f>IFERROR(VLOOKUP(A71,BalanceSheet!$A:$B,2,0),0)</f>
        <v>1201211.49</v>
      </c>
      <c r="D71" s="17">
        <f t="shared" si="0"/>
        <v>-1.49699</v>
      </c>
    </row>
    <row r="72" spans="1:4" x14ac:dyDescent="0.2">
      <c r="A72" s="4" t="s">
        <v>65</v>
      </c>
      <c r="B72" s="5"/>
      <c r="C72" s="16">
        <f>IFERROR(VLOOKUP(A72,BalanceSheet!$A:$B,2,0),0)</f>
        <v>0</v>
      </c>
      <c r="D72" s="17">
        <f t="shared" si="0"/>
        <v>0</v>
      </c>
    </row>
    <row r="73" spans="1:4" x14ac:dyDescent="0.2">
      <c r="A73" s="6" t="s">
        <v>66</v>
      </c>
      <c r="B73" s="5">
        <v>-92898.708429999999</v>
      </c>
      <c r="C73" s="16">
        <f>IFERROR(VLOOKUP(A73,BalanceSheet!$A:$B,2,0),0)</f>
        <v>62057</v>
      </c>
      <c r="D73" s="17">
        <f t="shared" si="0"/>
        <v>-1.49699</v>
      </c>
    </row>
    <row r="74" spans="1:4" x14ac:dyDescent="0.2">
      <c r="A74" s="7" t="s">
        <v>67</v>
      </c>
      <c r="B74" s="8">
        <f>SUM(B73)</f>
        <v>-92898.708429999999</v>
      </c>
      <c r="C74" s="16">
        <f>IFERROR(VLOOKUP(A74,BalanceSheet!$A:$B,2,0),0)</f>
        <v>62057</v>
      </c>
      <c r="D74" s="17">
        <f t="shared" ref="D74:D137" si="1">IFERROR(B74/C74,0)</f>
        <v>-1.49699</v>
      </c>
    </row>
    <row r="75" spans="1:4" x14ac:dyDescent="0.2">
      <c r="A75" s="4" t="s">
        <v>68</v>
      </c>
      <c r="B75" s="5"/>
      <c r="C75" s="16">
        <f>IFERROR(VLOOKUP(A75,BalanceSheet!$A:$B,2,0),0)</f>
        <v>0</v>
      </c>
      <c r="D75" s="17">
        <f t="shared" si="1"/>
        <v>0</v>
      </c>
    </row>
    <row r="76" spans="1:4" x14ac:dyDescent="0.2">
      <c r="A76" s="6" t="s">
        <v>69</v>
      </c>
      <c r="B76" s="5">
        <v>-1511.34104</v>
      </c>
      <c r="C76" s="16">
        <f>IFERROR(VLOOKUP(A76,BalanceSheet!$A:$B,2,0),0)</f>
        <v>1012</v>
      </c>
      <c r="D76" s="17">
        <f t="shared" si="1"/>
        <v>-1.49342</v>
      </c>
    </row>
    <row r="77" spans="1:4" x14ac:dyDescent="0.2">
      <c r="A77" s="7" t="s">
        <v>70</v>
      </c>
      <c r="B77" s="8">
        <f>SUM(B76)</f>
        <v>-1511.34104</v>
      </c>
      <c r="C77" s="16">
        <f>IFERROR(VLOOKUP(A77,BalanceSheet!$A:$B,2,0),0)</f>
        <v>1012</v>
      </c>
      <c r="D77" s="17">
        <f t="shared" si="1"/>
        <v>-1.49342</v>
      </c>
    </row>
    <row r="78" spans="1:4" x14ac:dyDescent="0.2">
      <c r="A78" s="4" t="s">
        <v>71</v>
      </c>
      <c r="B78" s="5"/>
      <c r="C78" s="16">
        <f>IFERROR(VLOOKUP(A78,BalanceSheet!$A:$B,2,0),0)</f>
        <v>0</v>
      </c>
      <c r="D78" s="17">
        <f t="shared" si="1"/>
        <v>0</v>
      </c>
    </row>
    <row r="79" spans="1:4" x14ac:dyDescent="0.2">
      <c r="A79" s="6" t="s">
        <v>72</v>
      </c>
      <c r="B79" s="5">
        <v>-151.49538799999999</v>
      </c>
      <c r="C79" s="16">
        <f>IFERROR(VLOOKUP(A79,BalanceSheet!$A:$B,2,0),0)</f>
        <v>101.2</v>
      </c>
      <c r="D79" s="17">
        <f t="shared" si="1"/>
        <v>-1.4969899999999998</v>
      </c>
    </row>
    <row r="80" spans="1:4" x14ac:dyDescent="0.2">
      <c r="A80" s="6" t="s">
        <v>73</v>
      </c>
      <c r="B80" s="5">
        <v>-177559.80161554005</v>
      </c>
      <c r="C80" s="16">
        <f>IFERROR(VLOOKUP(A80,BalanceSheet!$A:$B,2,0),0)</f>
        <v>0</v>
      </c>
      <c r="D80" s="17">
        <f t="shared" si="1"/>
        <v>0</v>
      </c>
    </row>
    <row r="81" spans="1:4" x14ac:dyDescent="0.2">
      <c r="A81" s="7" t="s">
        <v>74</v>
      </c>
      <c r="B81" s="8">
        <f>SUM(B79:B80)</f>
        <v>-177711.29700354006</v>
      </c>
      <c r="C81" s="16">
        <f>IFERROR(VLOOKUP(A81,BalanceSheet!$A:$B,2,0),0)</f>
        <v>101.2</v>
      </c>
      <c r="D81" s="17">
        <f t="shared" si="1"/>
        <v>-1756.0404842247042</v>
      </c>
    </row>
    <row r="82" spans="1:4" x14ac:dyDescent="0.2">
      <c r="A82" s="4" t="s">
        <v>75</v>
      </c>
      <c r="B82" s="5"/>
      <c r="C82" s="16">
        <f>IFERROR(VLOOKUP(A82,BalanceSheet!$A:$B,2,0),0)</f>
        <v>0</v>
      </c>
      <c r="D82" s="17">
        <f t="shared" si="1"/>
        <v>0</v>
      </c>
    </row>
    <row r="83" spans="1:4" x14ac:dyDescent="0.2">
      <c r="A83" s="9" t="s">
        <v>76</v>
      </c>
      <c r="B83" s="5"/>
      <c r="C83" s="16">
        <f>IFERROR(VLOOKUP(A83,BalanceSheet!$A:$B,2,0),0)</f>
        <v>0</v>
      </c>
      <c r="D83" s="17">
        <f t="shared" si="1"/>
        <v>0</v>
      </c>
    </row>
    <row r="84" spans="1:4" x14ac:dyDescent="0.2">
      <c r="A84" s="10" t="s">
        <v>77</v>
      </c>
      <c r="B84" s="5">
        <v>-3523095.1965712011</v>
      </c>
      <c r="C84" s="16">
        <f>IFERROR(VLOOKUP(A84,ProfitandLoss!$A:$B,2,0),0)</f>
        <v>2381881.65</v>
      </c>
      <c r="D84" s="17">
        <f t="shared" si="1"/>
        <v>-1.4791226913273383</v>
      </c>
    </row>
    <row r="85" spans="1:4" x14ac:dyDescent="0.2">
      <c r="A85" s="10" t="s">
        <v>78</v>
      </c>
      <c r="B85" s="5">
        <v>-24235.637048895096</v>
      </c>
      <c r="C85" s="16">
        <f>IFERROR(VLOOKUP(A85,ProfitandLoss!$A:$B,2,0),0)</f>
        <v>16546.22</v>
      </c>
      <c r="D85" s="17">
        <f t="shared" si="1"/>
        <v>-1.4647234866268606</v>
      </c>
    </row>
    <row r="86" spans="1:4" x14ac:dyDescent="0.2">
      <c r="A86" s="10" t="s">
        <v>79</v>
      </c>
      <c r="B86" s="5">
        <v>-2058137.3333939125</v>
      </c>
      <c r="C86" s="16">
        <f>IFERROR(VLOOKUP(A86,ProfitandLoss!$A:$B,2,0),0)</f>
        <v>1389978.13</v>
      </c>
      <c r="D86" s="17">
        <f t="shared" si="1"/>
        <v>-1.480697637590825</v>
      </c>
    </row>
    <row r="87" spans="1:4" x14ac:dyDescent="0.2">
      <c r="A87" s="11" t="s">
        <v>80</v>
      </c>
      <c r="B87" s="8">
        <f>SUM(B84:B86)</f>
        <v>-5605468.1670140084</v>
      </c>
      <c r="C87" s="16">
        <f>IFERROR(VLOOKUP(A87,ProfitandLoss!$A:$B,2,0),0)</f>
        <v>3788406</v>
      </c>
      <c r="D87" s="17">
        <f t="shared" si="1"/>
        <v>-1.4796376542044354</v>
      </c>
    </row>
    <row r="88" spans="1:4" x14ac:dyDescent="0.2">
      <c r="A88" s="9" t="s">
        <v>81</v>
      </c>
      <c r="B88" s="5"/>
      <c r="C88" s="16">
        <f>IFERROR(VLOOKUP(A88,ProfitandLoss!$A:$B,2,0),0)</f>
        <v>0</v>
      </c>
      <c r="D88" s="17">
        <f t="shared" si="1"/>
        <v>0</v>
      </c>
    </row>
    <row r="89" spans="1:4" x14ac:dyDescent="0.2">
      <c r="A89" s="10" t="s">
        <v>82</v>
      </c>
      <c r="B89" s="5">
        <v>-118443.16209215806</v>
      </c>
      <c r="C89" s="16">
        <f>IFERROR(VLOOKUP(A89,ProfitandLoss!$A:$B,2,0),0)</f>
        <v>76598.05</v>
      </c>
      <c r="D89" s="17">
        <f t="shared" si="1"/>
        <v>-1.5462947436933192</v>
      </c>
    </row>
    <row r="90" spans="1:4" x14ac:dyDescent="0.2">
      <c r="A90" s="11" t="s">
        <v>83</v>
      </c>
      <c r="B90" s="8">
        <f>SUM(B89)</f>
        <v>-118443.16209215806</v>
      </c>
      <c r="C90" s="16">
        <f>IFERROR(VLOOKUP(A90,ProfitandLoss!$A:$B,2,0),0)</f>
        <v>76598.05</v>
      </c>
      <c r="D90" s="17">
        <f t="shared" si="1"/>
        <v>-1.5462947436933192</v>
      </c>
    </row>
    <row r="91" spans="1:4" x14ac:dyDescent="0.2">
      <c r="A91" s="9" t="s">
        <v>84</v>
      </c>
      <c r="B91" s="5"/>
      <c r="C91" s="16">
        <f>IFERROR(VLOOKUP(A91,ProfitandLoss!$A:$B,2,0),0)</f>
        <v>0</v>
      </c>
      <c r="D91" s="17">
        <f t="shared" si="1"/>
        <v>0</v>
      </c>
    </row>
    <row r="92" spans="1:4" x14ac:dyDescent="0.2">
      <c r="A92" s="10" t="s">
        <v>85</v>
      </c>
      <c r="B92" s="5">
        <v>-1511.3798943706133</v>
      </c>
      <c r="C92" s="16">
        <f>IFERROR(VLOOKUP(A92,ProfitandLoss!$A:$B,2,0),0)</f>
        <v>1027.57</v>
      </c>
      <c r="D92" s="17">
        <f t="shared" si="1"/>
        <v>-1.4708291351154796</v>
      </c>
    </row>
    <row r="93" spans="1:4" x14ac:dyDescent="0.2">
      <c r="A93" s="11" t="s">
        <v>86</v>
      </c>
      <c r="B93" s="8">
        <f>SUM(B92)</f>
        <v>-1511.3798943706133</v>
      </c>
      <c r="C93" s="16">
        <f>IFERROR(VLOOKUP(A93,ProfitandLoss!$A:$B,2,0),0)</f>
        <v>1027.57</v>
      </c>
      <c r="D93" s="17">
        <f t="shared" si="1"/>
        <v>-1.4708291351154796</v>
      </c>
    </row>
    <row r="94" spans="1:4" x14ac:dyDescent="0.2">
      <c r="A94" s="7" t="s">
        <v>87</v>
      </c>
      <c r="B94" s="8">
        <f>SUM(B87,B90,B93)</f>
        <v>-5725422.7090005362</v>
      </c>
      <c r="C94" s="16">
        <f>IFERROR(VLOOKUP(A94,ProfitandLoss!$A:$B,2,0),0)</f>
        <v>3866031.6199999996</v>
      </c>
      <c r="D94" s="17">
        <f t="shared" si="1"/>
        <v>-1.4809559961644951</v>
      </c>
    </row>
    <row r="95" spans="1:4" x14ac:dyDescent="0.2">
      <c r="A95" s="4" t="s">
        <v>88</v>
      </c>
      <c r="B95" s="5"/>
      <c r="C95" s="16">
        <f>IFERROR(VLOOKUP(A95,ProfitandLoss!$A:$B,2,0),0)</f>
        <v>0</v>
      </c>
      <c r="D95" s="17">
        <f t="shared" si="1"/>
        <v>0</v>
      </c>
    </row>
    <row r="96" spans="1:4" x14ac:dyDescent="0.2">
      <c r="A96" s="9" t="s">
        <v>89</v>
      </c>
      <c r="B96" s="5"/>
      <c r="C96" s="16">
        <f>IFERROR(VLOOKUP(A96,ProfitandLoss!$A:$B,2,0),0)</f>
        <v>0</v>
      </c>
      <c r="D96" s="17">
        <f t="shared" si="1"/>
        <v>0</v>
      </c>
    </row>
    <row r="97" spans="1:4" x14ac:dyDescent="0.2">
      <c r="A97" s="12" t="s">
        <v>90</v>
      </c>
      <c r="B97" s="5"/>
      <c r="C97" s="16">
        <f>IFERROR(VLOOKUP(A97,ProfitandLoss!$A:$B,2,0),0)</f>
        <v>1260791.8600000001</v>
      </c>
      <c r="D97" s="17">
        <f t="shared" si="1"/>
        <v>0</v>
      </c>
    </row>
    <row r="98" spans="1:4" x14ac:dyDescent="0.2">
      <c r="A98" s="13" t="s">
        <v>90</v>
      </c>
      <c r="B98" s="5">
        <v>1868092.0945225549</v>
      </c>
      <c r="C98" s="16">
        <f>IFERROR(VLOOKUP(A98,ProfitandLoss!$A:$B,2,0),0)</f>
        <v>1260791.8600000001</v>
      </c>
      <c r="D98" s="17">
        <f t="shared" si="1"/>
        <v>1.4816815953448135</v>
      </c>
    </row>
    <row r="99" spans="1:4" x14ac:dyDescent="0.2">
      <c r="A99" s="14" t="s">
        <v>91</v>
      </c>
      <c r="B99" s="8">
        <f>SUM(B98)</f>
        <v>1868092.0945225549</v>
      </c>
      <c r="C99" s="16">
        <f>IFERROR(VLOOKUP(A99,ProfitandLoss!$A:$B,2,0),0)</f>
        <v>0</v>
      </c>
      <c r="D99" s="17">
        <f t="shared" si="1"/>
        <v>0</v>
      </c>
    </row>
    <row r="100" spans="1:4" x14ac:dyDescent="0.2">
      <c r="A100" s="10" t="s">
        <v>92</v>
      </c>
      <c r="B100" s="5">
        <v>15178.634234289284</v>
      </c>
      <c r="C100" s="16">
        <f>IFERROR(VLOOKUP(A100,ProfitandLoss!$A:$B,2,0),0)</f>
        <v>10219.049999999999</v>
      </c>
      <c r="D100" s="17">
        <f t="shared" si="1"/>
        <v>1.4853273283024631</v>
      </c>
    </row>
    <row r="101" spans="1:4" x14ac:dyDescent="0.2">
      <c r="A101" s="10" t="s">
        <v>93</v>
      </c>
      <c r="B101" s="5">
        <v>440606.09271816007</v>
      </c>
      <c r="C101" s="16">
        <f>IFERROR(VLOOKUP(A101,ProfitandLoss!$A:$B,2,0),0)</f>
        <v>297486.34999999998</v>
      </c>
      <c r="D101" s="17">
        <f t="shared" si="1"/>
        <v>1.481096839294173</v>
      </c>
    </row>
    <row r="102" spans="1:4" x14ac:dyDescent="0.2">
      <c r="A102" s="10" t="s">
        <v>94</v>
      </c>
      <c r="B102" s="5">
        <v>11587.901420683527</v>
      </c>
      <c r="C102" s="16">
        <f>IFERROR(VLOOKUP(A102,ProfitandLoss!$A:$B,2,0),0)</f>
        <v>7810.48</v>
      </c>
      <c r="D102" s="17">
        <f t="shared" si="1"/>
        <v>1.4836349905106381</v>
      </c>
    </row>
    <row r="103" spans="1:4" x14ac:dyDescent="0.2">
      <c r="A103" s="10" t="s">
        <v>95</v>
      </c>
      <c r="B103" s="5">
        <v>27934.951896359202</v>
      </c>
      <c r="C103" s="16">
        <f>IFERROR(VLOOKUP(A103,ProfitandLoss!$A:$B,2,0),0)</f>
        <v>18900.919999999998</v>
      </c>
      <c r="D103" s="17">
        <f t="shared" si="1"/>
        <v>1.4779678394680895</v>
      </c>
    </row>
    <row r="104" spans="1:4" x14ac:dyDescent="0.2">
      <c r="A104" s="10" t="s">
        <v>96</v>
      </c>
      <c r="B104" s="5">
        <v>337.76952552779846</v>
      </c>
      <c r="C104" s="16">
        <f>IFERROR(VLOOKUP(A104,ProfitandLoss!$A:$B,2,0),0)</f>
        <v>231.97</v>
      </c>
      <c r="D104" s="17">
        <f t="shared" si="1"/>
        <v>1.456091414957962</v>
      </c>
    </row>
    <row r="105" spans="1:4" x14ac:dyDescent="0.2">
      <c r="A105" s="10" t="s">
        <v>97</v>
      </c>
      <c r="B105" s="5">
        <v>189205.04104263254</v>
      </c>
      <c r="C105" s="16">
        <f>IFERROR(VLOOKUP(A105,ProfitandLoss!$A:$B,2,0),0)</f>
        <v>127689.43</v>
      </c>
      <c r="D105" s="17">
        <f t="shared" si="1"/>
        <v>1.4817596181816501</v>
      </c>
    </row>
    <row r="106" spans="1:4" x14ac:dyDescent="0.2">
      <c r="A106" s="10" t="s">
        <v>98</v>
      </c>
      <c r="B106" s="5">
        <v>113245.75849699709</v>
      </c>
      <c r="C106" s="16">
        <f>IFERROR(VLOOKUP(A106,ProfitandLoss!$A:$B,2,0),0)</f>
        <v>76525.94</v>
      </c>
      <c r="D106" s="17">
        <f t="shared" si="1"/>
        <v>1.4798349226026768</v>
      </c>
    </row>
    <row r="107" spans="1:4" x14ac:dyDescent="0.2">
      <c r="A107" s="10" t="s">
        <v>99</v>
      </c>
      <c r="B107" s="5">
        <v>168773.49813367269</v>
      </c>
      <c r="C107" s="16">
        <f>IFERROR(VLOOKUP(A107,ProfitandLoss!$A:$B,2,0),0)</f>
        <v>113965.69</v>
      </c>
      <c r="D107" s="17">
        <f t="shared" si="1"/>
        <v>1.4809149853229748</v>
      </c>
    </row>
    <row r="108" spans="1:4" x14ac:dyDescent="0.2">
      <c r="A108" s="10" t="s">
        <v>100</v>
      </c>
      <c r="B108" s="5">
        <v>107049.95585476237</v>
      </c>
      <c r="C108" s="16">
        <f>IFERROR(VLOOKUP(A108,ProfitandLoss!$A:$B,2,0),0)</f>
        <v>72000</v>
      </c>
      <c r="D108" s="17">
        <f t="shared" si="1"/>
        <v>1.4868049424272551</v>
      </c>
    </row>
    <row r="109" spans="1:4" x14ac:dyDescent="0.2">
      <c r="A109" s="10" t="s">
        <v>101</v>
      </c>
      <c r="B109" s="5">
        <v>-2.5556092990558339</v>
      </c>
      <c r="C109" s="16">
        <f>IFERROR(VLOOKUP(A109,ProfitandLoss!$A:$B,2,0),0)</f>
        <v>0</v>
      </c>
      <c r="D109" s="17">
        <f t="shared" si="1"/>
        <v>0</v>
      </c>
    </row>
    <row r="110" spans="1:4" x14ac:dyDescent="0.2">
      <c r="A110" s="11" t="s">
        <v>102</v>
      </c>
      <c r="B110" s="8">
        <f>SUM(B99:B109)</f>
        <v>2942009.1422363408</v>
      </c>
      <c r="C110" s="16">
        <f>IFERROR(VLOOKUP(A110,ProfitandLoss!$A:$B,2,0),0)</f>
        <v>1985621.69</v>
      </c>
      <c r="D110" s="17">
        <f t="shared" si="1"/>
        <v>1.481656428841861</v>
      </c>
    </row>
    <row r="111" spans="1:4" x14ac:dyDescent="0.2">
      <c r="A111" s="9" t="s">
        <v>103</v>
      </c>
      <c r="B111" s="5"/>
      <c r="C111" s="16">
        <f>IFERROR(VLOOKUP(A111,ProfitandLoss!$A:$B,2,0),0)</f>
        <v>0</v>
      </c>
      <c r="D111" s="17">
        <f t="shared" si="1"/>
        <v>0</v>
      </c>
    </row>
    <row r="112" spans="1:4" x14ac:dyDescent="0.2">
      <c r="A112" s="12" t="s">
        <v>104</v>
      </c>
      <c r="B112" s="5"/>
      <c r="C112" s="16">
        <f>IFERROR(VLOOKUP(A112,ProfitandLoss!$A:$B,2,0),0)</f>
        <v>92408.68</v>
      </c>
      <c r="D112" s="17">
        <f t="shared" si="1"/>
        <v>0</v>
      </c>
    </row>
    <row r="113" spans="1:4" x14ac:dyDescent="0.2">
      <c r="A113" s="13" t="s">
        <v>104</v>
      </c>
      <c r="B113" s="5">
        <v>137698.89325060055</v>
      </c>
      <c r="C113" s="16">
        <f>IFERROR(VLOOKUP(A113,ProfitandLoss!$A:$B,2,0),0)</f>
        <v>92408.68</v>
      </c>
      <c r="D113" s="17">
        <f t="shared" si="1"/>
        <v>1.4901077826303823</v>
      </c>
    </row>
    <row r="114" spans="1:4" x14ac:dyDescent="0.2">
      <c r="A114" s="14" t="s">
        <v>105</v>
      </c>
      <c r="B114" s="8">
        <f>SUM(B113)</f>
        <v>137698.89325060055</v>
      </c>
      <c r="C114" s="16">
        <f>IFERROR(VLOOKUP(A114,ProfitandLoss!$A:$B,2,0),0)</f>
        <v>0</v>
      </c>
      <c r="D114" s="17">
        <f t="shared" si="1"/>
        <v>0</v>
      </c>
    </row>
    <row r="115" spans="1:4" x14ac:dyDescent="0.2">
      <c r="A115" s="12" t="s">
        <v>106</v>
      </c>
      <c r="B115" s="5"/>
      <c r="C115" s="16">
        <f>IFERROR(VLOOKUP(A115,ProfitandLoss!$A:$B,2,0),0)</f>
        <v>390009.13</v>
      </c>
      <c r="D115" s="17">
        <f t="shared" si="1"/>
        <v>0</v>
      </c>
    </row>
    <row r="116" spans="1:4" x14ac:dyDescent="0.2">
      <c r="A116" s="13" t="s">
        <v>106</v>
      </c>
      <c r="B116" s="5">
        <v>574848.58222964918</v>
      </c>
      <c r="C116" s="16">
        <f>IFERROR(VLOOKUP(A116,ProfitandLoss!$A:$B,2,0),0)</f>
        <v>390009.13</v>
      </c>
      <c r="D116" s="17">
        <f t="shared" si="1"/>
        <v>1.473936218440961</v>
      </c>
    </row>
    <row r="117" spans="1:4" x14ac:dyDescent="0.2">
      <c r="A117" s="14" t="s">
        <v>107</v>
      </c>
      <c r="B117" s="8">
        <f>SUM(B116)</f>
        <v>574848.58222964918</v>
      </c>
      <c r="C117" s="16">
        <f>IFERROR(VLOOKUP(A117,ProfitandLoss!$A:$B,2,0),0)</f>
        <v>0</v>
      </c>
      <c r="D117" s="17">
        <f t="shared" si="1"/>
        <v>0</v>
      </c>
    </row>
    <row r="118" spans="1:4" x14ac:dyDescent="0.2">
      <c r="A118" s="12" t="s">
        <v>108</v>
      </c>
      <c r="B118" s="5"/>
      <c r="C118" s="16">
        <f>IFERROR(VLOOKUP(A118,ProfitandLoss!$A:$B,2,0),0)</f>
        <v>31630</v>
      </c>
      <c r="D118" s="17">
        <f t="shared" si="1"/>
        <v>0</v>
      </c>
    </row>
    <row r="119" spans="1:4" x14ac:dyDescent="0.2">
      <c r="A119" s="13" t="s">
        <v>108</v>
      </c>
      <c r="B119" s="5">
        <v>46524.010491454384</v>
      </c>
      <c r="C119" s="16">
        <f>IFERROR(VLOOKUP(A119,ProfitandLoss!$A:$B,2,0),0)</f>
        <v>31630</v>
      </c>
      <c r="D119" s="17">
        <f t="shared" si="1"/>
        <v>1.4708824056735499</v>
      </c>
    </row>
    <row r="120" spans="1:4" x14ac:dyDescent="0.2">
      <c r="A120" s="14" t="s">
        <v>109</v>
      </c>
      <c r="B120" s="8">
        <f>SUM(B119)</f>
        <v>46524.010491454384</v>
      </c>
      <c r="C120" s="16">
        <f>IFERROR(VLOOKUP(A120,ProfitandLoss!$A:$B,2,0),0)</f>
        <v>0</v>
      </c>
      <c r="D120" s="17">
        <f t="shared" si="1"/>
        <v>0</v>
      </c>
    </row>
    <row r="121" spans="1:4" x14ac:dyDescent="0.2">
      <c r="A121" s="11" t="s">
        <v>110</v>
      </c>
      <c r="B121" s="8">
        <f>SUM(B114,B117,B120)</f>
        <v>759071.48597170413</v>
      </c>
      <c r="C121" s="16">
        <f>IFERROR(VLOOKUP(A121,ProfitandLoss!$A:$B,2,0),0)</f>
        <v>514047.81</v>
      </c>
      <c r="D121" s="17">
        <f t="shared" si="1"/>
        <v>1.4766554223267756</v>
      </c>
    </row>
    <row r="122" spans="1:4" x14ac:dyDescent="0.2">
      <c r="A122" s="9" t="s">
        <v>111</v>
      </c>
      <c r="B122" s="5"/>
      <c r="C122" s="16">
        <f>IFERROR(VLOOKUP(A122,ProfitandLoss!$A:$B,2,0),0)</f>
        <v>0</v>
      </c>
      <c r="D122" s="17">
        <f t="shared" si="1"/>
        <v>0</v>
      </c>
    </row>
    <row r="123" spans="1:4" x14ac:dyDescent="0.2">
      <c r="A123" s="10" t="s">
        <v>112</v>
      </c>
      <c r="B123" s="5">
        <v>13789.918266932824</v>
      </c>
      <c r="C123" s="16">
        <f>IFERROR(VLOOKUP(A123,ProfitandLoss!$A:$B,2,0),0)</f>
        <v>9304.0499999999993</v>
      </c>
      <c r="D123" s="17">
        <f t="shared" si="1"/>
        <v>1.482141461721812</v>
      </c>
    </row>
    <row r="124" spans="1:4" x14ac:dyDescent="0.2">
      <c r="A124" s="10" t="s">
        <v>113</v>
      </c>
      <c r="B124" s="5">
        <v>76911.714256593739</v>
      </c>
      <c r="C124" s="16">
        <f>IFERROR(VLOOKUP(A124,ProfitandLoss!$A:$B,2,0),0)</f>
        <v>51969.09</v>
      </c>
      <c r="D124" s="17">
        <f t="shared" si="1"/>
        <v>1.4799511451247991</v>
      </c>
    </row>
    <row r="125" spans="1:4" x14ac:dyDescent="0.2">
      <c r="A125" s="10" t="s">
        <v>114</v>
      </c>
      <c r="B125" s="5">
        <v>4656.1464271217601</v>
      </c>
      <c r="C125" s="16">
        <f>IFERROR(VLOOKUP(A125,ProfitandLoss!$A:$B,2,0),0)</f>
        <v>3110.97</v>
      </c>
      <c r="D125" s="17">
        <f t="shared" si="1"/>
        <v>1.4966863798499377</v>
      </c>
    </row>
    <row r="126" spans="1:4" x14ac:dyDescent="0.2">
      <c r="A126" s="11" t="s">
        <v>115</v>
      </c>
      <c r="B126" s="8">
        <f>SUM(B123:B125)</f>
        <v>95357.778950648324</v>
      </c>
      <c r="C126" s="16">
        <f>IFERROR(VLOOKUP(A126,ProfitandLoss!$A:$B,2,0),0)</f>
        <v>64384.11</v>
      </c>
      <c r="D126" s="17">
        <f t="shared" si="1"/>
        <v>1.4810762927475167</v>
      </c>
    </row>
    <row r="127" spans="1:4" x14ac:dyDescent="0.2">
      <c r="A127" s="7" t="s">
        <v>116</v>
      </c>
      <c r="B127" s="8">
        <f>SUM(B110,B121,B126)</f>
        <v>3796438.4071586933</v>
      </c>
      <c r="C127" s="16">
        <f>IFERROR(VLOOKUP(A127,ProfitandLoss!$A:$B,2,0),0)</f>
        <v>2564053.61</v>
      </c>
      <c r="D127" s="17">
        <f t="shared" si="1"/>
        <v>1.4806392473044638</v>
      </c>
    </row>
    <row r="128" spans="1:4" x14ac:dyDescent="0.2">
      <c r="A128" s="4" t="s">
        <v>117</v>
      </c>
      <c r="B128" s="5"/>
      <c r="C128" s="16">
        <f>IFERROR(VLOOKUP(A128,ProfitandLoss!$A:$B,2,0),0)</f>
        <v>0</v>
      </c>
      <c r="D128" s="17">
        <f t="shared" si="1"/>
        <v>0</v>
      </c>
    </row>
    <row r="129" spans="1:4" x14ac:dyDescent="0.2">
      <c r="A129" s="9" t="s">
        <v>118</v>
      </c>
      <c r="B129" s="5"/>
      <c r="C129" s="16">
        <f>IFERROR(VLOOKUP(A129,ProfitandLoss!$A:$B,2,0),0)</f>
        <v>266202.65000000002</v>
      </c>
      <c r="D129" s="17">
        <f t="shared" si="1"/>
        <v>0</v>
      </c>
    </row>
    <row r="130" spans="1:4" x14ac:dyDescent="0.2">
      <c r="A130" s="10" t="s">
        <v>118</v>
      </c>
      <c r="B130" s="5">
        <v>394667.15739331063</v>
      </c>
      <c r="C130" s="16">
        <f>IFERROR(VLOOKUP(A130,ProfitandLoss!$A:$B,2,0),0)</f>
        <v>266202.65000000002</v>
      </c>
      <c r="D130" s="17">
        <f t="shared" si="1"/>
        <v>1.4825816249136159</v>
      </c>
    </row>
    <row r="131" spans="1:4" x14ac:dyDescent="0.2">
      <c r="A131" s="11" t="s">
        <v>119</v>
      </c>
      <c r="B131" s="8">
        <f>SUM(B130)</f>
        <v>394667.15739331063</v>
      </c>
      <c r="C131" s="16">
        <f>IFERROR(VLOOKUP(A131,ProfitandLoss!$A:$B,2,0),0)</f>
        <v>0</v>
      </c>
      <c r="D131" s="17">
        <f t="shared" si="1"/>
        <v>0</v>
      </c>
    </row>
    <row r="132" spans="1:4" x14ac:dyDescent="0.2">
      <c r="A132" s="6" t="s">
        <v>120</v>
      </c>
      <c r="B132" s="5">
        <v>10574.917853874664</v>
      </c>
      <c r="C132" s="16">
        <f>IFERROR(VLOOKUP(A132,ProfitandLoss!$A:$B,2,0),0)</f>
        <v>7139.17</v>
      </c>
      <c r="D132" s="17">
        <f t="shared" si="1"/>
        <v>1.481253122404238</v>
      </c>
    </row>
    <row r="133" spans="1:4" x14ac:dyDescent="0.2">
      <c r="A133" s="6" t="s">
        <v>121</v>
      </c>
      <c r="B133" s="5">
        <v>96888.95953992843</v>
      </c>
      <c r="C133" s="16">
        <f>IFERROR(VLOOKUP(A133,ProfitandLoss!$A:$B,2,0),0)</f>
        <v>65343.8</v>
      </c>
      <c r="D133" s="17">
        <f t="shared" si="1"/>
        <v>1.48275673499136</v>
      </c>
    </row>
    <row r="134" spans="1:4" x14ac:dyDescent="0.2">
      <c r="A134" s="6" t="s">
        <v>122</v>
      </c>
      <c r="B134" s="5">
        <v>2439.2914546610964</v>
      </c>
      <c r="C134" s="16">
        <f>IFERROR(VLOOKUP(A134,ProfitandLoss!$A:$B,2,0),0)</f>
        <v>1643.81</v>
      </c>
      <c r="D134" s="17">
        <f t="shared" si="1"/>
        <v>1.483925426090057</v>
      </c>
    </row>
    <row r="135" spans="1:4" x14ac:dyDescent="0.2">
      <c r="A135" s="6" t="s">
        <v>123</v>
      </c>
      <c r="B135" s="5">
        <v>7030.2676363878527</v>
      </c>
      <c r="C135" s="16">
        <f>IFERROR(VLOOKUP(A135,ProfitandLoss!$A:$B,2,0),0)</f>
        <v>4751.3999999999996</v>
      </c>
      <c r="D135" s="17">
        <f t="shared" si="1"/>
        <v>1.4796202459039132</v>
      </c>
    </row>
    <row r="136" spans="1:4" x14ac:dyDescent="0.2">
      <c r="A136" s="6" t="s">
        <v>124</v>
      </c>
      <c r="B136" s="5">
        <v>326.74691351656668</v>
      </c>
      <c r="C136" s="16">
        <f>IFERROR(VLOOKUP(A136,ProfitandLoss!$A:$B,2,0),0)</f>
        <v>224.4</v>
      </c>
      <c r="D136" s="17">
        <f t="shared" si="1"/>
        <v>1.456091414957962</v>
      </c>
    </row>
    <row r="137" spans="1:4" x14ac:dyDescent="0.2">
      <c r="A137" s="6" t="s">
        <v>125</v>
      </c>
      <c r="B137" s="5">
        <v>39635.099199532648</v>
      </c>
      <c r="C137" s="16">
        <f>IFERROR(VLOOKUP(A137,ProfitandLoss!$A:$B,2,0),0)</f>
        <v>26729.57</v>
      </c>
      <c r="D137" s="17">
        <f t="shared" si="1"/>
        <v>1.4828184366427386</v>
      </c>
    </row>
    <row r="138" spans="1:4" x14ac:dyDescent="0.2">
      <c r="A138" s="6" t="s">
        <v>126</v>
      </c>
      <c r="B138" s="5">
        <v>16768.652638395575</v>
      </c>
      <c r="C138" s="16">
        <f>IFERROR(VLOOKUP(A138,ProfitandLoss!$A:$B,2,0),0)</f>
        <v>11309.23</v>
      </c>
      <c r="D138" s="17">
        <f t="shared" ref="D138:D201" si="2">IFERROR(B138/C138,0)</f>
        <v>1.4827404375360282</v>
      </c>
    </row>
    <row r="139" spans="1:4" x14ac:dyDescent="0.2">
      <c r="A139" s="6" t="s">
        <v>127</v>
      </c>
      <c r="B139" s="5">
        <v>423.3776814514863</v>
      </c>
      <c r="C139" s="16">
        <f>IFERROR(VLOOKUP(A139,ProfitandLoss!$A:$B,2,0),0)</f>
        <v>284.63</v>
      </c>
      <c r="D139" s="17">
        <f t="shared" si="2"/>
        <v>1.4874668216684337</v>
      </c>
    </row>
    <row r="140" spans="1:4" x14ac:dyDescent="0.2">
      <c r="A140" s="7" t="s">
        <v>128</v>
      </c>
      <c r="B140" s="8">
        <f>SUM(B131:B139)</f>
        <v>568754.47031105892</v>
      </c>
      <c r="C140" s="16">
        <f>IFERROR(VLOOKUP(A140,ProfitandLoss!$A:$B,2,0),0)</f>
        <v>383628.66000000003</v>
      </c>
      <c r="D140" s="17">
        <f t="shared" si="2"/>
        <v>1.4825651199028218</v>
      </c>
    </row>
    <row r="141" spans="1:4" x14ac:dyDescent="0.2">
      <c r="A141" s="4" t="s">
        <v>129</v>
      </c>
      <c r="B141" s="5"/>
      <c r="C141" s="16">
        <f>IFERROR(VLOOKUP(A141,ProfitandLoss!$A:$B,2,0),0)</f>
        <v>0</v>
      </c>
      <c r="D141" s="17">
        <f t="shared" si="2"/>
        <v>0</v>
      </c>
    </row>
    <row r="142" spans="1:4" x14ac:dyDescent="0.2">
      <c r="A142" s="9" t="s">
        <v>130</v>
      </c>
      <c r="B142" s="5"/>
      <c r="C142" s="16">
        <f>IFERROR(VLOOKUP(A142,ProfitandLoss!$A:$B,2,0),0)</f>
        <v>0</v>
      </c>
      <c r="D142" s="17">
        <f t="shared" si="2"/>
        <v>0</v>
      </c>
    </row>
    <row r="143" spans="1:4" x14ac:dyDescent="0.2">
      <c r="A143" s="10" t="s">
        <v>131</v>
      </c>
      <c r="B143" s="5">
        <v>83226.554077744964</v>
      </c>
      <c r="C143" s="16">
        <f>IFERROR(VLOOKUP(A143,ProfitandLoss!$A:$B,2,0),0)</f>
        <v>56432</v>
      </c>
      <c r="D143" s="17">
        <f t="shared" si="2"/>
        <v>1.4748113495489255</v>
      </c>
    </row>
    <row r="144" spans="1:4" x14ac:dyDescent="0.2">
      <c r="A144" s="10" t="s">
        <v>132</v>
      </c>
      <c r="B144" s="5">
        <v>30699.80227317362</v>
      </c>
      <c r="C144" s="16">
        <f>IFERROR(VLOOKUP(A144,ProfitandLoss!$A:$B,2,0),0)</f>
        <v>20752</v>
      </c>
      <c r="D144" s="17">
        <f t="shared" si="2"/>
        <v>1.4793659537959531</v>
      </c>
    </row>
    <row r="145" spans="1:4" x14ac:dyDescent="0.2">
      <c r="A145" s="10" t="s">
        <v>133</v>
      </c>
      <c r="B145" s="5">
        <v>19133.321855817579</v>
      </c>
      <c r="C145" s="16">
        <f>IFERROR(VLOOKUP(A145,ProfitandLoss!$A:$B,2,0),0)</f>
        <v>12930.06</v>
      </c>
      <c r="D145" s="17">
        <f t="shared" si="2"/>
        <v>1.479755071192058</v>
      </c>
    </row>
    <row r="146" spans="1:4" x14ac:dyDescent="0.2">
      <c r="A146" s="11" t="s">
        <v>134</v>
      </c>
      <c r="B146" s="8">
        <f>SUM(B143:B145)</f>
        <v>133059.67820673616</v>
      </c>
      <c r="C146" s="16">
        <f>IFERROR(VLOOKUP(A146,ProfitandLoss!$A:$B,2,0),0)</f>
        <v>90114.06</v>
      </c>
      <c r="D146" s="17">
        <f t="shared" si="2"/>
        <v>1.4765695631373859</v>
      </c>
    </row>
    <row r="147" spans="1:4" x14ac:dyDescent="0.2">
      <c r="A147" s="9" t="s">
        <v>135</v>
      </c>
      <c r="B147" s="5"/>
      <c r="C147" s="16">
        <f>IFERROR(VLOOKUP(A147,ProfitandLoss!$A:$B,2,0),0)</f>
        <v>0</v>
      </c>
      <c r="D147" s="17">
        <f t="shared" si="2"/>
        <v>0</v>
      </c>
    </row>
    <row r="148" spans="1:4" x14ac:dyDescent="0.2">
      <c r="A148" s="10" t="s">
        <v>136</v>
      </c>
      <c r="B148" s="5">
        <v>9839.3786535518866</v>
      </c>
      <c r="C148" s="16">
        <f>IFERROR(VLOOKUP(A148,ProfitandLoss!$A:$B,2,0),0)</f>
        <v>6576.37</v>
      </c>
      <c r="D148" s="17">
        <f t="shared" si="2"/>
        <v>1.4961716955633406</v>
      </c>
    </row>
    <row r="149" spans="1:4" x14ac:dyDescent="0.2">
      <c r="A149" s="11" t="s">
        <v>137</v>
      </c>
      <c r="B149" s="8">
        <f>SUM(B148)</f>
        <v>9839.3786535518866</v>
      </c>
      <c r="C149" s="16">
        <f>IFERROR(VLOOKUP(A149,ProfitandLoss!$A:$B,2,0),0)</f>
        <v>6576.37</v>
      </c>
      <c r="D149" s="17">
        <f t="shared" si="2"/>
        <v>1.4961716955633406</v>
      </c>
    </row>
    <row r="150" spans="1:4" x14ac:dyDescent="0.2">
      <c r="A150" s="9" t="s">
        <v>138</v>
      </c>
      <c r="B150" s="5"/>
      <c r="C150" s="16">
        <f>IFERROR(VLOOKUP(A150,ProfitandLoss!$A:$B,2,0),0)</f>
        <v>0</v>
      </c>
      <c r="D150" s="17">
        <f t="shared" si="2"/>
        <v>0</v>
      </c>
    </row>
    <row r="151" spans="1:4" x14ac:dyDescent="0.2">
      <c r="A151" s="10" t="s">
        <v>139</v>
      </c>
      <c r="B151" s="5">
        <v>918.80970501934235</v>
      </c>
      <c r="C151" s="16">
        <f>IFERROR(VLOOKUP(A151,ProfitandLoss!$A:$B,2,0),0)</f>
        <v>625.58000000000004</v>
      </c>
      <c r="D151" s="17">
        <f t="shared" si="2"/>
        <v>1.4687325442299024</v>
      </c>
    </row>
    <row r="152" spans="1:4" x14ac:dyDescent="0.2">
      <c r="A152" s="11" t="s">
        <v>140</v>
      </c>
      <c r="B152" s="8">
        <f>SUM(B151)</f>
        <v>918.80970501934235</v>
      </c>
      <c r="C152" s="16">
        <f>IFERROR(VLOOKUP(A152,ProfitandLoss!$A:$B,2,0),0)</f>
        <v>625.58000000000004</v>
      </c>
      <c r="D152" s="17">
        <f t="shared" si="2"/>
        <v>1.4687325442299024</v>
      </c>
    </row>
    <row r="153" spans="1:4" x14ac:dyDescent="0.2">
      <c r="A153" s="9" t="s">
        <v>141</v>
      </c>
      <c r="B153" s="5"/>
      <c r="C153" s="16">
        <f>IFERROR(VLOOKUP(A153,ProfitandLoss!$A:$B,2,0),0)</f>
        <v>0</v>
      </c>
      <c r="D153" s="17">
        <f t="shared" si="2"/>
        <v>0</v>
      </c>
    </row>
    <row r="154" spans="1:4" x14ac:dyDescent="0.2">
      <c r="A154" s="10" t="s">
        <v>142</v>
      </c>
      <c r="B154" s="5">
        <v>4452.0096350038602</v>
      </c>
      <c r="C154" s="16">
        <f>IFERROR(VLOOKUP(A154,ProfitandLoss!$A:$B,2,0),0)</f>
        <v>3002.42</v>
      </c>
      <c r="D154" s="17">
        <f t="shared" si="2"/>
        <v>1.4828070806229177</v>
      </c>
    </row>
    <row r="155" spans="1:4" x14ac:dyDescent="0.2">
      <c r="A155" s="11" t="s">
        <v>143</v>
      </c>
      <c r="B155" s="8">
        <f>SUM(B154)</f>
        <v>4452.0096350038602</v>
      </c>
      <c r="C155" s="16">
        <f>IFERROR(VLOOKUP(A155,ProfitandLoss!$A:$B,2,0),0)</f>
        <v>3002.42</v>
      </c>
      <c r="D155" s="17">
        <f t="shared" si="2"/>
        <v>1.4828070806229177</v>
      </c>
    </row>
    <row r="156" spans="1:4" x14ac:dyDescent="0.2">
      <c r="A156" s="9" t="s">
        <v>144</v>
      </c>
      <c r="B156" s="5"/>
      <c r="C156" s="16">
        <f>IFERROR(VLOOKUP(A156,ProfitandLoss!$A:$B,2,0),0)</f>
        <v>0</v>
      </c>
      <c r="D156" s="17">
        <f t="shared" si="2"/>
        <v>0</v>
      </c>
    </row>
    <row r="157" spans="1:4" x14ac:dyDescent="0.2">
      <c r="A157" s="10" t="s">
        <v>145</v>
      </c>
      <c r="B157" s="5">
        <v>602.74047389851944</v>
      </c>
      <c r="C157" s="16">
        <f>IFERROR(VLOOKUP(A157,ProfitandLoss!$A:$B,2,0),0)</f>
        <v>404.21</v>
      </c>
      <c r="D157" s="17">
        <f t="shared" si="2"/>
        <v>1.4911567598488891</v>
      </c>
    </row>
    <row r="158" spans="1:4" x14ac:dyDescent="0.2">
      <c r="A158" s="11" t="s">
        <v>146</v>
      </c>
      <c r="B158" s="8">
        <f>SUM(B157)</f>
        <v>602.74047389851944</v>
      </c>
      <c r="C158" s="16">
        <f>IFERROR(VLOOKUP(A158,ProfitandLoss!$A:$B,2,0),0)</f>
        <v>404.21</v>
      </c>
      <c r="D158" s="17">
        <f t="shared" si="2"/>
        <v>1.4911567598488891</v>
      </c>
    </row>
    <row r="159" spans="1:4" x14ac:dyDescent="0.2">
      <c r="A159" s="9" t="s">
        <v>147</v>
      </c>
      <c r="B159" s="5"/>
      <c r="C159" s="16">
        <f>IFERROR(VLOOKUP(A159,ProfitandLoss!$A:$B,2,0),0)</f>
        <v>0</v>
      </c>
      <c r="D159" s="17">
        <f t="shared" si="2"/>
        <v>0</v>
      </c>
    </row>
    <row r="160" spans="1:4" x14ac:dyDescent="0.2">
      <c r="A160" s="10" t="s">
        <v>148</v>
      </c>
      <c r="B160" s="5">
        <v>331426.15717650321</v>
      </c>
      <c r="C160" s="16">
        <f>IFERROR(VLOOKUP(A160,ProfitandLoss!$A:$B,2,0),0)</f>
        <v>223519.91</v>
      </c>
      <c r="D160" s="17">
        <f t="shared" si="2"/>
        <v>1.4827589952792268</v>
      </c>
    </row>
    <row r="161" spans="1:4" x14ac:dyDescent="0.2">
      <c r="A161" s="10" t="s">
        <v>149</v>
      </c>
      <c r="B161" s="5">
        <v>40129.304698901724</v>
      </c>
      <c r="C161" s="16">
        <f>IFERROR(VLOOKUP(A161,ProfitandLoss!$A:$B,2,0),0)</f>
        <v>27075.64</v>
      </c>
      <c r="D161" s="17">
        <f t="shared" si="2"/>
        <v>1.4821184171048856</v>
      </c>
    </row>
    <row r="162" spans="1:4" x14ac:dyDescent="0.2">
      <c r="A162" s="10" t="s">
        <v>150</v>
      </c>
      <c r="B162" s="5">
        <v>29175.414476926791</v>
      </c>
      <c r="C162" s="16">
        <f>IFERROR(VLOOKUP(A162,ProfitandLoss!$A:$B,2,0),0)</f>
        <v>19699.11</v>
      </c>
      <c r="D162" s="17">
        <f t="shared" si="2"/>
        <v>1.4810524169328863</v>
      </c>
    </row>
    <row r="163" spans="1:4" x14ac:dyDescent="0.2">
      <c r="A163" s="10" t="s">
        <v>151</v>
      </c>
      <c r="B163" s="5">
        <v>4419.627198161751</v>
      </c>
      <c r="C163" s="16">
        <f>IFERROR(VLOOKUP(A163,ProfitandLoss!$A:$B,2,0),0)</f>
        <v>2978.86</v>
      </c>
      <c r="D163" s="17">
        <f t="shared" si="2"/>
        <v>1.4836639513645324</v>
      </c>
    </row>
    <row r="164" spans="1:4" x14ac:dyDescent="0.2">
      <c r="A164" s="10" t="s">
        <v>152</v>
      </c>
      <c r="B164" s="5">
        <v>2526.5481542724938</v>
      </c>
      <c r="C164" s="16">
        <f>IFERROR(VLOOKUP(A164,ProfitandLoss!$A:$B,2,0),0)</f>
        <v>1717.46</v>
      </c>
      <c r="D164" s="17">
        <f t="shared" si="2"/>
        <v>1.4710957776440172</v>
      </c>
    </row>
    <row r="165" spans="1:4" x14ac:dyDescent="0.2">
      <c r="A165" s="10" t="s">
        <v>153</v>
      </c>
      <c r="B165" s="5">
        <v>7723.2869168828993</v>
      </c>
      <c r="C165" s="16">
        <f>IFERROR(VLOOKUP(A165,ProfitandLoss!$A:$B,2,0),0)</f>
        <v>5290.01</v>
      </c>
      <c r="D165" s="17">
        <f t="shared" si="2"/>
        <v>1.4599758633505229</v>
      </c>
    </row>
    <row r="166" spans="1:4" x14ac:dyDescent="0.2">
      <c r="A166" s="10" t="s">
        <v>154</v>
      </c>
      <c r="B166" s="5">
        <v>456.23562694545382</v>
      </c>
      <c r="C166" s="16">
        <f>IFERROR(VLOOKUP(A166,ProfitandLoss!$A:$B,2,0),0)</f>
        <v>308.32</v>
      </c>
      <c r="D166" s="17">
        <f t="shared" si="2"/>
        <v>1.4797471034816225</v>
      </c>
    </row>
    <row r="167" spans="1:4" x14ac:dyDescent="0.2">
      <c r="A167" s="10" t="s">
        <v>155</v>
      </c>
      <c r="B167" s="5">
        <v>4445.8985521256773</v>
      </c>
      <c r="C167" s="16">
        <f>IFERROR(VLOOKUP(A167,ProfitandLoss!$A:$B,2,0),0)</f>
        <v>3006.05</v>
      </c>
      <c r="D167" s="17">
        <f t="shared" si="2"/>
        <v>1.4789835671814098</v>
      </c>
    </row>
    <row r="168" spans="1:4" x14ac:dyDescent="0.2">
      <c r="A168" s="11" t="s">
        <v>156</v>
      </c>
      <c r="B168" s="8">
        <f>SUM(B160:B167)</f>
        <v>420302.47280071996</v>
      </c>
      <c r="C168" s="16">
        <f>IFERROR(VLOOKUP(A168,ProfitandLoss!$A:$B,2,0),0)</f>
        <v>283595.36</v>
      </c>
      <c r="D168" s="17">
        <f t="shared" si="2"/>
        <v>1.4820498924972538</v>
      </c>
    </row>
    <row r="169" spans="1:4" x14ac:dyDescent="0.2">
      <c r="A169" s="9" t="s">
        <v>157</v>
      </c>
      <c r="B169" s="5"/>
      <c r="C169" s="16">
        <f>IFERROR(VLOOKUP(A169,ProfitandLoss!$A:$B,2,0),0)</f>
        <v>0</v>
      </c>
      <c r="D169" s="17">
        <f t="shared" si="2"/>
        <v>0</v>
      </c>
    </row>
    <row r="170" spans="1:4" x14ac:dyDescent="0.2">
      <c r="A170" s="10" t="s">
        <v>158</v>
      </c>
      <c r="B170" s="5">
        <v>437.17862121478151</v>
      </c>
      <c r="C170" s="16">
        <f>IFERROR(VLOOKUP(A170,ProfitandLoss!$A:$B,2,0),0)</f>
        <v>289.64</v>
      </c>
      <c r="D170" s="17">
        <f t="shared" si="2"/>
        <v>1.509386207757152</v>
      </c>
    </row>
    <row r="171" spans="1:4" x14ac:dyDescent="0.2">
      <c r="A171" s="10" t="s">
        <v>159</v>
      </c>
      <c r="B171" s="5">
        <v>737.13351708111554</v>
      </c>
      <c r="C171" s="16">
        <f>IFERROR(VLOOKUP(A171,ProfitandLoss!$A:$B,2,0),0)</f>
        <v>500</v>
      </c>
      <c r="D171" s="17">
        <f t="shared" si="2"/>
        <v>1.474267034162231</v>
      </c>
    </row>
    <row r="172" spans="1:4" x14ac:dyDescent="0.2">
      <c r="A172" s="10" t="s">
        <v>160</v>
      </c>
      <c r="B172" s="5">
        <v>432.35548762358229</v>
      </c>
      <c r="C172" s="16">
        <f>IFERROR(VLOOKUP(A172,ProfitandLoss!$A:$B,2,0),0)</f>
        <v>295.25</v>
      </c>
      <c r="D172" s="17">
        <f t="shared" si="2"/>
        <v>1.4643708302238181</v>
      </c>
    </row>
    <row r="173" spans="1:4" x14ac:dyDescent="0.2">
      <c r="A173" s="10" t="s">
        <v>161</v>
      </c>
      <c r="B173" s="5">
        <v>6183.4736597999772</v>
      </c>
      <c r="C173" s="16">
        <f>IFERROR(VLOOKUP(A173,ProfitandLoss!$A:$B,2,0),0)</f>
        <v>4126.72</v>
      </c>
      <c r="D173" s="17">
        <f t="shared" si="2"/>
        <v>1.4983991304958846</v>
      </c>
    </row>
    <row r="174" spans="1:4" x14ac:dyDescent="0.2">
      <c r="A174" s="10" t="s">
        <v>162</v>
      </c>
      <c r="B174" s="5">
        <v>221.4488165904072</v>
      </c>
      <c r="C174" s="16">
        <f>IFERROR(VLOOKUP(A174,ProfitandLoss!$A:$B,2,0),0)</f>
        <v>151.47</v>
      </c>
      <c r="D174" s="17">
        <f t="shared" si="2"/>
        <v>1.4619978648604159</v>
      </c>
    </row>
    <row r="175" spans="1:4" x14ac:dyDescent="0.2">
      <c r="A175" s="10" t="s">
        <v>163</v>
      </c>
      <c r="B175" s="5">
        <v>135.50141476746853</v>
      </c>
      <c r="C175" s="16">
        <f>IFERROR(VLOOKUP(A175,ProfitandLoss!$A:$B,2,0),0)</f>
        <v>90.87</v>
      </c>
      <c r="D175" s="17">
        <f t="shared" si="2"/>
        <v>1.4911567598488888</v>
      </c>
    </row>
    <row r="176" spans="1:4" x14ac:dyDescent="0.2">
      <c r="A176" s="10" t="s">
        <v>164</v>
      </c>
      <c r="B176" s="5">
        <v>5454.9328474370877</v>
      </c>
      <c r="C176" s="16">
        <f>IFERROR(VLOOKUP(A176,ProfitandLoss!$A:$B,2,0),0)</f>
        <v>3662.06</v>
      </c>
      <c r="D176" s="17">
        <f t="shared" si="2"/>
        <v>1.4895804130563366</v>
      </c>
    </row>
    <row r="177" spans="1:4" x14ac:dyDescent="0.2">
      <c r="A177" s="11" t="s">
        <v>165</v>
      </c>
      <c r="B177" s="8">
        <f>SUM(B170:B176)</f>
        <v>13602.024364514418</v>
      </c>
      <c r="C177" s="16">
        <f>IFERROR(VLOOKUP(A177,ProfitandLoss!$A:$B,2,0),0)</f>
        <v>9116.01</v>
      </c>
      <c r="D177" s="17">
        <f t="shared" si="2"/>
        <v>1.4921028349589807</v>
      </c>
    </row>
    <row r="178" spans="1:4" x14ac:dyDescent="0.2">
      <c r="A178" s="9" t="s">
        <v>166</v>
      </c>
      <c r="B178" s="5"/>
      <c r="C178" s="16">
        <f>IFERROR(VLOOKUP(A178,ProfitandLoss!$A:$B,2,0),0)</f>
        <v>0</v>
      </c>
      <c r="D178" s="17">
        <f t="shared" si="2"/>
        <v>0</v>
      </c>
    </row>
    <row r="179" spans="1:4" x14ac:dyDescent="0.2">
      <c r="A179" s="10" t="s">
        <v>167</v>
      </c>
      <c r="B179" s="5">
        <v>1697.6713954853919</v>
      </c>
      <c r="C179" s="16">
        <f>IFERROR(VLOOKUP(A179,ProfitandLoss!$A:$B,2,0),0)</f>
        <v>1158.19</v>
      </c>
      <c r="D179" s="17">
        <f t="shared" si="2"/>
        <v>1.465796972418508</v>
      </c>
    </row>
    <row r="180" spans="1:4" x14ac:dyDescent="0.2">
      <c r="A180" s="10" t="s">
        <v>168</v>
      </c>
      <c r="B180" s="5">
        <v>3516.1100527658064</v>
      </c>
      <c r="C180" s="16">
        <f>IFERROR(VLOOKUP(A180,ProfitandLoss!$A:$B,2,0),0)</f>
        <v>2400</v>
      </c>
      <c r="D180" s="17">
        <f t="shared" si="2"/>
        <v>1.4650458553190859</v>
      </c>
    </row>
    <row r="181" spans="1:4" x14ac:dyDescent="0.2">
      <c r="A181" s="10" t="s">
        <v>169</v>
      </c>
      <c r="B181" s="5">
        <v>6382.3382963573922</v>
      </c>
      <c r="C181" s="16">
        <f>IFERROR(VLOOKUP(A181,ProfitandLoss!$A:$B,2,0),0)</f>
        <v>4300.92</v>
      </c>
      <c r="D181" s="17">
        <f t="shared" si="2"/>
        <v>1.4839472243978944</v>
      </c>
    </row>
    <row r="182" spans="1:4" x14ac:dyDescent="0.2">
      <c r="A182" s="10" t="s">
        <v>170</v>
      </c>
      <c r="B182" s="5">
        <v>4434.8037029096813</v>
      </c>
      <c r="C182" s="16">
        <f>IFERROR(VLOOKUP(A182,ProfitandLoss!$A:$B,2,0),0)</f>
        <v>3006.52</v>
      </c>
      <c r="D182" s="17">
        <f t="shared" si="2"/>
        <v>1.47506209934066</v>
      </c>
    </row>
    <row r="183" spans="1:4" x14ac:dyDescent="0.2">
      <c r="A183" s="11" t="s">
        <v>171</v>
      </c>
      <c r="B183" s="8">
        <f>SUM(B179:B182)</f>
        <v>16030.923447518271</v>
      </c>
      <c r="C183" s="16">
        <f>IFERROR(VLOOKUP(A183,ProfitandLoss!$A:$B,2,0),0)</f>
        <v>10865.630000000001</v>
      </c>
      <c r="D183" s="17">
        <f t="shared" si="2"/>
        <v>1.4753791034222838</v>
      </c>
    </row>
    <row r="184" spans="1:4" x14ac:dyDescent="0.2">
      <c r="A184" s="9" t="s">
        <v>172</v>
      </c>
      <c r="B184" s="5"/>
      <c r="C184" s="16">
        <f>IFERROR(VLOOKUP(A184,ProfitandLoss!$A:$B,2,0),0)</f>
        <v>0</v>
      </c>
      <c r="D184" s="17">
        <f t="shared" si="2"/>
        <v>0</v>
      </c>
    </row>
    <row r="185" spans="1:4" x14ac:dyDescent="0.2">
      <c r="A185" s="10" t="s">
        <v>173</v>
      </c>
      <c r="B185" s="5">
        <v>11648.439007498031</v>
      </c>
      <c r="C185" s="16">
        <f>IFERROR(VLOOKUP(A185,ProfitandLoss!$A:$B,2,0),0)</f>
        <v>7864.6</v>
      </c>
      <c r="D185" s="17">
        <f t="shared" si="2"/>
        <v>1.4811228806929826</v>
      </c>
    </row>
    <row r="186" spans="1:4" x14ac:dyDescent="0.2">
      <c r="A186" s="10" t="s">
        <v>174</v>
      </c>
      <c r="B186" s="5">
        <v>4346.9079097167178</v>
      </c>
      <c r="C186" s="16">
        <f>IFERROR(VLOOKUP(A186,ProfitandLoss!$A:$B,2,0),0)</f>
        <v>2933.5</v>
      </c>
      <c r="D186" s="17">
        <f t="shared" si="2"/>
        <v>1.4818162296631048</v>
      </c>
    </row>
    <row r="187" spans="1:4" x14ac:dyDescent="0.2">
      <c r="A187" s="10" t="s">
        <v>175</v>
      </c>
      <c r="B187" s="5">
        <v>3047.8515449339657</v>
      </c>
      <c r="C187" s="16">
        <f>IFERROR(VLOOKUP(A187,ProfitandLoss!$A:$B,2,0),0)</f>
        <v>2038.27</v>
      </c>
      <c r="D187" s="17">
        <f t="shared" si="2"/>
        <v>1.4953129589965832</v>
      </c>
    </row>
    <row r="188" spans="1:4" x14ac:dyDescent="0.2">
      <c r="A188" s="10" t="s">
        <v>176</v>
      </c>
      <c r="B188" s="5">
        <v>18770.005078526108</v>
      </c>
      <c r="C188" s="16">
        <f>IFERROR(VLOOKUP(A188,ProfitandLoss!$A:$B,2,0),0)</f>
        <v>12687.54</v>
      </c>
      <c r="D188" s="17">
        <f t="shared" si="2"/>
        <v>1.4794046031402548</v>
      </c>
    </row>
    <row r="189" spans="1:4" x14ac:dyDescent="0.2">
      <c r="A189" s="11" t="s">
        <v>177</v>
      </c>
      <c r="B189" s="8">
        <f>SUM(B185:B188)</f>
        <v>37813.203540674818</v>
      </c>
      <c r="C189" s="16">
        <f>IFERROR(VLOOKUP(A189,ProfitandLoss!$A:$B,2,0),0)</f>
        <v>25523.910000000003</v>
      </c>
      <c r="D189" s="17">
        <f t="shared" si="2"/>
        <v>1.4814816202014038</v>
      </c>
    </row>
    <row r="190" spans="1:4" x14ac:dyDescent="0.2">
      <c r="A190" s="7" t="s">
        <v>178</v>
      </c>
      <c r="B190" s="8">
        <f>SUM(B146,B149,B152,B155,B158,B168,B177,B183,B189)</f>
        <v>636621.24082763726</v>
      </c>
      <c r="C190" s="16">
        <f>IFERROR(VLOOKUP(A190,ProfitandLoss!$A:$B,2,0),0)</f>
        <v>429823.55000000005</v>
      </c>
      <c r="D190" s="17">
        <f t="shared" si="2"/>
        <v>1.4811222903622596</v>
      </c>
    </row>
    <row r="191" spans="1:4" x14ac:dyDescent="0.2">
      <c r="A191" s="4" t="s">
        <v>179</v>
      </c>
      <c r="B191" s="5"/>
      <c r="C191" s="16">
        <f>IFERROR(VLOOKUP(A191,ProfitandLoss!$A:$B,2,0),0)</f>
        <v>0</v>
      </c>
      <c r="D191" s="17">
        <f t="shared" si="2"/>
        <v>0</v>
      </c>
    </row>
    <row r="192" spans="1:4" x14ac:dyDescent="0.2">
      <c r="A192" s="9" t="s">
        <v>180</v>
      </c>
      <c r="B192" s="5"/>
      <c r="C192" s="16">
        <f>IFERROR(VLOOKUP(A192,ProfitandLoss!$A:$B,2,0),0)</f>
        <v>0</v>
      </c>
      <c r="D192" s="17">
        <f t="shared" si="2"/>
        <v>0</v>
      </c>
    </row>
    <row r="193" spans="1:4" x14ac:dyDescent="0.2">
      <c r="A193" s="10" t="s">
        <v>181</v>
      </c>
      <c r="B193" s="5">
        <v>107972.79624309117</v>
      </c>
      <c r="C193" s="16">
        <f>IFERROR(VLOOKUP(A193,ProfitandLoss!$A:$B,2,0),0)</f>
        <v>-72808.13</v>
      </c>
      <c r="D193" s="17">
        <f t="shared" si="2"/>
        <v>-1.4829771928367226</v>
      </c>
    </row>
    <row r="194" spans="1:4" x14ac:dyDescent="0.2">
      <c r="A194" s="11" t="s">
        <v>182</v>
      </c>
      <c r="B194" s="8">
        <f>SUM(B193)</f>
        <v>107972.79624309117</v>
      </c>
      <c r="C194" s="16">
        <f>IFERROR(VLOOKUP(A194,ProfitandLoss!$A:$B,2,0),0)</f>
        <v>-72808.13</v>
      </c>
      <c r="D194" s="17">
        <f t="shared" si="2"/>
        <v>-1.4829771928367226</v>
      </c>
    </row>
    <row r="195" spans="1:4" x14ac:dyDescent="0.2">
      <c r="A195" s="9" t="s">
        <v>183</v>
      </c>
      <c r="B195" s="5"/>
      <c r="C195" s="16">
        <f>IFERROR(VLOOKUP(A195,ProfitandLoss!$A:$B,2,0),0)</f>
        <v>0</v>
      </c>
      <c r="D195" s="17">
        <f t="shared" si="2"/>
        <v>0</v>
      </c>
    </row>
    <row r="196" spans="1:4" x14ac:dyDescent="0.2">
      <c r="A196" s="10" t="s">
        <v>184</v>
      </c>
      <c r="B196" s="5">
        <v>17956.159825010334</v>
      </c>
      <c r="C196" s="16">
        <f>IFERROR(VLOOKUP(A196,ProfitandLoss!$A:$B,2,0),0)</f>
        <v>-12053.32</v>
      </c>
      <c r="D196" s="17">
        <f t="shared" si="2"/>
        <v>-1.4897272971272923</v>
      </c>
    </row>
    <row r="197" spans="1:4" x14ac:dyDescent="0.2">
      <c r="A197" s="10" t="s">
        <v>185</v>
      </c>
      <c r="B197" s="5">
        <v>0.91874964699256956</v>
      </c>
      <c r="C197" s="16">
        <f>IFERROR(VLOOKUP(A197,ProfitandLoss!$A:$B,2,0),0)</f>
        <v>-0.61</v>
      </c>
      <c r="D197" s="17">
        <f t="shared" si="2"/>
        <v>-1.5061469622829009</v>
      </c>
    </row>
    <row r="198" spans="1:4" x14ac:dyDescent="0.2">
      <c r="A198" s="11" t="s">
        <v>186</v>
      </c>
      <c r="B198" s="8">
        <f>SUM(B196:B197)</f>
        <v>17957.078574657327</v>
      </c>
      <c r="C198" s="16">
        <f>IFERROR(VLOOKUP(A198,ProfitandLoss!$A:$B,2,0),0)</f>
        <v>-12053.93</v>
      </c>
      <c r="D198" s="17">
        <f t="shared" si="2"/>
        <v>-1.4897281280592576</v>
      </c>
    </row>
    <row r="199" spans="1:4" x14ac:dyDescent="0.2">
      <c r="A199" s="9" t="s">
        <v>187</v>
      </c>
      <c r="B199" s="5"/>
      <c r="C199" s="16">
        <f>IFERROR(VLOOKUP(A199,ProfitandLoss!$A:$B,2,0),0)</f>
        <v>0</v>
      </c>
      <c r="D199" s="17">
        <f t="shared" si="2"/>
        <v>0</v>
      </c>
    </row>
    <row r="200" spans="1:4" x14ac:dyDescent="0.2">
      <c r="A200" s="10" t="s">
        <v>188</v>
      </c>
      <c r="B200" s="5">
        <v>217.30051743528421</v>
      </c>
      <c r="C200" s="16">
        <f>IFERROR(VLOOKUP(A200,ProfitandLoss!$A:$B,2,0),0)</f>
        <v>-145.57</v>
      </c>
      <c r="D200" s="17">
        <f t="shared" si="2"/>
        <v>-1.4927561821479991</v>
      </c>
    </row>
    <row r="201" spans="1:4" x14ac:dyDescent="0.2">
      <c r="A201" s="10" t="s">
        <v>189</v>
      </c>
      <c r="B201" s="5">
        <v>13.607739429408879</v>
      </c>
      <c r="C201" s="16">
        <f>IFERROR(VLOOKUP(A201,ProfitandLoss!$A:$B,2,0),0)</f>
        <v>-9.1300000000000008</v>
      </c>
      <c r="D201" s="17">
        <f t="shared" si="2"/>
        <v>-1.490442434765485</v>
      </c>
    </row>
    <row r="202" spans="1:4" x14ac:dyDescent="0.2">
      <c r="A202" s="10" t="s">
        <v>190</v>
      </c>
      <c r="B202" s="5">
        <v>-2.9575146960279985</v>
      </c>
      <c r="C202" s="16">
        <f>IFERROR(VLOOKUP(A202,ProfitandLoss!$A:$B,2,0),0)</f>
        <v>2.02</v>
      </c>
      <c r="D202" s="17">
        <f t="shared" ref="D202:D211" si="3">IFERROR(B202/C202,0)</f>
        <v>-1.4641161861524745</v>
      </c>
    </row>
    <row r="203" spans="1:4" x14ac:dyDescent="0.2">
      <c r="A203" s="11" t="s">
        <v>191</v>
      </c>
      <c r="B203" s="8">
        <f>SUM(B200:B202)</f>
        <v>227.95074216866507</v>
      </c>
      <c r="C203" s="16">
        <f>IFERROR(VLOOKUP(A203,ProfitandLoss!$A:$B,2,0),0)</f>
        <v>-152.67999999999998</v>
      </c>
      <c r="D203" s="17">
        <f t="shared" si="3"/>
        <v>-1.4929967393808299</v>
      </c>
    </row>
    <row r="204" spans="1:4" x14ac:dyDescent="0.2">
      <c r="A204" s="9" t="s">
        <v>192</v>
      </c>
      <c r="B204" s="5"/>
      <c r="C204" s="16">
        <f>IFERROR(VLOOKUP(A204,ProfitandLoss!$A:$B,2,0),0)</f>
        <v>0</v>
      </c>
      <c r="D204" s="17">
        <f t="shared" si="3"/>
        <v>0</v>
      </c>
    </row>
    <row r="205" spans="1:4" x14ac:dyDescent="0.2">
      <c r="A205" s="10" t="s">
        <v>193</v>
      </c>
      <c r="B205" s="5">
        <v>152073.01053312849</v>
      </c>
      <c r="C205" s="16">
        <f>IFERROR(VLOOKUP(A205,ProfitandLoss!$A:$B,2,0),0)</f>
        <v>-102693</v>
      </c>
      <c r="D205" s="17">
        <f t="shared" si="3"/>
        <v>-1.4808507934633177</v>
      </c>
    </row>
    <row r="206" spans="1:4" x14ac:dyDescent="0.2">
      <c r="A206" s="11" t="s">
        <v>194</v>
      </c>
      <c r="B206" s="8">
        <f>SUM(B205)</f>
        <v>152073.01053312849</v>
      </c>
      <c r="C206" s="16">
        <f>IFERROR(VLOOKUP(A206,ProfitandLoss!$A:$B,2,0),0)</f>
        <v>-102693</v>
      </c>
      <c r="D206" s="17">
        <f t="shared" si="3"/>
        <v>-1.4808507934633177</v>
      </c>
    </row>
    <row r="207" spans="1:4" x14ac:dyDescent="0.2">
      <c r="A207" s="7" t="s">
        <v>195</v>
      </c>
      <c r="B207" s="8">
        <f>SUM(B194,B198,B203,B206)</f>
        <v>278230.83609304565</v>
      </c>
      <c r="C207" s="16">
        <f>IFERROR(VLOOKUP(A207,ProfitandLoss!$A:$B,2,0),0)</f>
        <v>-187707.74</v>
      </c>
      <c r="D207" s="17">
        <f t="shared" si="3"/>
        <v>-1.4822555324199507</v>
      </c>
    </row>
    <row r="208" spans="1:4" x14ac:dyDescent="0.2">
      <c r="A208" s="15" t="s">
        <v>196</v>
      </c>
      <c r="B208" s="5">
        <v>-10922.27984782676</v>
      </c>
      <c r="C208" s="16">
        <f>IFERROR(VLOOKUP(A208,ProfitandLoss!$A:$B,2,0),0)</f>
        <v>7307.43</v>
      </c>
      <c r="D208" s="17">
        <f t="shared" si="3"/>
        <v>-1.4946814198462057</v>
      </c>
    </row>
    <row r="209" spans="1:4" x14ac:dyDescent="0.2">
      <c r="A209" s="15" t="s">
        <v>197</v>
      </c>
      <c r="B209" s="5">
        <v>43.81189091561437</v>
      </c>
      <c r="C209" s="16">
        <f>IFERROR(VLOOKUP(A209,ProfitandLoss!$A:$B,2,0),0)</f>
        <v>-46.07</v>
      </c>
      <c r="D209" s="17">
        <f t="shared" si="3"/>
        <v>-0.95098525972681502</v>
      </c>
    </row>
    <row r="210" spans="1:4" x14ac:dyDescent="0.2">
      <c r="A210" s="7" t="s">
        <v>198</v>
      </c>
      <c r="B210" s="8">
        <v>-9622.0490389999995</v>
      </c>
      <c r="C210" s="16">
        <f>IFERROR(VLOOKUP(A210,ProfitandLoss!$A:$B,2,0),0)</f>
        <v>0</v>
      </c>
      <c r="D210" s="17">
        <f t="shared" si="3"/>
        <v>0</v>
      </c>
    </row>
    <row r="211" spans="1:4" x14ac:dyDescent="0.2">
      <c r="A211" s="7" t="s">
        <v>4</v>
      </c>
      <c r="B211" s="8">
        <f>SUM(B11,B15,B19,B22,B25,B28,B40,B43,B48,B51,B60,B65,B68,B71,B74,B77,B81,B94,B127,B140,B190,B207:B210)</f>
        <v>3.4830736694857478E-7</v>
      </c>
      <c r="C211" s="16">
        <f>IFERROR(VLOOKUP(A211,ProfitandLoss!$A:$B,2,0),0)</f>
        <v>0</v>
      </c>
      <c r="D211" s="17">
        <f t="shared" si="3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9D07-4A9C-4E99-9C73-DE433356318D}">
  <dimension ref="A1:B111"/>
  <sheetViews>
    <sheetView workbookViewId="0">
      <selection activeCell="A2" sqref="A2:B2"/>
    </sheetView>
  </sheetViews>
  <sheetFormatPr baseColWidth="10" defaultColWidth="9.140625" defaultRowHeight="10.199999999999999" x14ac:dyDescent="0.2"/>
  <cols>
    <col min="1" max="1" width="52.7109375" bestFit="1" customWidth="1"/>
    <col min="2" max="2" width="12.7109375" bestFit="1" customWidth="1"/>
  </cols>
  <sheetData>
    <row r="1" spans="1:2" ht="15.6" x14ac:dyDescent="0.3">
      <c r="A1" s="32" t="s">
        <v>250</v>
      </c>
      <c r="B1" s="32"/>
    </row>
    <row r="2" spans="1:2" ht="15.6" x14ac:dyDescent="0.3">
      <c r="A2" s="32" t="s">
        <v>256</v>
      </c>
      <c r="B2" s="32"/>
    </row>
    <row r="3" spans="1:2" ht="17.399999999999999" x14ac:dyDescent="0.3">
      <c r="A3" s="33" t="s">
        <v>199</v>
      </c>
      <c r="B3" s="33"/>
    </row>
    <row r="4" spans="1:2" ht="17.399999999999999" x14ac:dyDescent="0.3">
      <c r="A4" s="33" t="s">
        <v>1</v>
      </c>
      <c r="B4" s="33"/>
    </row>
    <row r="5" spans="1:2" ht="17.399999999999999" x14ac:dyDescent="0.3">
      <c r="A5" s="33" t="s">
        <v>234</v>
      </c>
      <c r="B5" s="33"/>
    </row>
    <row r="6" spans="1:2" ht="17.399999999999999" x14ac:dyDescent="0.3">
      <c r="A6" s="33" t="s">
        <v>2</v>
      </c>
      <c r="B6" s="33"/>
    </row>
    <row r="7" spans="1:2" x14ac:dyDescent="0.2">
      <c r="A7" s="2" t="s">
        <v>200</v>
      </c>
      <c r="B7" s="3" t="s">
        <v>201</v>
      </c>
    </row>
    <row r="8" spans="1:2" x14ac:dyDescent="0.2">
      <c r="A8" s="4" t="s">
        <v>202</v>
      </c>
      <c r="B8" s="18"/>
    </row>
    <row r="9" spans="1:2" x14ac:dyDescent="0.2">
      <c r="A9" s="9" t="s">
        <v>203</v>
      </c>
      <c r="B9" s="18"/>
    </row>
    <row r="10" spans="1:2" x14ac:dyDescent="0.2">
      <c r="A10" s="12" t="s">
        <v>5</v>
      </c>
      <c r="B10" s="18"/>
    </row>
    <row r="11" spans="1:2" x14ac:dyDescent="0.2">
      <c r="A11" s="13" t="s">
        <v>252</v>
      </c>
      <c r="B11" s="19">
        <v>202569.63</v>
      </c>
    </row>
    <row r="12" spans="1:2" x14ac:dyDescent="0.2">
      <c r="A12" s="13" t="s">
        <v>253</v>
      </c>
      <c r="B12" s="19">
        <v>552676.06000000006</v>
      </c>
    </row>
    <row r="13" spans="1:2" x14ac:dyDescent="0.2">
      <c r="A13" s="20" t="s">
        <v>6</v>
      </c>
      <c r="B13" s="21">
        <f>SUM(B11:B12)</f>
        <v>755245.69000000006</v>
      </c>
    </row>
    <row r="14" spans="1:2" x14ac:dyDescent="0.2">
      <c r="A14" s="22" t="s">
        <v>204</v>
      </c>
      <c r="B14" s="21">
        <f>SUM(B13)</f>
        <v>755245.69000000006</v>
      </c>
    </row>
    <row r="15" spans="1:2" x14ac:dyDescent="0.2">
      <c r="A15" s="9" t="s">
        <v>205</v>
      </c>
      <c r="B15" s="18"/>
    </row>
    <row r="16" spans="1:2" x14ac:dyDescent="0.2">
      <c r="A16" s="12" t="s">
        <v>7</v>
      </c>
      <c r="B16" s="18"/>
    </row>
    <row r="17" spans="1:2" x14ac:dyDescent="0.2">
      <c r="A17" s="13" t="s">
        <v>8</v>
      </c>
      <c r="B17" s="19">
        <v>261322.02</v>
      </c>
    </row>
    <row r="18" spans="1:2" x14ac:dyDescent="0.2">
      <c r="A18" s="13" t="s">
        <v>9</v>
      </c>
      <c r="B18" s="19">
        <v>179735.54</v>
      </c>
    </row>
    <row r="19" spans="1:2" x14ac:dyDescent="0.2">
      <c r="A19" s="20" t="s">
        <v>10</v>
      </c>
      <c r="B19" s="21">
        <f>SUM(B17:B18)</f>
        <v>441057.56</v>
      </c>
    </row>
    <row r="20" spans="1:2" x14ac:dyDescent="0.2">
      <c r="A20" s="22" t="s">
        <v>206</v>
      </c>
      <c r="B20" s="21">
        <f>SUM(B19)</f>
        <v>441057.56</v>
      </c>
    </row>
    <row r="21" spans="1:2" x14ac:dyDescent="0.2">
      <c r="A21" s="9" t="s">
        <v>207</v>
      </c>
      <c r="B21" s="18"/>
    </row>
    <row r="22" spans="1:2" x14ac:dyDescent="0.2">
      <c r="A22" s="12" t="s">
        <v>15</v>
      </c>
      <c r="B22" s="18"/>
    </row>
    <row r="23" spans="1:2" x14ac:dyDescent="0.2">
      <c r="A23" s="13" t="s">
        <v>16</v>
      </c>
      <c r="B23" s="19">
        <v>536845.81000000006</v>
      </c>
    </row>
    <row r="24" spans="1:2" x14ac:dyDescent="0.2">
      <c r="A24" s="20" t="s">
        <v>17</v>
      </c>
      <c r="B24" s="21">
        <f>SUM(B23)</f>
        <v>536845.81000000006</v>
      </c>
    </row>
    <row r="25" spans="1:2" x14ac:dyDescent="0.2">
      <c r="A25" s="22" t="s">
        <v>208</v>
      </c>
      <c r="B25" s="21">
        <f>SUM(B24)</f>
        <v>536845.81000000006</v>
      </c>
    </row>
    <row r="26" spans="1:2" x14ac:dyDescent="0.2">
      <c r="A26" s="9" t="s">
        <v>209</v>
      </c>
      <c r="B26" s="18"/>
    </row>
    <row r="27" spans="1:2" x14ac:dyDescent="0.2">
      <c r="A27" s="12" t="s">
        <v>11</v>
      </c>
      <c r="B27" s="18"/>
    </row>
    <row r="28" spans="1:2" x14ac:dyDescent="0.2">
      <c r="A28" s="13" t="s">
        <v>12</v>
      </c>
      <c r="B28" s="19">
        <v>4197.53</v>
      </c>
    </row>
    <row r="29" spans="1:2" x14ac:dyDescent="0.2">
      <c r="A29" s="13" t="s">
        <v>13</v>
      </c>
      <c r="B29" s="19">
        <v>38.6</v>
      </c>
    </row>
    <row r="30" spans="1:2" x14ac:dyDescent="0.2">
      <c r="A30" s="20" t="s">
        <v>14</v>
      </c>
      <c r="B30" s="21">
        <f>SUM(B28:B29)</f>
        <v>4236.13</v>
      </c>
    </row>
    <row r="31" spans="1:2" x14ac:dyDescent="0.2">
      <c r="A31" s="12" t="s">
        <v>18</v>
      </c>
      <c r="B31" s="18"/>
    </row>
    <row r="32" spans="1:2" x14ac:dyDescent="0.2">
      <c r="A32" s="13" t="s">
        <v>19</v>
      </c>
      <c r="B32" s="19">
        <v>154.5</v>
      </c>
    </row>
    <row r="33" spans="1:2" x14ac:dyDescent="0.2">
      <c r="A33" s="20" t="s">
        <v>20</v>
      </c>
      <c r="B33" s="21">
        <f>SUM(B32)</f>
        <v>154.5</v>
      </c>
    </row>
    <row r="34" spans="1:2" x14ac:dyDescent="0.2">
      <c r="A34" s="22" t="s">
        <v>210</v>
      </c>
      <c r="B34" s="21">
        <f>SUM(B30,B33)</f>
        <v>4390.63</v>
      </c>
    </row>
    <row r="35" spans="1:2" x14ac:dyDescent="0.2">
      <c r="A35" s="23" t="s">
        <v>211</v>
      </c>
      <c r="B35" s="24">
        <f>B14+B20+B25+B34</f>
        <v>1737539.69</v>
      </c>
    </row>
    <row r="36" spans="1:2" x14ac:dyDescent="0.2">
      <c r="A36" s="4" t="s">
        <v>212</v>
      </c>
      <c r="B36" s="18"/>
    </row>
    <row r="37" spans="1:2" x14ac:dyDescent="0.2">
      <c r="A37" s="9" t="s">
        <v>24</v>
      </c>
      <c r="B37" s="18"/>
    </row>
    <row r="38" spans="1:2" x14ac:dyDescent="0.2">
      <c r="A38" s="10" t="s">
        <v>25</v>
      </c>
      <c r="B38" s="19">
        <v>31219.53</v>
      </c>
    </row>
    <row r="39" spans="1:2" x14ac:dyDescent="0.2">
      <c r="A39" s="10" t="s">
        <v>26</v>
      </c>
      <c r="B39" s="19">
        <v>-2703.46</v>
      </c>
    </row>
    <row r="40" spans="1:2" x14ac:dyDescent="0.2">
      <c r="A40" s="10" t="s">
        <v>27</v>
      </c>
      <c r="B40" s="19">
        <v>158339.78</v>
      </c>
    </row>
    <row r="41" spans="1:2" x14ac:dyDescent="0.2">
      <c r="A41" s="10" t="s">
        <v>28</v>
      </c>
      <c r="B41" s="19">
        <v>-97431.1</v>
      </c>
    </row>
    <row r="42" spans="1:2" x14ac:dyDescent="0.2">
      <c r="A42" s="10" t="s">
        <v>29</v>
      </c>
      <c r="B42" s="19">
        <v>6612.76</v>
      </c>
    </row>
    <row r="43" spans="1:2" x14ac:dyDescent="0.2">
      <c r="A43" s="10" t="s">
        <v>30</v>
      </c>
      <c r="B43" s="19">
        <v>-1195.25</v>
      </c>
    </row>
    <row r="44" spans="1:2" x14ac:dyDescent="0.2">
      <c r="A44" s="10" t="s">
        <v>31</v>
      </c>
      <c r="B44" s="19">
        <v>26065.040000000001</v>
      </c>
    </row>
    <row r="45" spans="1:2" x14ac:dyDescent="0.2">
      <c r="A45" s="10" t="s">
        <v>32</v>
      </c>
      <c r="B45" s="19">
        <v>-10167.379999999999</v>
      </c>
    </row>
    <row r="46" spans="1:2" x14ac:dyDescent="0.2">
      <c r="A46" s="10" t="s">
        <v>33</v>
      </c>
      <c r="B46" s="19">
        <v>13645.75</v>
      </c>
    </row>
    <row r="47" spans="1:2" x14ac:dyDescent="0.2">
      <c r="A47" s="10" t="s">
        <v>34</v>
      </c>
      <c r="B47" s="19">
        <v>-3856.28</v>
      </c>
    </row>
    <row r="48" spans="1:2" x14ac:dyDescent="0.2">
      <c r="A48" s="22" t="s">
        <v>35</v>
      </c>
      <c r="B48" s="21">
        <f>SUM(B38:B47)</f>
        <v>120529.38999999998</v>
      </c>
    </row>
    <row r="49" spans="1:2" x14ac:dyDescent="0.2">
      <c r="A49" s="25" t="s">
        <v>213</v>
      </c>
      <c r="B49" s="21">
        <f>SUM(B48)</f>
        <v>120529.38999999998</v>
      </c>
    </row>
    <row r="50" spans="1:2" x14ac:dyDescent="0.2">
      <c r="A50" s="4" t="s">
        <v>214</v>
      </c>
      <c r="B50" s="18"/>
    </row>
    <row r="51" spans="1:2" x14ac:dyDescent="0.2">
      <c r="A51" s="9" t="s">
        <v>21</v>
      </c>
      <c r="B51" s="18"/>
    </row>
    <row r="52" spans="1:2" x14ac:dyDescent="0.2">
      <c r="A52" s="10" t="s">
        <v>22</v>
      </c>
      <c r="B52" s="19">
        <v>407497.63</v>
      </c>
    </row>
    <row r="53" spans="1:2" x14ac:dyDescent="0.2">
      <c r="A53" s="22" t="s">
        <v>23</v>
      </c>
      <c r="B53" s="21">
        <f>SUM(B52)</f>
        <v>407497.63</v>
      </c>
    </row>
    <row r="54" spans="1:2" x14ac:dyDescent="0.2">
      <c r="A54" s="25" t="s">
        <v>215</v>
      </c>
      <c r="B54" s="21">
        <f>SUM(B53)</f>
        <v>407497.63</v>
      </c>
    </row>
    <row r="55" spans="1:2" x14ac:dyDescent="0.2">
      <c r="A55" s="4" t="s">
        <v>216</v>
      </c>
      <c r="B55" s="18"/>
    </row>
    <row r="56" spans="1:2" x14ac:dyDescent="0.2">
      <c r="A56" s="9" t="s">
        <v>217</v>
      </c>
      <c r="B56" s="18"/>
    </row>
    <row r="57" spans="1:2" x14ac:dyDescent="0.2">
      <c r="A57" s="12" t="s">
        <v>36</v>
      </c>
      <c r="B57" s="18"/>
    </row>
    <row r="58" spans="1:2" x14ac:dyDescent="0.2">
      <c r="A58" s="13" t="s">
        <v>37</v>
      </c>
      <c r="B58" s="19">
        <v>31812.69</v>
      </c>
    </row>
    <row r="59" spans="1:2" x14ac:dyDescent="0.2">
      <c r="A59" s="20" t="s">
        <v>38</v>
      </c>
      <c r="B59" s="21">
        <f>SUM(B58)</f>
        <v>31812.69</v>
      </c>
    </row>
    <row r="60" spans="1:2" x14ac:dyDescent="0.2">
      <c r="A60" s="22" t="s">
        <v>218</v>
      </c>
      <c r="B60" s="21">
        <f>SUM(B59)</f>
        <v>31812.69</v>
      </c>
    </row>
    <row r="61" spans="1:2" x14ac:dyDescent="0.2">
      <c r="A61" s="9" t="s">
        <v>219</v>
      </c>
      <c r="B61" s="18"/>
    </row>
    <row r="62" spans="1:2" x14ac:dyDescent="0.2">
      <c r="A62" s="12" t="s">
        <v>44</v>
      </c>
      <c r="B62" s="18"/>
    </row>
    <row r="63" spans="1:2" x14ac:dyDescent="0.2">
      <c r="A63" s="13" t="s">
        <v>254</v>
      </c>
      <c r="B63" s="19">
        <v>10396.91</v>
      </c>
    </row>
    <row r="64" spans="1:2" x14ac:dyDescent="0.2">
      <c r="A64" s="20" t="s">
        <v>45</v>
      </c>
      <c r="B64" s="21">
        <f>SUM(B63)</f>
        <v>10396.91</v>
      </c>
    </row>
    <row r="65" spans="1:2" x14ac:dyDescent="0.2">
      <c r="A65" s="22" t="s">
        <v>220</v>
      </c>
      <c r="B65" s="21">
        <f>SUM(B64)</f>
        <v>10396.91</v>
      </c>
    </row>
    <row r="66" spans="1:2" x14ac:dyDescent="0.2">
      <c r="A66" s="9" t="s">
        <v>221</v>
      </c>
      <c r="B66" s="18"/>
    </row>
    <row r="67" spans="1:2" x14ac:dyDescent="0.2">
      <c r="A67" s="12" t="s">
        <v>39</v>
      </c>
      <c r="B67" s="18"/>
    </row>
    <row r="68" spans="1:2" x14ac:dyDescent="0.2">
      <c r="A68" s="13" t="s">
        <v>40</v>
      </c>
      <c r="B68" s="19">
        <v>72330.850000000006</v>
      </c>
    </row>
    <row r="69" spans="1:2" x14ac:dyDescent="0.2">
      <c r="A69" s="13" t="s">
        <v>41</v>
      </c>
      <c r="B69" s="19">
        <v>404.21</v>
      </c>
    </row>
    <row r="70" spans="1:2" x14ac:dyDescent="0.2">
      <c r="A70" s="13" t="s">
        <v>42</v>
      </c>
      <c r="B70" s="19">
        <v>3716</v>
      </c>
    </row>
    <row r="71" spans="1:2" x14ac:dyDescent="0.2">
      <c r="A71" s="20" t="s">
        <v>43</v>
      </c>
      <c r="B71" s="21">
        <f>SUM(B68:B70)</f>
        <v>76451.060000000012</v>
      </c>
    </row>
    <row r="72" spans="1:2" x14ac:dyDescent="0.2">
      <c r="A72" s="12" t="s">
        <v>46</v>
      </c>
      <c r="B72" s="18"/>
    </row>
    <row r="73" spans="1:2" x14ac:dyDescent="0.2">
      <c r="A73" s="13" t="s">
        <v>47</v>
      </c>
      <c r="B73" s="19">
        <v>-14.6</v>
      </c>
    </row>
    <row r="74" spans="1:2" x14ac:dyDescent="0.2">
      <c r="A74" s="13" t="s">
        <v>48</v>
      </c>
      <c r="B74" s="19">
        <v>101800</v>
      </c>
    </row>
    <row r="75" spans="1:2" x14ac:dyDescent="0.2">
      <c r="A75" s="13" t="s">
        <v>49</v>
      </c>
      <c r="B75" s="19">
        <v>50379.91</v>
      </c>
    </row>
    <row r="76" spans="1:2" x14ac:dyDescent="0.2">
      <c r="A76" s="13" t="s">
        <v>50</v>
      </c>
      <c r="B76" s="19">
        <v>50507.11</v>
      </c>
    </row>
    <row r="77" spans="1:2" x14ac:dyDescent="0.2">
      <c r="A77" s="13" t="s">
        <v>51</v>
      </c>
      <c r="B77" s="19">
        <v>34513.949999999997</v>
      </c>
    </row>
    <row r="78" spans="1:2" x14ac:dyDescent="0.2">
      <c r="A78" s="13" t="s">
        <v>52</v>
      </c>
      <c r="B78" s="19">
        <v>11914.98</v>
      </c>
    </row>
    <row r="79" spans="1:2" x14ac:dyDescent="0.2">
      <c r="A79" s="13" t="s">
        <v>53</v>
      </c>
      <c r="B79" s="19">
        <v>368.01</v>
      </c>
    </row>
    <row r="80" spans="1:2" x14ac:dyDescent="0.2">
      <c r="A80" s="20" t="s">
        <v>54</v>
      </c>
      <c r="B80" s="21">
        <f>SUM(B73:B79)</f>
        <v>249469.36000000002</v>
      </c>
    </row>
    <row r="81" spans="1:2" x14ac:dyDescent="0.2">
      <c r="A81" s="12" t="s">
        <v>55</v>
      </c>
      <c r="B81" s="18"/>
    </row>
    <row r="82" spans="1:2" x14ac:dyDescent="0.2">
      <c r="A82" s="13" t="s">
        <v>56</v>
      </c>
      <c r="B82" s="19">
        <v>56378</v>
      </c>
    </row>
    <row r="83" spans="1:2" x14ac:dyDescent="0.2">
      <c r="A83" s="13" t="s">
        <v>57</v>
      </c>
      <c r="B83" s="19">
        <v>30819.59</v>
      </c>
    </row>
    <row r="84" spans="1:2" x14ac:dyDescent="0.2">
      <c r="A84" s="13" t="s">
        <v>58</v>
      </c>
      <c r="B84" s="19">
        <v>38.6</v>
      </c>
    </row>
    <row r="85" spans="1:2" x14ac:dyDescent="0.2">
      <c r="A85" s="20" t="s">
        <v>59</v>
      </c>
      <c r="B85" s="21">
        <f>SUM(B82:B84)</f>
        <v>87236.19</v>
      </c>
    </row>
    <row r="86" spans="1:2" x14ac:dyDescent="0.2">
      <c r="A86" s="12" t="s">
        <v>60</v>
      </c>
      <c r="B86" s="18"/>
    </row>
    <row r="87" spans="1:2" x14ac:dyDescent="0.2">
      <c r="A87" s="13" t="s">
        <v>61</v>
      </c>
      <c r="B87" s="19">
        <v>116000</v>
      </c>
    </row>
    <row r="88" spans="1:2" x14ac:dyDescent="0.2">
      <c r="A88" s="20" t="s">
        <v>62</v>
      </c>
      <c r="B88" s="21">
        <f>SUM(B87)</f>
        <v>116000</v>
      </c>
    </row>
    <row r="89" spans="1:2" x14ac:dyDescent="0.2">
      <c r="A89" s="12" t="s">
        <v>63</v>
      </c>
      <c r="B89" s="18"/>
    </row>
    <row r="90" spans="1:2" x14ac:dyDescent="0.2">
      <c r="A90" s="13" t="s">
        <v>255</v>
      </c>
      <c r="B90" s="19">
        <v>1201211.49</v>
      </c>
    </row>
    <row r="91" spans="1:2" x14ac:dyDescent="0.2">
      <c r="A91" s="20" t="s">
        <v>64</v>
      </c>
      <c r="B91" s="21">
        <f>SUM(B90)</f>
        <v>1201211.49</v>
      </c>
    </row>
    <row r="92" spans="1:2" x14ac:dyDescent="0.2">
      <c r="A92" s="12" t="s">
        <v>65</v>
      </c>
      <c r="B92" s="18"/>
    </row>
    <row r="93" spans="1:2" x14ac:dyDescent="0.2">
      <c r="A93" s="13" t="s">
        <v>66</v>
      </c>
      <c r="B93" s="19">
        <v>62057</v>
      </c>
    </row>
    <row r="94" spans="1:2" x14ac:dyDescent="0.2">
      <c r="A94" s="20" t="s">
        <v>67</v>
      </c>
      <c r="B94" s="21">
        <f>SUM(B93)</f>
        <v>62057</v>
      </c>
    </row>
    <row r="95" spans="1:2" x14ac:dyDescent="0.2">
      <c r="A95" s="22" t="s">
        <v>222</v>
      </c>
      <c r="B95" s="21">
        <f>SUM(B71,B80,B85,B88,B91,B94)</f>
        <v>1792425.1</v>
      </c>
    </row>
    <row r="96" spans="1:2" x14ac:dyDescent="0.2">
      <c r="A96" s="4" t="s">
        <v>223</v>
      </c>
      <c r="B96" s="18">
        <f>B60+B65+B95</f>
        <v>1834634.7000000002</v>
      </c>
    </row>
    <row r="97" spans="1:2" x14ac:dyDescent="0.2">
      <c r="A97" s="4" t="s">
        <v>224</v>
      </c>
      <c r="B97" s="18">
        <f>B35-B96</f>
        <v>-97095.010000000242</v>
      </c>
    </row>
    <row r="98" spans="1:2" x14ac:dyDescent="0.2">
      <c r="A98" s="4" t="s">
        <v>225</v>
      </c>
      <c r="B98" s="18">
        <f>B97+B49+B54</f>
        <v>430932.00999999978</v>
      </c>
    </row>
    <row r="99" spans="1:2" x14ac:dyDescent="0.2">
      <c r="A99" s="4" t="s">
        <v>226</v>
      </c>
      <c r="B99" s="18">
        <f>B98-0</f>
        <v>430932.00999999978</v>
      </c>
    </row>
    <row r="100" spans="1:2" x14ac:dyDescent="0.2">
      <c r="A100" s="4" t="s">
        <v>227</v>
      </c>
      <c r="B100" s="18"/>
    </row>
    <row r="101" spans="1:2" x14ac:dyDescent="0.2">
      <c r="A101" s="4" t="s">
        <v>227</v>
      </c>
      <c r="B101" s="18"/>
    </row>
    <row r="102" spans="1:2" x14ac:dyDescent="0.2">
      <c r="A102" s="9" t="s">
        <v>68</v>
      </c>
      <c r="B102" s="18"/>
    </row>
    <row r="103" spans="1:2" ht="11.25" hidden="1" customHeight="1" x14ac:dyDescent="0.2">
      <c r="A103" s="10" t="s">
        <v>69</v>
      </c>
      <c r="B103" s="19">
        <v>1012</v>
      </c>
    </row>
    <row r="104" spans="1:2" x14ac:dyDescent="0.2">
      <c r="A104" s="22" t="s">
        <v>70</v>
      </c>
      <c r="B104" s="21">
        <f>SUM(B103)</f>
        <v>1012</v>
      </c>
    </row>
    <row r="105" spans="1:2" x14ac:dyDescent="0.2">
      <c r="A105" s="9" t="s">
        <v>71</v>
      </c>
      <c r="B105" s="18"/>
    </row>
    <row r="106" spans="1:2" x14ac:dyDescent="0.2">
      <c r="A106" s="10" t="s">
        <v>72</v>
      </c>
      <c r="B106" s="19">
        <v>101.2</v>
      </c>
    </row>
    <row r="107" spans="1:2" x14ac:dyDescent="0.2">
      <c r="A107" s="22" t="s">
        <v>74</v>
      </c>
      <c r="B107" s="21">
        <f>SUM(B106)</f>
        <v>101.2</v>
      </c>
    </row>
    <row r="108" spans="1:2" x14ac:dyDescent="0.2">
      <c r="A108" s="25" t="s">
        <v>228</v>
      </c>
      <c r="B108" s="21">
        <f>SUM(B104,B107)</f>
        <v>1113.2</v>
      </c>
    </row>
    <row r="109" spans="1:2" x14ac:dyDescent="0.2">
      <c r="A109" s="6" t="s">
        <v>229</v>
      </c>
      <c r="B109" s="19">
        <v>121739.39000000017</v>
      </c>
    </row>
    <row r="110" spans="1:2" ht="11.25" hidden="1" customHeight="1" x14ac:dyDescent="0.2">
      <c r="A110" s="6" t="s">
        <v>230</v>
      </c>
      <c r="B110" s="19">
        <v>308079.41999999969</v>
      </c>
    </row>
    <row r="111" spans="1:2" x14ac:dyDescent="0.2">
      <c r="A111" s="23" t="s">
        <v>231</v>
      </c>
      <c r="B111" s="24">
        <f>B108+B109+B110+0</f>
        <v>430932.00999999989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D263-8F10-470A-B42B-0DD9B998A52F}">
  <dimension ref="A1:B135"/>
  <sheetViews>
    <sheetView workbookViewId="0">
      <selection activeCell="A5" sqref="A5:B5"/>
    </sheetView>
  </sheetViews>
  <sheetFormatPr baseColWidth="10" defaultColWidth="9.140625" defaultRowHeight="10.199999999999999" x14ac:dyDescent="0.2"/>
  <cols>
    <col min="1" max="1" width="62.42578125" bestFit="1" customWidth="1"/>
    <col min="2" max="2" width="17.85546875" customWidth="1"/>
  </cols>
  <sheetData>
    <row r="1" spans="1:2" ht="15.6" x14ac:dyDescent="0.3">
      <c r="A1" s="32" t="s">
        <v>250</v>
      </c>
      <c r="B1" s="32"/>
    </row>
    <row r="2" spans="1:2" ht="15.6" x14ac:dyDescent="0.3">
      <c r="A2" s="32" t="s">
        <v>256</v>
      </c>
      <c r="B2" s="32"/>
    </row>
    <row r="3" spans="1:2" ht="17.399999999999999" x14ac:dyDescent="0.3">
      <c r="A3" s="33" t="s">
        <v>248</v>
      </c>
      <c r="B3" s="33"/>
    </row>
    <row r="4" spans="1:2" ht="17.399999999999999" x14ac:dyDescent="0.3">
      <c r="A4" s="33" t="s">
        <v>247</v>
      </c>
      <c r="B4" s="33"/>
    </row>
    <row r="5" spans="1:2" ht="17.399999999999999" x14ac:dyDescent="0.3">
      <c r="A5" s="33" t="s">
        <v>234</v>
      </c>
      <c r="B5" s="33"/>
    </row>
    <row r="6" spans="1:2" ht="17.399999999999999" x14ac:dyDescent="0.3">
      <c r="A6" s="33" t="s">
        <v>2</v>
      </c>
      <c r="B6" s="33"/>
    </row>
    <row r="7" spans="1:2" x14ac:dyDescent="0.2">
      <c r="A7" s="2" t="s">
        <v>200</v>
      </c>
      <c r="B7" s="3" t="s">
        <v>201</v>
      </c>
    </row>
    <row r="8" spans="1:2" x14ac:dyDescent="0.2">
      <c r="A8" s="4" t="s">
        <v>246</v>
      </c>
      <c r="B8" s="18"/>
    </row>
    <row r="9" spans="1:2" x14ac:dyDescent="0.2">
      <c r="A9" s="9" t="s">
        <v>75</v>
      </c>
      <c r="B9" s="18"/>
    </row>
    <row r="10" spans="1:2" x14ac:dyDescent="0.2">
      <c r="A10" s="12" t="s">
        <v>76</v>
      </c>
      <c r="B10" s="18"/>
    </row>
    <row r="11" spans="1:2" x14ac:dyDescent="0.2">
      <c r="A11" s="13" t="s">
        <v>77</v>
      </c>
      <c r="B11" s="19">
        <v>2381881.65</v>
      </c>
    </row>
    <row r="12" spans="1:2" x14ac:dyDescent="0.2">
      <c r="A12" s="13" t="s">
        <v>78</v>
      </c>
      <c r="B12" s="19">
        <v>16546.22</v>
      </c>
    </row>
    <row r="13" spans="1:2" x14ac:dyDescent="0.2">
      <c r="A13" s="13" t="s">
        <v>79</v>
      </c>
      <c r="B13" s="19">
        <v>1389978.13</v>
      </c>
    </row>
    <row r="14" spans="1:2" x14ac:dyDescent="0.2">
      <c r="A14" s="20" t="s">
        <v>80</v>
      </c>
      <c r="B14" s="21">
        <f>SUM(B11:B13)</f>
        <v>3788406</v>
      </c>
    </row>
    <row r="15" spans="1:2" x14ac:dyDescent="0.2">
      <c r="A15" s="12" t="s">
        <v>81</v>
      </c>
      <c r="B15" s="18"/>
    </row>
    <row r="16" spans="1:2" x14ac:dyDescent="0.2">
      <c r="A16" s="13" t="s">
        <v>82</v>
      </c>
      <c r="B16" s="19">
        <v>76598.05</v>
      </c>
    </row>
    <row r="17" spans="1:2" x14ac:dyDescent="0.2">
      <c r="A17" s="20" t="s">
        <v>83</v>
      </c>
      <c r="B17" s="21">
        <f>SUM(B16)</f>
        <v>76598.05</v>
      </c>
    </row>
    <row r="18" spans="1:2" x14ac:dyDescent="0.2">
      <c r="A18" s="12" t="s">
        <v>84</v>
      </c>
      <c r="B18" s="18"/>
    </row>
    <row r="19" spans="1:2" x14ac:dyDescent="0.2">
      <c r="A19" s="13" t="s">
        <v>85</v>
      </c>
      <c r="B19" s="19">
        <v>1027.57</v>
      </c>
    </row>
    <row r="20" spans="1:2" x14ac:dyDescent="0.2">
      <c r="A20" s="20" t="s">
        <v>86</v>
      </c>
      <c r="B20" s="21">
        <f>SUM(B19)</f>
        <v>1027.57</v>
      </c>
    </row>
    <row r="21" spans="1:2" x14ac:dyDescent="0.2">
      <c r="A21" s="22" t="s">
        <v>87</v>
      </c>
      <c r="B21" s="21">
        <f>SUM(B14,B17,B20)</f>
        <v>3866031.6199999996</v>
      </c>
    </row>
    <row r="22" spans="1:2" x14ac:dyDescent="0.2">
      <c r="A22" s="25" t="s">
        <v>245</v>
      </c>
      <c r="B22" s="21">
        <f>SUM(B21)</f>
        <v>3866031.6199999996</v>
      </c>
    </row>
    <row r="23" spans="1:2" x14ac:dyDescent="0.2">
      <c r="A23" s="4" t="s">
        <v>244</v>
      </c>
      <c r="B23" s="18"/>
    </row>
    <row r="24" spans="1:2" x14ac:dyDescent="0.2">
      <c r="A24" s="9" t="s">
        <v>88</v>
      </c>
      <c r="B24" s="18"/>
    </row>
    <row r="25" spans="1:2" x14ac:dyDescent="0.2">
      <c r="A25" s="12" t="s">
        <v>89</v>
      </c>
      <c r="B25" s="18"/>
    </row>
    <row r="26" spans="1:2" x14ac:dyDescent="0.2">
      <c r="A26" s="13" t="s">
        <v>90</v>
      </c>
      <c r="B26" s="19">
        <v>1260791.8600000001</v>
      </c>
    </row>
    <row r="27" spans="1:2" x14ac:dyDescent="0.2">
      <c r="A27" s="13" t="s">
        <v>92</v>
      </c>
      <c r="B27" s="19">
        <v>10219.049999999999</v>
      </c>
    </row>
    <row r="28" spans="1:2" x14ac:dyDescent="0.2">
      <c r="A28" s="13" t="s">
        <v>93</v>
      </c>
      <c r="B28" s="19">
        <v>297486.34999999998</v>
      </c>
    </row>
    <row r="29" spans="1:2" x14ac:dyDescent="0.2">
      <c r="A29" s="13" t="s">
        <v>94</v>
      </c>
      <c r="B29" s="19">
        <v>7810.48</v>
      </c>
    </row>
    <row r="30" spans="1:2" x14ac:dyDescent="0.2">
      <c r="A30" s="13" t="s">
        <v>95</v>
      </c>
      <c r="B30" s="19">
        <v>18900.919999999998</v>
      </c>
    </row>
    <row r="31" spans="1:2" x14ac:dyDescent="0.2">
      <c r="A31" s="13" t="s">
        <v>96</v>
      </c>
      <c r="B31" s="19">
        <v>231.97</v>
      </c>
    </row>
    <row r="32" spans="1:2" x14ac:dyDescent="0.2">
      <c r="A32" s="13" t="s">
        <v>97</v>
      </c>
      <c r="B32" s="19">
        <v>127689.43</v>
      </c>
    </row>
    <row r="33" spans="1:2" x14ac:dyDescent="0.2">
      <c r="A33" s="13" t="s">
        <v>98</v>
      </c>
      <c r="B33" s="19">
        <v>76525.94</v>
      </c>
    </row>
    <row r="34" spans="1:2" x14ac:dyDescent="0.2">
      <c r="A34" s="13" t="s">
        <v>99</v>
      </c>
      <c r="B34" s="19">
        <v>113965.69</v>
      </c>
    </row>
    <row r="35" spans="1:2" x14ac:dyDescent="0.2">
      <c r="A35" s="13" t="s">
        <v>100</v>
      </c>
      <c r="B35" s="19">
        <v>72000</v>
      </c>
    </row>
    <row r="36" spans="1:2" x14ac:dyDescent="0.2">
      <c r="A36" s="20" t="s">
        <v>102</v>
      </c>
      <c r="B36" s="21">
        <f>SUM(B26:B35)</f>
        <v>1985621.69</v>
      </c>
    </row>
    <row r="37" spans="1:2" x14ac:dyDescent="0.2">
      <c r="A37" s="12" t="s">
        <v>103</v>
      </c>
      <c r="B37" s="18"/>
    </row>
    <row r="38" spans="1:2" x14ac:dyDescent="0.2">
      <c r="A38" s="13" t="s">
        <v>104</v>
      </c>
      <c r="B38" s="19">
        <v>92408.68</v>
      </c>
    </row>
    <row r="39" spans="1:2" x14ac:dyDescent="0.2">
      <c r="A39" s="13" t="s">
        <v>106</v>
      </c>
      <c r="B39" s="19">
        <v>390009.13</v>
      </c>
    </row>
    <row r="40" spans="1:2" x14ac:dyDescent="0.2">
      <c r="A40" s="13" t="s">
        <v>108</v>
      </c>
      <c r="B40" s="19">
        <v>31630</v>
      </c>
    </row>
    <row r="41" spans="1:2" x14ac:dyDescent="0.2">
      <c r="A41" s="20" t="s">
        <v>110</v>
      </c>
      <c r="B41" s="21">
        <f>SUM(B38:B40)</f>
        <v>514047.81</v>
      </c>
    </row>
    <row r="42" spans="1:2" x14ac:dyDescent="0.2">
      <c r="A42" s="12" t="s">
        <v>111</v>
      </c>
      <c r="B42" s="18"/>
    </row>
    <row r="43" spans="1:2" x14ac:dyDescent="0.2">
      <c r="A43" s="13" t="s">
        <v>112</v>
      </c>
      <c r="B43" s="19">
        <v>9304.0499999999993</v>
      </c>
    </row>
    <row r="44" spans="1:2" x14ac:dyDescent="0.2">
      <c r="A44" s="13" t="s">
        <v>113</v>
      </c>
      <c r="B44" s="19">
        <v>51969.09</v>
      </c>
    </row>
    <row r="45" spans="1:2" x14ac:dyDescent="0.2">
      <c r="A45" s="13" t="s">
        <v>114</v>
      </c>
      <c r="B45" s="19">
        <v>3110.97</v>
      </c>
    </row>
    <row r="46" spans="1:2" x14ac:dyDescent="0.2">
      <c r="A46" s="20" t="s">
        <v>115</v>
      </c>
      <c r="B46" s="21">
        <f>SUM(B43:B45)</f>
        <v>64384.11</v>
      </c>
    </row>
    <row r="47" spans="1:2" x14ac:dyDescent="0.2">
      <c r="A47" s="22" t="s">
        <v>116</v>
      </c>
      <c r="B47" s="21">
        <f>SUM(B36,B41,B46)</f>
        <v>2564053.61</v>
      </c>
    </row>
    <row r="48" spans="1:2" x14ac:dyDescent="0.2">
      <c r="A48" s="25" t="s">
        <v>243</v>
      </c>
      <c r="B48" s="21">
        <f>SUM(B47)</f>
        <v>2564053.61</v>
      </c>
    </row>
    <row r="49" spans="1:2" x14ac:dyDescent="0.2">
      <c r="A49" s="23" t="s">
        <v>242</v>
      </c>
      <c r="B49" s="24">
        <f>B22-B48</f>
        <v>1301978.0099999998</v>
      </c>
    </row>
    <row r="50" spans="1:2" x14ac:dyDescent="0.2">
      <c r="A50" s="4" t="s">
        <v>241</v>
      </c>
      <c r="B50" s="18"/>
    </row>
    <row r="51" spans="1:2" x14ac:dyDescent="0.2">
      <c r="A51" s="9" t="s">
        <v>117</v>
      </c>
      <c r="B51" s="18"/>
    </row>
    <row r="52" spans="1:2" x14ac:dyDescent="0.2">
      <c r="A52" s="10" t="s">
        <v>118</v>
      </c>
      <c r="B52" s="19">
        <v>266202.65000000002</v>
      </c>
    </row>
    <row r="53" spans="1:2" x14ac:dyDescent="0.2">
      <c r="A53" s="10" t="s">
        <v>120</v>
      </c>
      <c r="B53" s="19">
        <v>7139.17</v>
      </c>
    </row>
    <row r="54" spans="1:2" x14ac:dyDescent="0.2">
      <c r="A54" s="10" t="s">
        <v>121</v>
      </c>
      <c r="B54" s="19">
        <v>65343.8</v>
      </c>
    </row>
    <row r="55" spans="1:2" x14ac:dyDescent="0.2">
      <c r="A55" s="10" t="s">
        <v>122</v>
      </c>
      <c r="B55" s="19">
        <v>1643.81</v>
      </c>
    </row>
    <row r="56" spans="1:2" x14ac:dyDescent="0.2">
      <c r="A56" s="10" t="s">
        <v>123</v>
      </c>
      <c r="B56" s="19">
        <v>4751.3999999999996</v>
      </c>
    </row>
    <row r="57" spans="1:2" x14ac:dyDescent="0.2">
      <c r="A57" s="10" t="s">
        <v>124</v>
      </c>
      <c r="B57" s="19">
        <v>224.4</v>
      </c>
    </row>
    <row r="58" spans="1:2" x14ac:dyDescent="0.2">
      <c r="A58" s="10" t="s">
        <v>125</v>
      </c>
      <c r="B58" s="19">
        <v>26729.57</v>
      </c>
    </row>
    <row r="59" spans="1:2" x14ac:dyDescent="0.2">
      <c r="A59" s="10" t="s">
        <v>126</v>
      </c>
      <c r="B59" s="19">
        <v>11309.23</v>
      </c>
    </row>
    <row r="60" spans="1:2" x14ac:dyDescent="0.2">
      <c r="A60" s="10" t="s">
        <v>127</v>
      </c>
      <c r="B60" s="19">
        <v>284.63</v>
      </c>
    </row>
    <row r="61" spans="1:2" x14ac:dyDescent="0.2">
      <c r="A61" s="22" t="s">
        <v>128</v>
      </c>
      <c r="B61" s="21">
        <f>SUM(B52:B60)</f>
        <v>383628.66000000003</v>
      </c>
    </row>
    <row r="62" spans="1:2" x14ac:dyDescent="0.2">
      <c r="A62" s="9" t="s">
        <v>129</v>
      </c>
      <c r="B62" s="18"/>
    </row>
    <row r="63" spans="1:2" x14ac:dyDescent="0.2">
      <c r="A63" s="12" t="s">
        <v>130</v>
      </c>
      <c r="B63" s="18"/>
    </row>
    <row r="64" spans="1:2" x14ac:dyDescent="0.2">
      <c r="A64" s="13" t="s">
        <v>131</v>
      </c>
      <c r="B64" s="19">
        <v>56432</v>
      </c>
    </row>
    <row r="65" spans="1:2" x14ac:dyDescent="0.2">
      <c r="A65" s="13" t="s">
        <v>132</v>
      </c>
      <c r="B65" s="19">
        <v>20752</v>
      </c>
    </row>
    <row r="66" spans="1:2" x14ac:dyDescent="0.2">
      <c r="A66" s="13" t="s">
        <v>133</v>
      </c>
      <c r="B66" s="19">
        <v>12930.06</v>
      </c>
    </row>
    <row r="67" spans="1:2" x14ac:dyDescent="0.2">
      <c r="A67" s="20" t="s">
        <v>134</v>
      </c>
      <c r="B67" s="21">
        <f>SUM(B64:B66)</f>
        <v>90114.06</v>
      </c>
    </row>
    <row r="68" spans="1:2" x14ac:dyDescent="0.2">
      <c r="A68" s="12" t="s">
        <v>135</v>
      </c>
      <c r="B68" s="18"/>
    </row>
    <row r="69" spans="1:2" x14ac:dyDescent="0.2">
      <c r="A69" s="13" t="s">
        <v>136</v>
      </c>
      <c r="B69" s="19">
        <v>6576.37</v>
      </c>
    </row>
    <row r="70" spans="1:2" x14ac:dyDescent="0.2">
      <c r="A70" s="20" t="s">
        <v>137</v>
      </c>
      <c r="B70" s="21">
        <f>SUM(B69)</f>
        <v>6576.37</v>
      </c>
    </row>
    <row r="71" spans="1:2" x14ac:dyDescent="0.2">
      <c r="A71" s="12" t="s">
        <v>138</v>
      </c>
      <c r="B71" s="18"/>
    </row>
    <row r="72" spans="1:2" x14ac:dyDescent="0.2">
      <c r="A72" s="13" t="s">
        <v>139</v>
      </c>
      <c r="B72" s="19">
        <v>625.58000000000004</v>
      </c>
    </row>
    <row r="73" spans="1:2" x14ac:dyDescent="0.2">
      <c r="A73" s="20" t="s">
        <v>140</v>
      </c>
      <c r="B73" s="21">
        <f>SUM(B72)</f>
        <v>625.58000000000004</v>
      </c>
    </row>
    <row r="74" spans="1:2" x14ac:dyDescent="0.2">
      <c r="A74" s="12" t="s">
        <v>141</v>
      </c>
      <c r="B74" s="18"/>
    </row>
    <row r="75" spans="1:2" x14ac:dyDescent="0.2">
      <c r="A75" s="13" t="s">
        <v>142</v>
      </c>
      <c r="B75" s="19">
        <v>3002.42</v>
      </c>
    </row>
    <row r="76" spans="1:2" x14ac:dyDescent="0.2">
      <c r="A76" s="20" t="s">
        <v>143</v>
      </c>
      <c r="B76" s="21">
        <f>SUM(B75)</f>
        <v>3002.42</v>
      </c>
    </row>
    <row r="77" spans="1:2" x14ac:dyDescent="0.2">
      <c r="A77" s="12" t="s">
        <v>144</v>
      </c>
      <c r="B77" s="18"/>
    </row>
    <row r="78" spans="1:2" x14ac:dyDescent="0.2">
      <c r="A78" s="13" t="s">
        <v>145</v>
      </c>
      <c r="B78" s="19">
        <v>404.21</v>
      </c>
    </row>
    <row r="79" spans="1:2" x14ac:dyDescent="0.2">
      <c r="A79" s="20" t="s">
        <v>146</v>
      </c>
      <c r="B79" s="21">
        <f>SUM(B78)</f>
        <v>404.21</v>
      </c>
    </row>
    <row r="80" spans="1:2" x14ac:dyDescent="0.2">
      <c r="A80" s="12" t="s">
        <v>147</v>
      </c>
      <c r="B80" s="18"/>
    </row>
    <row r="81" spans="1:2" x14ac:dyDescent="0.2">
      <c r="A81" s="13" t="s">
        <v>148</v>
      </c>
      <c r="B81" s="19">
        <v>223519.91</v>
      </c>
    </row>
    <row r="82" spans="1:2" x14ac:dyDescent="0.2">
      <c r="A82" s="13" t="s">
        <v>149</v>
      </c>
      <c r="B82" s="19">
        <v>27075.64</v>
      </c>
    </row>
    <row r="83" spans="1:2" x14ac:dyDescent="0.2">
      <c r="A83" s="13" t="s">
        <v>150</v>
      </c>
      <c r="B83" s="19">
        <v>19699.11</v>
      </c>
    </row>
    <row r="84" spans="1:2" x14ac:dyDescent="0.2">
      <c r="A84" s="13" t="s">
        <v>151</v>
      </c>
      <c r="B84" s="19">
        <v>2978.86</v>
      </c>
    </row>
    <row r="85" spans="1:2" x14ac:dyDescent="0.2">
      <c r="A85" s="13" t="s">
        <v>152</v>
      </c>
      <c r="B85" s="19">
        <v>1717.46</v>
      </c>
    </row>
    <row r="86" spans="1:2" x14ac:dyDescent="0.2">
      <c r="A86" s="13" t="s">
        <v>153</v>
      </c>
      <c r="B86" s="19">
        <v>5290.01</v>
      </c>
    </row>
    <row r="87" spans="1:2" x14ac:dyDescent="0.2">
      <c r="A87" s="13" t="s">
        <v>154</v>
      </c>
      <c r="B87" s="19">
        <v>308.32</v>
      </c>
    </row>
    <row r="88" spans="1:2" x14ac:dyDescent="0.2">
      <c r="A88" s="13" t="s">
        <v>155</v>
      </c>
      <c r="B88" s="19">
        <v>3006.05</v>
      </c>
    </row>
    <row r="89" spans="1:2" x14ac:dyDescent="0.2">
      <c r="A89" s="20" t="s">
        <v>156</v>
      </c>
      <c r="B89" s="21">
        <f>SUM(B81:B88)</f>
        <v>283595.36</v>
      </c>
    </row>
    <row r="90" spans="1:2" x14ac:dyDescent="0.2">
      <c r="A90" s="12" t="s">
        <v>157</v>
      </c>
      <c r="B90" s="18"/>
    </row>
    <row r="91" spans="1:2" x14ac:dyDescent="0.2">
      <c r="A91" s="13" t="s">
        <v>158</v>
      </c>
      <c r="B91" s="19">
        <v>289.64</v>
      </c>
    </row>
    <row r="92" spans="1:2" x14ac:dyDescent="0.2">
      <c r="A92" s="13" t="s">
        <v>159</v>
      </c>
      <c r="B92" s="19">
        <v>500</v>
      </c>
    </row>
    <row r="93" spans="1:2" x14ac:dyDescent="0.2">
      <c r="A93" s="13" t="s">
        <v>160</v>
      </c>
      <c r="B93" s="19">
        <v>295.25</v>
      </c>
    </row>
    <row r="94" spans="1:2" x14ac:dyDescent="0.2">
      <c r="A94" s="13" t="s">
        <v>161</v>
      </c>
      <c r="B94" s="19">
        <v>4126.72</v>
      </c>
    </row>
    <row r="95" spans="1:2" x14ac:dyDescent="0.2">
      <c r="A95" s="13" t="s">
        <v>162</v>
      </c>
      <c r="B95" s="19">
        <v>151.47</v>
      </c>
    </row>
    <row r="96" spans="1:2" x14ac:dyDescent="0.2">
      <c r="A96" s="13" t="s">
        <v>163</v>
      </c>
      <c r="B96" s="19">
        <v>90.87</v>
      </c>
    </row>
    <row r="97" spans="1:2" x14ac:dyDescent="0.2">
      <c r="A97" s="13" t="s">
        <v>164</v>
      </c>
      <c r="B97" s="19">
        <v>3662.06</v>
      </c>
    </row>
    <row r="98" spans="1:2" x14ac:dyDescent="0.2">
      <c r="A98" s="20" t="s">
        <v>165</v>
      </c>
      <c r="B98" s="21">
        <f>SUM(B91:B97)</f>
        <v>9116.01</v>
      </c>
    </row>
    <row r="99" spans="1:2" x14ac:dyDescent="0.2">
      <c r="A99" s="12" t="s">
        <v>166</v>
      </c>
      <c r="B99" s="18"/>
    </row>
    <row r="100" spans="1:2" x14ac:dyDescent="0.2">
      <c r="A100" s="13" t="s">
        <v>167</v>
      </c>
      <c r="B100" s="19">
        <v>1158.19</v>
      </c>
    </row>
    <row r="101" spans="1:2" x14ac:dyDescent="0.2">
      <c r="A101" s="13" t="s">
        <v>168</v>
      </c>
      <c r="B101" s="19">
        <v>2400</v>
      </c>
    </row>
    <row r="102" spans="1:2" x14ac:dyDescent="0.2">
      <c r="A102" s="13" t="s">
        <v>169</v>
      </c>
      <c r="B102" s="19">
        <v>4300.92</v>
      </c>
    </row>
    <row r="103" spans="1:2" x14ac:dyDescent="0.2">
      <c r="A103" s="13" t="s">
        <v>170</v>
      </c>
      <c r="B103" s="19">
        <v>3006.52</v>
      </c>
    </row>
    <row r="104" spans="1:2" x14ac:dyDescent="0.2">
      <c r="A104" s="20" t="s">
        <v>171</v>
      </c>
      <c r="B104" s="21">
        <f>SUM(B100:B103)</f>
        <v>10865.630000000001</v>
      </c>
    </row>
    <row r="105" spans="1:2" x14ac:dyDescent="0.2">
      <c r="A105" s="12" t="s">
        <v>172</v>
      </c>
      <c r="B105" s="18"/>
    </row>
    <row r="106" spans="1:2" x14ac:dyDescent="0.2">
      <c r="A106" s="13" t="s">
        <v>173</v>
      </c>
      <c r="B106" s="19">
        <v>7864.6</v>
      </c>
    </row>
    <row r="107" spans="1:2" x14ac:dyDescent="0.2">
      <c r="A107" s="13" t="s">
        <v>174</v>
      </c>
      <c r="B107" s="19">
        <v>2933.5</v>
      </c>
    </row>
    <row r="108" spans="1:2" x14ac:dyDescent="0.2">
      <c r="A108" s="13" t="s">
        <v>175</v>
      </c>
      <c r="B108" s="19">
        <v>2038.27</v>
      </c>
    </row>
    <row r="109" spans="1:2" x14ac:dyDescent="0.2">
      <c r="A109" s="13" t="s">
        <v>176</v>
      </c>
      <c r="B109" s="19">
        <v>12687.54</v>
      </c>
    </row>
    <row r="110" spans="1:2" x14ac:dyDescent="0.2">
      <c r="A110" s="20" t="s">
        <v>177</v>
      </c>
      <c r="B110" s="21">
        <f>SUM(B106:B109)</f>
        <v>25523.910000000003</v>
      </c>
    </row>
    <row r="111" spans="1:2" x14ac:dyDescent="0.2">
      <c r="A111" s="22" t="s">
        <v>178</v>
      </c>
      <c r="B111" s="21">
        <f>SUM(B67,B70,B73,B76,B79,B89,B98,B104,B110)</f>
        <v>429823.55000000005</v>
      </c>
    </row>
    <row r="112" spans="1:2" x14ac:dyDescent="0.2">
      <c r="A112" s="25" t="s">
        <v>240</v>
      </c>
      <c r="B112" s="21">
        <f>SUM(B61,B111)</f>
        <v>813452.21000000008</v>
      </c>
    </row>
    <row r="113" spans="1:2" x14ac:dyDescent="0.2">
      <c r="A113" s="23" t="s">
        <v>239</v>
      </c>
      <c r="B113" s="24">
        <f>B49-B112</f>
        <v>488525.7999999997</v>
      </c>
    </row>
    <row r="114" spans="1:2" x14ac:dyDescent="0.2">
      <c r="A114" s="4" t="s">
        <v>238</v>
      </c>
      <c r="B114" s="18"/>
    </row>
    <row r="115" spans="1:2" x14ac:dyDescent="0.2">
      <c r="A115" s="9" t="s">
        <v>179</v>
      </c>
      <c r="B115" s="18"/>
    </row>
    <row r="116" spans="1:2" x14ac:dyDescent="0.2">
      <c r="A116" s="12" t="s">
        <v>180</v>
      </c>
      <c r="B116" s="18"/>
    </row>
    <row r="117" spans="1:2" x14ac:dyDescent="0.2">
      <c r="A117" s="13" t="s">
        <v>181</v>
      </c>
      <c r="B117" s="19">
        <v>-72808.13</v>
      </c>
    </row>
    <row r="118" spans="1:2" x14ac:dyDescent="0.2">
      <c r="A118" s="20" t="s">
        <v>182</v>
      </c>
      <c r="B118" s="21">
        <f>SUM(B117)</f>
        <v>-72808.13</v>
      </c>
    </row>
    <row r="119" spans="1:2" x14ac:dyDescent="0.2">
      <c r="A119" s="12" t="s">
        <v>183</v>
      </c>
      <c r="B119" s="18"/>
    </row>
    <row r="120" spans="1:2" x14ac:dyDescent="0.2">
      <c r="A120" s="13" t="s">
        <v>184</v>
      </c>
      <c r="B120" s="19">
        <v>-12053.32</v>
      </c>
    </row>
    <row r="121" spans="1:2" x14ac:dyDescent="0.2">
      <c r="A121" s="13" t="s">
        <v>185</v>
      </c>
      <c r="B121" s="19">
        <v>-0.61</v>
      </c>
    </row>
    <row r="122" spans="1:2" x14ac:dyDescent="0.2">
      <c r="A122" s="20" t="s">
        <v>186</v>
      </c>
      <c r="B122" s="21">
        <f>SUM(B120:B121)</f>
        <v>-12053.93</v>
      </c>
    </row>
    <row r="123" spans="1:2" x14ac:dyDescent="0.2">
      <c r="A123" s="12" t="s">
        <v>187</v>
      </c>
      <c r="B123" s="18"/>
    </row>
    <row r="124" spans="1:2" x14ac:dyDescent="0.2">
      <c r="A124" s="13" t="s">
        <v>188</v>
      </c>
      <c r="B124" s="19">
        <v>-145.57</v>
      </c>
    </row>
    <row r="125" spans="1:2" x14ac:dyDescent="0.2">
      <c r="A125" s="13" t="s">
        <v>189</v>
      </c>
      <c r="B125" s="19">
        <v>-9.1300000000000008</v>
      </c>
    </row>
    <row r="126" spans="1:2" x14ac:dyDescent="0.2">
      <c r="A126" s="13" t="s">
        <v>190</v>
      </c>
      <c r="B126" s="19">
        <v>2.02</v>
      </c>
    </row>
    <row r="127" spans="1:2" x14ac:dyDescent="0.2">
      <c r="A127" s="20" t="s">
        <v>191</v>
      </c>
      <c r="B127" s="21">
        <f>SUM(B124:B126)</f>
        <v>-152.67999999999998</v>
      </c>
    </row>
    <row r="128" spans="1:2" x14ac:dyDescent="0.2">
      <c r="A128" s="12" t="s">
        <v>192</v>
      </c>
      <c r="B128" s="18"/>
    </row>
    <row r="129" spans="1:2" x14ac:dyDescent="0.2">
      <c r="A129" s="13" t="s">
        <v>193</v>
      </c>
      <c r="B129" s="19">
        <v>-102693</v>
      </c>
    </row>
    <row r="130" spans="1:2" x14ac:dyDescent="0.2">
      <c r="A130" s="20" t="s">
        <v>194</v>
      </c>
      <c r="B130" s="21">
        <f>SUM(B129)</f>
        <v>-102693</v>
      </c>
    </row>
    <row r="131" spans="1:2" x14ac:dyDescent="0.2">
      <c r="A131" s="22" t="s">
        <v>195</v>
      </c>
      <c r="B131" s="21">
        <f>SUM(B118,B122,B127,B130)</f>
        <v>-187707.74</v>
      </c>
    </row>
    <row r="132" spans="1:2" x14ac:dyDescent="0.2">
      <c r="A132" s="6" t="s">
        <v>196</v>
      </c>
      <c r="B132" s="19">
        <v>7307.43</v>
      </c>
    </row>
    <row r="133" spans="1:2" x14ac:dyDescent="0.2">
      <c r="A133" s="6" t="s">
        <v>197</v>
      </c>
      <c r="B133" s="19">
        <v>-46.07</v>
      </c>
    </row>
    <row r="134" spans="1:2" x14ac:dyDescent="0.2">
      <c r="A134" s="25" t="s">
        <v>237</v>
      </c>
      <c r="B134" s="21">
        <f>SUM(B131:B133)</f>
        <v>-180446.38</v>
      </c>
    </row>
    <row r="135" spans="1:2" x14ac:dyDescent="0.2">
      <c r="A135" s="23" t="s">
        <v>236</v>
      </c>
      <c r="B135" s="24">
        <f>B113+0+B134</f>
        <v>308079.41999999969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EAB0-9A0C-4C9C-A1D2-FC83FA7688A5}">
  <dimension ref="A1"/>
  <sheetViews>
    <sheetView workbookViewId="0"/>
  </sheetViews>
  <sheetFormatPr baseColWidth="10" defaultColWidth="9.140625" defaultRowHeight="10.199999999999999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TrialBalance</vt:lpstr>
      <vt:lpstr>BalanceSheet</vt:lpstr>
      <vt:lpstr>ProfitandLoss</vt:lpstr>
      <vt:lpstr>Sheet2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Ndiaye, Saphiétou</cp:lastModifiedBy>
  <dcterms:created xsi:type="dcterms:W3CDTF">2025-05-13T15:34:27Z</dcterms:created>
  <dcterms:modified xsi:type="dcterms:W3CDTF">2026-03-31T20:12:55Z</dcterms:modified>
</cp:coreProperties>
</file>