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can-my.sharepoint.com/personal/saphietoundiaye_kpmg_ca/Documents/Tax Tech/Sinaxe/Trial balance mapping/Rodeo FX/2024/"/>
    </mc:Choice>
  </mc:AlternateContent>
  <xr:revisionPtr revIDLastSave="15" documentId="8_{9D7697A8-861A-420B-958F-8064E9DD4566}" xr6:coauthVersionLast="47" xr6:coauthVersionMax="47" xr10:uidLastSave="{FE3FA21B-A62A-4C0D-9ADC-277F52337279}"/>
  <bookViews>
    <workbookView xWindow="-108" yWindow="-108" windowWidth="41496" windowHeight="16776" activeTab="1" xr2:uid="{D264A1F7-65E9-4969-B06C-B0C4F423BCA6}"/>
  </bookViews>
  <sheets>
    <sheet name="PBC --&gt;" sheetId="4" r:id="rId1"/>
    <sheet name="Rodeo Inc PL" sheetId="42" r:id="rId2"/>
    <sheet name="Rodeo Inc BS" sheetId="43" r:id="rId3"/>
    <sheet name="Rodeo Corp TB" sheetId="39" r:id="rId4"/>
    <sheet name="Exchange rate" sheetId="37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tb2" hidden="1">OFFSET(TB,1,)</definedName>
    <definedName name="_TB2" hidden="1">OFFSET(TB,1,)</definedName>
    <definedName name="A1bPart1Rows" hidden="1">#REF!</definedName>
    <definedName name="A1bPart2Rows" hidden="1">#REF!</definedName>
    <definedName name="A5fml" hidden="1">INDIRECT("'A5'!$3:$3")</definedName>
    <definedName name="ACCSFromA5" hidden="1">INDEX([0]!__tb2,,1)</definedName>
    <definedName name="allx" hidden="1">Allx3,Allx4,Allx5</definedName>
    <definedName name="AMT_LEVEL_DETAIL">'[1]Procedures_ validation'!$D$5</definedName>
    <definedName name="AS2DocOpenMode" hidden="1">"AS2DocumentEdit"</definedName>
    <definedName name="Bad_Debt">#REF!</definedName>
    <definedName name="BUDGET2017">'[1]P&amp;L Budget 2019'!$A$9:$S$42</definedName>
    <definedName name="C_1SchK1" hidden="1">[2]C1!#REF!,[2]C1!#REF!,[2]C1!#REF!,[2]C1!#REF!</definedName>
    <definedName name="C_1SchK2" hidden="1">[2]C1!$E$3:$E$8,[2]C1!$E$10:$E$12,[2]C1!$E$14:$E$38,[2]C1!$E$39:$E$77</definedName>
    <definedName name="city">#REF!</definedName>
    <definedName name="clra1ball" hidden="1">clra1bp1,clra1bp2</definedName>
    <definedName name="clra1bp1" hidden="1">clra1b1,clra1b2,clra1b3,clra1b4,clra1b5,clra1b6,clra1b7,clra1b8</definedName>
    <definedName name="clra1bp2" hidden="1">clra1b9,clra1b10,clra1b11,clra1b12,clra1b13,clra1b13,clra1b15,clra1b16</definedName>
    <definedName name="Co">#REF!</definedName>
    <definedName name="COK" hidden="1">#N/A</definedName>
    <definedName name="ColumnShift_VlookUp">'[1]Procedures_ validation'!$L$39</definedName>
    <definedName name="Company">[3]Instructions!$A$1</definedName>
    <definedName name="companyname">#REF!</definedName>
    <definedName name="CoName">#REF!</definedName>
    <definedName name="CONTROLLER_DATAENTRY">"PPE!$A$1"</definedName>
    <definedName name="CONTROLLERFDOPTION.VIEWABLE_RANGE_LRC.34393A3539">"A1"</definedName>
    <definedName name="CONTROLLERFDOPTION.VIEWABLE_RANGE_ULC.333A33">"A1"</definedName>
    <definedName name="CurMth">'[1]Procedures_ validation'!$D$4</definedName>
    <definedName name="cx" hidden="1">"CX6"</definedName>
    <definedName name="da" hidden="1">IF(NOT(ISERROR([0]!otb*1)),[0]!otb*1,[0]!otb)</definedName>
    <definedName name="DeleteTitles" hidden="1">#N/A</definedName>
    <definedName name="Depletion">#REF!</definedName>
    <definedName name="Depr">#REF!</definedName>
    <definedName name="Form5472Data1">[2]F2!$B$81:$B$83,[2]F2!$E$79,[2]F2!$E$80,[2]F2!$E$82</definedName>
    <definedName name="Form5472Data2">[2]F2!$B$147:$B$149,[2]F2!$E$145,[2]F2!$E$146,[2]F2!$E$148</definedName>
    <definedName name="Form5472Data3">[2]F2!$B$213:$B$215,[2]F2!$E$211,[2]F2!$E$212,[2]F2!$E$214</definedName>
    <definedName name="Form5472Data4">[2]F2!$B$279:$B$281,[2]F2!$E$277:$E$278,[2]F2!$E$280</definedName>
    <definedName name="Franchise">#REF!</definedName>
    <definedName name="G1ClearAll" hidden="1">g1clear,G1Clear2</definedName>
    <definedName name="GLGLMP">[4]Glglmp!$A$1:$BO$8000</definedName>
    <definedName name="GLGLMPC">[4]Glglmp!$B$1:$B$8000</definedName>
    <definedName name="GLGLMPL">[4]Glglmp!$A$1:$BP$1</definedName>
    <definedName name="IAQ_IAQ3">#REF!</definedName>
    <definedName name="ImAClientOrganizer" hidden="1">TRUE</definedName>
    <definedName name="IndexNames" hidden="1">Indexn1,IndexN2</definedName>
    <definedName name="Indexx" hidden="1">[0]!Indexx1,[0]!Indexx2</definedName>
    <definedName name="InputSheets">OFFSET(InputSheetsBegin,0,0,COUNTA([2]General!$A$8:$A$11),8)</definedName>
    <definedName name="InputSheetsBegin">[2]General!$A$8</definedName>
    <definedName name="Inventory_Reserve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39127.6126041667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JE">#REF!</definedName>
    <definedName name="M175O">[5]M120!#REF!</definedName>
    <definedName name="me">#REF!</definedName>
    <definedName name="Off_Comp">#REF!</definedName>
    <definedName name="otbb" hidden="1">IF(ISERROR(otb*1),otb,otb*1)</definedName>
    <definedName name="OUI___NON">#REF!</definedName>
    <definedName name="part1a1" hidden="1">VLOOKUP(IF(ISNUMBER(INDIRECT("rc",FALSE)),INDIRECT("rc",FALSE)*1,INDIRECT("rc",FALSE)),TB,3,FALSE)</definedName>
    <definedName name="PASSC1">#REF!</definedName>
    <definedName name="PL_2016">'[1]P&amp;L 2018'!$A$1:$AA$60</definedName>
    <definedName name="Political">#REF!</definedName>
    <definedName name="Print_Je_RelatedTrx">'[1]Conso JE'!#REF!</definedName>
    <definedName name="Print_Note">'[1]Inf for Notes to FS'!#REF!</definedName>
    <definedName name="RD">#REF!</definedName>
    <definedName name="SAPFuncF4Help">Main.SAPF4Help()</definedName>
    <definedName name="ScheduleName">#REF!</definedName>
    <definedName name="ScheduleNumber">#REF!</definedName>
    <definedName name="se" hidden="1">OFFSET([0]!TB,1,)</definedName>
    <definedName name="Sec263a">#REF!</definedName>
    <definedName name="ShortTermInvReclass">'[1]Procedures_ validation'!$G$94</definedName>
    <definedName name="smallsmall" hidden="1">Smallx,smallx2</definedName>
    <definedName name="state">#REF!</definedName>
    <definedName name="State_Income">#REF!</definedName>
    <definedName name="street">#REF!</definedName>
    <definedName name="TaxEnd">[3]Instructions!$A$2</definedName>
    <definedName name="TBL_ActYr">[1]ReportingPL!$X$4:$AJ$63</definedName>
    <definedName name="TBL_BUD_YTDbyMth">'[1]P&amp;L Budget 2019'!$H$7:$S$42</definedName>
    <definedName name="TBL_CalPer">'[1]Procedures_ validation'!$C$16:$C$27</definedName>
    <definedName name="TBL_F2016_YTD">'[1]P&amp;L 2018'!$P$1:$AA$60</definedName>
    <definedName name="TBL_PrevMth">'[1]Procedures_ validation'!$D$17:$D$27</definedName>
    <definedName name="Type">#REF!</definedName>
    <definedName name="VL" hidden="1">VLOOKUP(IF(ISERROR(1*INDIRECT("rc",FALSE)),INDIRECT("rc",FALSE),1*INDIRECT("rc",FALSE)),TB,3,FALSE)</definedName>
    <definedName name="Vsn" hidden="1">25</definedName>
    <definedName name="woob" hidden="1">"Warning! Out of Balance!"</definedName>
    <definedName name="YE">#REF!</definedName>
    <definedName name="YearEnd">#REF!</definedName>
    <definedName name="Yellow" hidden="1">AND(INDIRECT("rc",FALSE)&lt;&gt;"Multiple",NOT(Tax_Basis_Balance_Sheet),INDIRECT("rc",FALSE)&lt;&gt;"",IF(LEFT(INDIRECT("rc",FALSE),3)="TAX",MID(INDIRECT("rc",FALSE),4,3)*1&lt;300,IF(ISERROR(VL),TRUE,VL&lt;300)))</definedName>
    <definedName name="YesNo">[6]Validation!$D$2:$D$3</definedName>
    <definedName name="zipco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8" i="42" l="1"/>
  <c r="B162" i="42"/>
  <c r="B157" i="42"/>
  <c r="K199" i="42" l="1"/>
  <c r="J199" i="42"/>
  <c r="B16" i="43"/>
  <c r="B17" i="43" s="1"/>
  <c r="B22" i="43"/>
  <c r="B23" i="43"/>
  <c r="B27" i="43"/>
  <c r="B28" i="43" s="1"/>
  <c r="B36" i="43"/>
  <c r="B40" i="43"/>
  <c r="B43" i="43"/>
  <c r="B47" i="43"/>
  <c r="B55" i="43"/>
  <c r="B56" i="43"/>
  <c r="B91" i="43"/>
  <c r="B104" i="43"/>
  <c r="B105" i="43"/>
  <c r="B114" i="43"/>
  <c r="B115" i="43"/>
  <c r="B123" i="43"/>
  <c r="B124" i="43"/>
  <c r="B166" i="43" s="1"/>
  <c r="B128" i="43"/>
  <c r="B129" i="43"/>
  <c r="B135" i="43"/>
  <c r="B148" i="43"/>
  <c r="B152" i="43"/>
  <c r="B155" i="43"/>
  <c r="B159" i="43"/>
  <c r="B164" i="43"/>
  <c r="B165" i="43"/>
  <c r="B173" i="43"/>
  <c r="B174" i="43"/>
  <c r="B180" i="43"/>
  <c r="B189" i="43"/>
  <c r="B190" i="43"/>
  <c r="B193" i="43" s="1"/>
  <c r="B194" i="43" l="1"/>
  <c r="B57" i="43"/>
  <c r="B116" i="43" s="1"/>
  <c r="J16" i="42"/>
  <c r="J17" i="42"/>
  <c r="J20" i="42" s="1"/>
  <c r="J28" i="42" s="1"/>
  <c r="J29" i="42" s="1"/>
  <c r="J18" i="42"/>
  <c r="J19" i="42"/>
  <c r="B20" i="42"/>
  <c r="C20" i="42"/>
  <c r="D20" i="42"/>
  <c r="E20" i="42"/>
  <c r="F20" i="42"/>
  <c r="G20" i="42"/>
  <c r="G28" i="42" s="1"/>
  <c r="G29" i="42" s="1"/>
  <c r="G69" i="42" s="1"/>
  <c r="H20" i="42"/>
  <c r="I20" i="42"/>
  <c r="I28" i="42" s="1"/>
  <c r="I29" i="42" s="1"/>
  <c r="J22" i="42"/>
  <c r="J23" i="42" s="1"/>
  <c r="B23" i="42"/>
  <c r="B28" i="42" s="1"/>
  <c r="B29" i="42" s="1"/>
  <c r="B69" i="42" s="1"/>
  <c r="C23" i="42"/>
  <c r="D23" i="42"/>
  <c r="E23" i="42"/>
  <c r="F23" i="42"/>
  <c r="G23" i="42"/>
  <c r="H23" i="42"/>
  <c r="I23" i="42"/>
  <c r="J25" i="42"/>
  <c r="J26" i="42"/>
  <c r="J27" i="42" s="1"/>
  <c r="B27" i="42"/>
  <c r="C27" i="42"/>
  <c r="D27" i="42"/>
  <c r="E27" i="42"/>
  <c r="F27" i="42"/>
  <c r="G27" i="42"/>
  <c r="H27" i="42"/>
  <c r="I27" i="42"/>
  <c r="C28" i="42"/>
  <c r="C29" i="42" s="1"/>
  <c r="D28" i="42"/>
  <c r="D29" i="42" s="1"/>
  <c r="D69" i="42" s="1"/>
  <c r="E28" i="42"/>
  <c r="E29" i="42" s="1"/>
  <c r="E69" i="42" s="1"/>
  <c r="E163" i="42" s="1"/>
  <c r="F28" i="42"/>
  <c r="H28" i="42"/>
  <c r="F29" i="42"/>
  <c r="H29" i="42"/>
  <c r="H69" i="42" s="1"/>
  <c r="H163" i="42" s="1"/>
  <c r="J33" i="42"/>
  <c r="J34" i="42"/>
  <c r="J35" i="42"/>
  <c r="J51" i="42" s="1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B51" i="42"/>
  <c r="C51" i="42"/>
  <c r="D51" i="42"/>
  <c r="D67" i="42" s="1"/>
  <c r="D68" i="42" s="1"/>
  <c r="E51" i="42"/>
  <c r="E67" i="42" s="1"/>
  <c r="E68" i="42" s="1"/>
  <c r="F51" i="42"/>
  <c r="F67" i="42" s="1"/>
  <c r="F68" i="42" s="1"/>
  <c r="G51" i="42"/>
  <c r="H51" i="42"/>
  <c r="I51" i="42"/>
  <c r="I67" i="42" s="1"/>
  <c r="I68" i="42" s="1"/>
  <c r="J53" i="42"/>
  <c r="J54" i="42"/>
  <c r="J55" i="42"/>
  <c r="B56" i="42"/>
  <c r="C56" i="42"/>
  <c r="D56" i="42"/>
  <c r="E56" i="42"/>
  <c r="F56" i="42"/>
  <c r="G56" i="42"/>
  <c r="H56" i="42"/>
  <c r="I56" i="42"/>
  <c r="J56" i="42"/>
  <c r="J58" i="42"/>
  <c r="J59" i="42"/>
  <c r="J60" i="42"/>
  <c r="J66" i="42" s="1"/>
  <c r="J61" i="42"/>
  <c r="J62" i="42"/>
  <c r="J63" i="42"/>
  <c r="J64" i="42"/>
  <c r="J65" i="42"/>
  <c r="B66" i="42"/>
  <c r="C66" i="42"/>
  <c r="D66" i="42"/>
  <c r="E66" i="42"/>
  <c r="F66" i="42"/>
  <c r="G66" i="42"/>
  <c r="H66" i="42"/>
  <c r="I66" i="42"/>
  <c r="B67" i="42"/>
  <c r="B68" i="42" s="1"/>
  <c r="C67" i="42"/>
  <c r="C68" i="42" s="1"/>
  <c r="G67" i="42"/>
  <c r="G68" i="42" s="1"/>
  <c r="H67" i="42"/>
  <c r="H68" i="42" s="1"/>
  <c r="J72" i="42"/>
  <c r="J73" i="42"/>
  <c r="J74" i="42"/>
  <c r="J87" i="42" s="1"/>
  <c r="J75" i="42"/>
  <c r="J76" i="42"/>
  <c r="J77" i="42"/>
  <c r="J78" i="42"/>
  <c r="J79" i="42"/>
  <c r="J80" i="42"/>
  <c r="J81" i="42"/>
  <c r="J82" i="42"/>
  <c r="J83" i="42"/>
  <c r="J84" i="42"/>
  <c r="J85" i="42"/>
  <c r="J86" i="42"/>
  <c r="B87" i="42"/>
  <c r="C87" i="42"/>
  <c r="D87" i="42"/>
  <c r="E87" i="42"/>
  <c r="F87" i="42"/>
  <c r="G87" i="42"/>
  <c r="H87" i="42"/>
  <c r="I87" i="42"/>
  <c r="J90" i="42"/>
  <c r="J91" i="42"/>
  <c r="J94" i="42" s="1"/>
  <c r="J92" i="42"/>
  <c r="J93" i="42"/>
  <c r="B94" i="42"/>
  <c r="C94" i="42"/>
  <c r="D94" i="42"/>
  <c r="E94" i="42"/>
  <c r="F94" i="42"/>
  <c r="G94" i="42"/>
  <c r="H94" i="42"/>
  <c r="I94" i="42"/>
  <c r="J96" i="42"/>
  <c r="J97" i="42"/>
  <c r="J98" i="42"/>
  <c r="J101" i="42" s="1"/>
  <c r="J99" i="42"/>
  <c r="J100" i="42"/>
  <c r="B101" i="42"/>
  <c r="C101" i="42"/>
  <c r="D101" i="42"/>
  <c r="E101" i="42"/>
  <c r="E157" i="42" s="1"/>
  <c r="E162" i="42" s="1"/>
  <c r="F101" i="42"/>
  <c r="F157" i="42" s="1"/>
  <c r="F162" i="42" s="1"/>
  <c r="G101" i="42"/>
  <c r="H101" i="42"/>
  <c r="I101" i="42"/>
  <c r="J103" i="42"/>
  <c r="J104" i="42" s="1"/>
  <c r="B104" i="42"/>
  <c r="C104" i="42"/>
  <c r="D104" i="42"/>
  <c r="E104" i="42"/>
  <c r="F104" i="42"/>
  <c r="G104" i="42"/>
  <c r="H104" i="42"/>
  <c r="I104" i="42"/>
  <c r="J106" i="42"/>
  <c r="J109" i="42" s="1"/>
  <c r="J107" i="42"/>
  <c r="J108" i="42"/>
  <c r="B109" i="42"/>
  <c r="C109" i="42"/>
  <c r="D109" i="42"/>
  <c r="E109" i="42"/>
  <c r="F109" i="42"/>
  <c r="G109" i="42"/>
  <c r="H109" i="42"/>
  <c r="I109" i="42"/>
  <c r="J111" i="42"/>
  <c r="J112" i="42"/>
  <c r="J122" i="42" s="1"/>
  <c r="J113" i="42"/>
  <c r="J114" i="42"/>
  <c r="J115" i="42"/>
  <c r="J116" i="42"/>
  <c r="J117" i="42"/>
  <c r="J118" i="42"/>
  <c r="J119" i="42"/>
  <c r="J120" i="42"/>
  <c r="J121" i="42"/>
  <c r="B122" i="42"/>
  <c r="C122" i="42"/>
  <c r="D122" i="42"/>
  <c r="E122" i="42"/>
  <c r="F122" i="42"/>
  <c r="G122" i="42"/>
  <c r="H122" i="42"/>
  <c r="I122" i="42"/>
  <c r="J124" i="42"/>
  <c r="J137" i="42" s="1"/>
  <c r="J125" i="42"/>
  <c r="J126" i="42"/>
  <c r="J127" i="42"/>
  <c r="J128" i="42"/>
  <c r="J129" i="42"/>
  <c r="J130" i="42"/>
  <c r="J131" i="42"/>
  <c r="J132" i="42"/>
  <c r="J133" i="42"/>
  <c r="J134" i="42"/>
  <c r="J135" i="42"/>
  <c r="J136" i="42"/>
  <c r="B137" i="42"/>
  <c r="C137" i="42"/>
  <c r="D137" i="42"/>
  <c r="E137" i="42"/>
  <c r="F137" i="42"/>
  <c r="G137" i="42"/>
  <c r="H137" i="42"/>
  <c r="I137" i="42"/>
  <c r="J139" i="42"/>
  <c r="J140" i="42"/>
  <c r="J141" i="42"/>
  <c r="J142" i="42"/>
  <c r="J143" i="42"/>
  <c r="J144" i="42"/>
  <c r="J145" i="42"/>
  <c r="B146" i="42"/>
  <c r="C146" i="42"/>
  <c r="C157" i="42" s="1"/>
  <c r="C162" i="42" s="1"/>
  <c r="D146" i="42"/>
  <c r="E146" i="42"/>
  <c r="F146" i="42"/>
  <c r="G146" i="42"/>
  <c r="H146" i="42"/>
  <c r="I146" i="42"/>
  <c r="I157" i="42" s="1"/>
  <c r="J146" i="42"/>
  <c r="J148" i="42"/>
  <c r="J149" i="42"/>
  <c r="J150" i="42"/>
  <c r="J151" i="42"/>
  <c r="J152" i="42"/>
  <c r="J153" i="42"/>
  <c r="J154" i="42"/>
  <c r="J155" i="42"/>
  <c r="B156" i="42"/>
  <c r="C156" i="42"/>
  <c r="D156" i="42"/>
  <c r="D157" i="42" s="1"/>
  <c r="D162" i="42" s="1"/>
  <c r="E156" i="42"/>
  <c r="F156" i="42"/>
  <c r="G156" i="42"/>
  <c r="H156" i="42"/>
  <c r="I156" i="42"/>
  <c r="J156" i="42"/>
  <c r="G157" i="42"/>
  <c r="G162" i="42" s="1"/>
  <c r="H157" i="42"/>
  <c r="J159" i="42"/>
  <c r="J160" i="42"/>
  <c r="J161" i="42" s="1"/>
  <c r="B161" i="42"/>
  <c r="C161" i="42"/>
  <c r="D161" i="42"/>
  <c r="E161" i="42"/>
  <c r="F161" i="42"/>
  <c r="G161" i="42"/>
  <c r="H161" i="42"/>
  <c r="I161" i="42"/>
  <c r="H162" i="42"/>
  <c r="J167" i="42"/>
  <c r="J168" i="42" s="1"/>
  <c r="J169" i="42" s="1"/>
  <c r="B168" i="42"/>
  <c r="B169" i="42" s="1"/>
  <c r="C168" i="42"/>
  <c r="C169" i="42" s="1"/>
  <c r="D168" i="42"/>
  <c r="D169" i="42" s="1"/>
  <c r="E168" i="42"/>
  <c r="E169" i="42" s="1"/>
  <c r="F168" i="42"/>
  <c r="G168" i="42"/>
  <c r="H168" i="42"/>
  <c r="I168" i="42"/>
  <c r="I169" i="42" s="1"/>
  <c r="F169" i="42"/>
  <c r="G169" i="42"/>
  <c r="G198" i="42" s="1"/>
  <c r="H169" i="42"/>
  <c r="H198" i="42" s="1"/>
  <c r="J173" i="42"/>
  <c r="J174" i="42"/>
  <c r="J175" i="42" s="1"/>
  <c r="B175" i="42"/>
  <c r="B193" i="42" s="1"/>
  <c r="B197" i="42" s="1"/>
  <c r="C175" i="42"/>
  <c r="D175" i="42"/>
  <c r="D193" i="42" s="1"/>
  <c r="D197" i="42" s="1"/>
  <c r="E175" i="42"/>
  <c r="E193" i="42" s="1"/>
  <c r="E197" i="42" s="1"/>
  <c r="F175" i="42"/>
  <c r="G175" i="42"/>
  <c r="G193" i="42" s="1"/>
  <c r="G197" i="42" s="1"/>
  <c r="H175" i="42"/>
  <c r="H193" i="42" s="1"/>
  <c r="H197" i="42" s="1"/>
  <c r="I175" i="42"/>
  <c r="I193" i="42" s="1"/>
  <c r="I197" i="42" s="1"/>
  <c r="J177" i="42"/>
  <c r="J178" i="42"/>
  <c r="J179" i="42"/>
  <c r="J180" i="42" s="1"/>
  <c r="B180" i="42"/>
  <c r="C180" i="42"/>
  <c r="D180" i="42"/>
  <c r="E180" i="42"/>
  <c r="F180" i="42"/>
  <c r="G180" i="42"/>
  <c r="H180" i="42"/>
  <c r="I180" i="42"/>
  <c r="J182" i="42"/>
  <c r="J183" i="42"/>
  <c r="J184" i="42"/>
  <c r="J185" i="42"/>
  <c r="J188" i="42" s="1"/>
  <c r="J186" i="42"/>
  <c r="J187" i="42"/>
  <c r="B188" i="42"/>
  <c r="C188" i="42"/>
  <c r="D188" i="42"/>
  <c r="E188" i="42"/>
  <c r="F188" i="42"/>
  <c r="F193" i="42" s="1"/>
  <c r="F197" i="42" s="1"/>
  <c r="F198" i="42" s="1"/>
  <c r="G188" i="42"/>
  <c r="H188" i="42"/>
  <c r="I188" i="42"/>
  <c r="J190" i="42"/>
  <c r="J192" i="42" s="1"/>
  <c r="J191" i="42"/>
  <c r="B192" i="42"/>
  <c r="C192" i="42"/>
  <c r="D192" i="42"/>
  <c r="E192" i="42"/>
  <c r="F192" i="42"/>
  <c r="G192" i="42"/>
  <c r="H192" i="42"/>
  <c r="I192" i="42"/>
  <c r="C193" i="42"/>
  <c r="C197" i="42" s="1"/>
  <c r="J194" i="42"/>
  <c r="J195" i="42"/>
  <c r="J196" i="42"/>
  <c r="E198" i="42" l="1"/>
  <c r="D198" i="42"/>
  <c r="H199" i="42"/>
  <c r="B163" i="42"/>
  <c r="C198" i="42"/>
  <c r="J157" i="42"/>
  <c r="J193" i="42"/>
  <c r="J197" i="42" s="1"/>
  <c r="J198" i="42" s="1"/>
  <c r="I69" i="42"/>
  <c r="I163" i="42" s="1"/>
  <c r="I199" i="42" s="1"/>
  <c r="I162" i="42"/>
  <c r="E199" i="42"/>
  <c r="G163" i="42"/>
  <c r="G199" i="42" s="1"/>
  <c r="D163" i="42"/>
  <c r="D199" i="42" s="1"/>
  <c r="C69" i="42"/>
  <c r="C163" i="42" s="1"/>
  <c r="I198" i="42"/>
  <c r="J67" i="42"/>
  <c r="J68" i="42" s="1"/>
  <c r="J69" i="42" s="1"/>
  <c r="J163" i="42" s="1"/>
  <c r="J162" i="42"/>
  <c r="F69" i="42"/>
  <c r="F163" i="42" s="1"/>
  <c r="F199" i="42" s="1"/>
  <c r="C199" i="42" l="1"/>
  <c r="B199" i="42"/>
  <c r="B11" i="39" l="1"/>
  <c r="C11" i="39"/>
  <c r="B15" i="39"/>
  <c r="C15" i="39"/>
  <c r="B19" i="39"/>
  <c r="C19" i="39"/>
  <c r="B33" i="39"/>
  <c r="C33" i="39"/>
  <c r="B37" i="39"/>
  <c r="C37" i="39"/>
  <c r="B41" i="39"/>
  <c r="C41" i="39"/>
  <c r="B44" i="39"/>
  <c r="C44" i="39"/>
  <c r="B47" i="39"/>
  <c r="C47" i="39"/>
  <c r="B54" i="39"/>
  <c r="C54" i="39"/>
  <c r="B59" i="39"/>
  <c r="C59" i="39"/>
  <c r="B62" i="39"/>
  <c r="C62" i="39"/>
  <c r="B66" i="39"/>
  <c r="C66" i="39"/>
  <c r="B71" i="39"/>
  <c r="C71" i="39"/>
  <c r="C75" i="39" s="1"/>
  <c r="B74" i="39"/>
  <c r="C74" i="39"/>
  <c r="B75" i="39"/>
  <c r="B80" i="39"/>
  <c r="C80" i="39"/>
  <c r="B83" i="39"/>
  <c r="C83" i="39"/>
  <c r="B87" i="39"/>
  <c r="B93" i="39" s="1"/>
  <c r="B162" i="39" s="1"/>
  <c r="C87" i="39"/>
  <c r="B92" i="39"/>
  <c r="C92" i="39"/>
  <c r="C93" i="39"/>
  <c r="B97" i="39"/>
  <c r="B103" i="39" s="1"/>
  <c r="C97" i="39"/>
  <c r="C103" i="39" s="1"/>
  <c r="B100" i="39"/>
  <c r="C100" i="39"/>
  <c r="B109" i="39"/>
  <c r="C109" i="39"/>
  <c r="B112" i="39"/>
  <c r="C112" i="39"/>
  <c r="B115" i="39"/>
  <c r="C115" i="39"/>
  <c r="B118" i="39"/>
  <c r="C118" i="39"/>
  <c r="B129" i="39"/>
  <c r="C129" i="39"/>
  <c r="B134" i="39"/>
  <c r="C134" i="39"/>
  <c r="B138" i="39"/>
  <c r="C138" i="39"/>
  <c r="B144" i="39"/>
  <c r="C144" i="39"/>
  <c r="B145" i="39"/>
  <c r="C145" i="39"/>
  <c r="B150" i="39"/>
  <c r="B160" i="39" s="1"/>
  <c r="C150" i="39"/>
  <c r="C160" i="39" s="1"/>
  <c r="B153" i="39"/>
  <c r="C153" i="39"/>
  <c r="B156" i="39"/>
  <c r="C156" i="39"/>
  <c r="B159" i="39"/>
  <c r="C159" i="39"/>
  <c r="C162" i="39" l="1"/>
</calcChain>
</file>

<file path=xl/sharedStrings.xml><?xml version="1.0" encoding="utf-8"?>
<sst xmlns="http://schemas.openxmlformats.org/spreadsheetml/2006/main" count="582" uniqueCount="418">
  <si>
    <t>Total</t>
  </si>
  <si>
    <t>Amount</t>
  </si>
  <si>
    <t>Total - 80000 - OTHER EXPENSES</t>
  </si>
  <si>
    <t>Total - 90000 - INCOME TAX EXPENSE</t>
  </si>
  <si>
    <t>90100 - Impôts U.S.</t>
  </si>
  <si>
    <t>90000 - INCOME TAX EXPENSE</t>
  </si>
  <si>
    <t>Total - 83000 - FINANCIAL EXPENSES</t>
  </si>
  <si>
    <t>83200 - Intérêts et pénalités</t>
  </si>
  <si>
    <t>83100 - Frais bancaires</t>
  </si>
  <si>
    <t>83000 - FINANCIAL EXPENSES</t>
  </si>
  <si>
    <t>Total - 82000 - AMORTIZATION</t>
  </si>
  <si>
    <t>82150 - Amortissement immob. Incorporelles</t>
  </si>
  <si>
    <t>82100 - Amortissement immob. Corporelles</t>
  </si>
  <si>
    <t>82000 - AMORTIZATION</t>
  </si>
  <si>
    <t>80000 - OTHER EXPENSES</t>
  </si>
  <si>
    <t>Total - 61000 - SELLING AND ADMINISTRATIVE EXPENSES</t>
  </si>
  <si>
    <t>Total - 71000 - TECHNOLOGY EXPENSES</t>
  </si>
  <si>
    <t>71110 - Fourniture IT</t>
  </si>
  <si>
    <t>71010 - Internet</t>
  </si>
  <si>
    <t>71000 - TECHNOLOGY EXPENSES</t>
  </si>
  <si>
    <t>Total - 70000 - HUMAN RESOURCE EXPENSES</t>
  </si>
  <si>
    <t>70090 - Frais de paie</t>
  </si>
  <si>
    <t>70070 - CSST/ Worker compensation</t>
  </si>
  <si>
    <t>70000 - HUMAN RESOURCE EXPENSES</t>
  </si>
  <si>
    <t>Total - 69000 - MARKETING AND COMMUNICATIONS EXPENSES</t>
  </si>
  <si>
    <t>69170 - Événements corporatifs</t>
  </si>
  <si>
    <t>69000 - MARKETING AND COMMUNICATIONS EXPENSES</t>
  </si>
  <si>
    <t>Total - 68000 - FACILITY EXPENSES</t>
  </si>
  <si>
    <t>68130 - Taxes &amp; permis</t>
  </si>
  <si>
    <t>68120 - Sécurité</t>
  </si>
  <si>
    <t>68110 - Frais de bureau</t>
  </si>
  <si>
    <t>68090 - Réparation &amp; Entretien local</t>
  </si>
  <si>
    <t>68050 - Téléphone</t>
  </si>
  <si>
    <t>68030 - Chauffage et Électricité</t>
  </si>
  <si>
    <t>68010 - Loyer</t>
  </si>
  <si>
    <t>68000 - FACILITY EXPENSES</t>
  </si>
  <si>
    <t>Total - 65000 - INSURANCE</t>
  </si>
  <si>
    <t>65100 - Assurance commercial multirisques</t>
  </si>
  <si>
    <t>65000 - INSURANCE</t>
  </si>
  <si>
    <t>Total - 64000 - MEALS</t>
  </si>
  <si>
    <t>64010 - Repas</t>
  </si>
  <si>
    <t>64000 - MEALS</t>
  </si>
  <si>
    <t>Total - 62000 - PROFESSIONNAL FEES</t>
  </si>
  <si>
    <t>62200 - Frais légaux</t>
  </si>
  <si>
    <t>62100 - Honoraires professionnels</t>
  </si>
  <si>
    <t>62000 - PROFESSIONNAL FEES</t>
  </si>
  <si>
    <t>61000 - SELLING AND ADMINISTRATIVE EXPENSES</t>
  </si>
  <si>
    <t>Total - 60000 - ADMINISTRATIVE SALARIES AND SOCIAL CHARGES</t>
  </si>
  <si>
    <t>Total - 60150 - Charges sociales</t>
  </si>
  <si>
    <t>60150 - Charges sociales</t>
  </si>
  <si>
    <t>Total - 60100 - Salaires</t>
  </si>
  <si>
    <t>60100 - Salaires</t>
  </si>
  <si>
    <t>60000 - ADMINISTRATIVE SALARIES AND SOCIAL CHARGES</t>
  </si>
  <si>
    <t>Total - 50000 - COST OF SALES</t>
  </si>
  <si>
    <t>Total - 53000 - PRODUCTION EXPENSES</t>
  </si>
  <si>
    <t>53200 - Dépenses Projets</t>
  </si>
  <si>
    <t>53000 - PRODUCTION EXPENSES</t>
  </si>
  <si>
    <t>Total - 51000 - SALARIES AND SOCIAL CHARGES</t>
  </si>
  <si>
    <t>51500 - Assurance collective COGS</t>
  </si>
  <si>
    <t>51400 - Régime de pension (RPDB)/401k COGS</t>
  </si>
  <si>
    <t>51300 - Boni COGS</t>
  </si>
  <si>
    <t>Total - 51200 - Charges sociales COGS</t>
  </si>
  <si>
    <t>51200 - Charges sociales COGS</t>
  </si>
  <si>
    <t>Total - 51100 - Salaire COGS</t>
  </si>
  <si>
    <t>51100 - Salaire COGS</t>
  </si>
  <si>
    <t>51000 - SALARIES AND SOCIAL CHARGES</t>
  </si>
  <si>
    <t>50000 - COST OF SALES</t>
  </si>
  <si>
    <t>Total - 40000 - SALES</t>
  </si>
  <si>
    <t>Total - 42000 - SALES REVENUE</t>
  </si>
  <si>
    <t>42200 - Revenus - intercos</t>
  </si>
  <si>
    <t>42100 - Ventes</t>
  </si>
  <si>
    <t>42000 - SALES REVENUE</t>
  </si>
  <si>
    <t>40000 - SALES</t>
  </si>
  <si>
    <t>Total - 31000 - RETAINED EARNINGS</t>
  </si>
  <si>
    <t>31210 - Retained Earnings</t>
  </si>
  <si>
    <t>31200 - Bénéfices non répartis- exer. préc.</t>
  </si>
  <si>
    <t>31000 - RETAINED EARNINGS</t>
  </si>
  <si>
    <t>Total - 30000 - SHARE CAPITAL</t>
  </si>
  <si>
    <t>30250 - Actions ordinaires</t>
  </si>
  <si>
    <t>30000 - SHARE CAPITAL</t>
  </si>
  <si>
    <t>Total - 28000 - INCOME TAXES PAYABLE</t>
  </si>
  <si>
    <t>28450 - Impôt IRS à payer</t>
  </si>
  <si>
    <t>28410 - Impôt State of Georgia à payer</t>
  </si>
  <si>
    <t>28400 - Impôt State of California à payer</t>
  </si>
  <si>
    <t>28000 - INCOME TAXES PAYABLE</t>
  </si>
  <si>
    <t>Total - 23000 - SALARIES PAYABLE</t>
  </si>
  <si>
    <t>23070 - Vacances à payer</t>
  </si>
  <si>
    <t>23040 - Bonis à payer</t>
  </si>
  <si>
    <t>23020 - Ass-groupe à payer</t>
  </si>
  <si>
    <t>23010 - Salaires à payer</t>
  </si>
  <si>
    <t>23000 - SALARIES PAYABLE</t>
  </si>
  <si>
    <t>Total - 22500 - CREDITS CARDS PAYABLE</t>
  </si>
  <si>
    <t>22520 - Carte de crédit à payer - (USD)</t>
  </si>
  <si>
    <t>22500 - CREDITS CARDS PAYABLE</t>
  </si>
  <si>
    <t>Total - 22000 - ACCRUED LIABILITIES</t>
  </si>
  <si>
    <t>22100 - Frais courus à payer</t>
  </si>
  <si>
    <t>22000 - ACCRUED LIABILITIES</t>
  </si>
  <si>
    <t>Total - 21000 - ACCOUNTS PAYABLE</t>
  </si>
  <si>
    <t>21010 - Comptes fournisseurs</t>
  </si>
  <si>
    <t>21000 - ACCOUNTS PAYABLE</t>
  </si>
  <si>
    <t>Total - 19000 - INTANGIBLE ASSETS</t>
  </si>
  <si>
    <t>19120 - Amort cum. Licences</t>
  </si>
  <si>
    <t>19110 - Licences</t>
  </si>
  <si>
    <t>19000 - INTANGIBLE ASSETS</t>
  </si>
  <si>
    <t>Total - 18000 - FIXED ASSETS</t>
  </si>
  <si>
    <t>18420 - Amort. cum. - Matér./mobil./inst.</t>
  </si>
  <si>
    <t>18410 - Mobilier de bureau &amp; matériel</t>
  </si>
  <si>
    <t>18320 - Amort. cum. Équip. photographie</t>
  </si>
  <si>
    <t>18310 - Équipement de photographie</t>
  </si>
  <si>
    <t>18220 - Amort cum. Équip. téléphonique</t>
  </si>
  <si>
    <t>18210 - Équipement Téléphonique</t>
  </si>
  <si>
    <t>18120 - Amort cum. Équip. informatique</t>
  </si>
  <si>
    <t>18110 - Équipements informatique</t>
  </si>
  <si>
    <t>18020 - Amort. cum. ameliorations locatives</t>
  </si>
  <si>
    <t>18010 - Ameliorations locatives</t>
  </si>
  <si>
    <t>18000 - FIXED ASSETS</t>
  </si>
  <si>
    <t>Total - 15000 - PREPAID EXPENSES</t>
  </si>
  <si>
    <t>15100 - Frais payés d'avance</t>
  </si>
  <si>
    <t>15050 - Dépôts CT</t>
  </si>
  <si>
    <t>15000 - PREPAID EXPENSES</t>
  </si>
  <si>
    <t>Total - 12000 - ACCOUNTS RECEIVABLE</t>
  </si>
  <si>
    <t>12200 - Comptes clients - intercos</t>
  </si>
  <si>
    <t>12000 - ACCOUNTS RECEIVABLE</t>
  </si>
  <si>
    <t>Total - 10000 - BANK</t>
  </si>
  <si>
    <t>10000 - BANK</t>
  </si>
  <si>
    <t>Account</t>
  </si>
  <si>
    <t/>
  </si>
  <si>
    <t>Trial Balance</t>
  </si>
  <si>
    <t>85500 - Échange devises réalisé</t>
  </si>
  <si>
    <t>Total - 85000 - FOREIGN EXCHANGE (GAINS) LOSSES</t>
  </si>
  <si>
    <t>85550 - Rounding Gain/Loss</t>
  </si>
  <si>
    <t>85000 - FOREIGN EXCHANGE (GAINS) LOSSES</t>
  </si>
  <si>
    <t>70110 - Frais d'abonnement et d'adhésion</t>
  </si>
  <si>
    <t>70010 - Recrutement</t>
  </si>
  <si>
    <t>69190 - Comité social</t>
  </si>
  <si>
    <t>69150 - Events &amp; Awards</t>
  </si>
  <si>
    <t>68170 - Épicerie</t>
  </si>
  <si>
    <t>68150 - Frais de livraison</t>
  </si>
  <si>
    <t>Total - 63000 - TRAVEL EXPENSES</t>
  </si>
  <si>
    <t>63010 - Frais de voyage et déplacement</t>
  </si>
  <si>
    <t>63000 - TRAVEL EXPENSES</t>
  </si>
  <si>
    <t>62300 - Consultant</t>
  </si>
  <si>
    <t>60300 - Assurance collective</t>
  </si>
  <si>
    <t>60250 - Régime de pension (RPDB)/ 401k</t>
  </si>
  <si>
    <t>53150 - Frais de voyage et déplacement Projets</t>
  </si>
  <si>
    <t>53100 - Repas Projets</t>
  </si>
  <si>
    <t>52100 - Sous-traitants compagnies</t>
  </si>
  <si>
    <t>Total - 43000 - UNEARNED REVENUE</t>
  </si>
  <si>
    <t>43100 - Variation TEC/RR</t>
  </si>
  <si>
    <t>43000 - UNEARNED REVENUE</t>
  </si>
  <si>
    <t>14100 - Travaux en cours</t>
  </si>
  <si>
    <t>12650 - Avance Salaire</t>
  </si>
  <si>
    <t>85660 - Unrealized Gain/Loss</t>
  </si>
  <si>
    <t>71031 - Frais de maintenance - Hardware</t>
  </si>
  <si>
    <t>18360 - Amort.cum.équip. Audio</t>
  </si>
  <si>
    <t>18350 - Équipement Audio</t>
  </si>
  <si>
    <t>Credit</t>
  </si>
  <si>
    <t>Debit</t>
  </si>
  <si>
    <t>85661 - Unrealized Matching Gain/Loss</t>
  </si>
  <si>
    <t>90010 - Impôts exigibles</t>
  </si>
  <si>
    <t>83150 - Intérêts sur prêts</t>
  </si>
  <si>
    <t>75030 - Subvention</t>
  </si>
  <si>
    <t>75010 - Credit R&amp;D</t>
  </si>
  <si>
    <t>71090 - Licenses</t>
  </si>
  <si>
    <t>71070 - Google Cloud</t>
  </si>
  <si>
    <t>71050 - Subscription</t>
  </si>
  <si>
    <t>71032 - Frais de maintenance - Software</t>
  </si>
  <si>
    <t>70050 - Service santé privé</t>
  </si>
  <si>
    <t>70030 - Formation</t>
  </si>
  <si>
    <t>70020 - Permis de travail</t>
  </si>
  <si>
    <t>69230 - Frais de représentations</t>
  </si>
  <si>
    <t>69212 - Cadeaux employés</t>
  </si>
  <si>
    <t>69211 - Cadeaux clients</t>
  </si>
  <si>
    <t>69130 - Dons</t>
  </si>
  <si>
    <t>69110 - Commandites (et bourses)</t>
  </si>
  <si>
    <t>69090 - Promo</t>
  </si>
  <si>
    <t>69070 - Website</t>
  </si>
  <si>
    <t>69050 - Demo</t>
  </si>
  <si>
    <t>69030 - Marketing et publicité</t>
  </si>
  <si>
    <t>69010 - Relations de presse</t>
  </si>
  <si>
    <t>68070 - Stationnement</t>
  </si>
  <si>
    <t>65200 - Assurances Autos</t>
  </si>
  <si>
    <t>65150 - Assurances Vie &amp; Invalidité</t>
  </si>
  <si>
    <t>63070 - Locations Autos</t>
  </si>
  <si>
    <t>63050 - Immatriculation</t>
  </si>
  <si>
    <t>63020 - Essence et entretien</t>
  </si>
  <si>
    <t>63011 - Frais de voyage - Airsprint</t>
  </si>
  <si>
    <t>62305 - Frais Animation</t>
  </si>
  <si>
    <t>60400 - Management fees</t>
  </si>
  <si>
    <t>60200 - Boni</t>
  </si>
  <si>
    <t>60105 - Overtime</t>
  </si>
  <si>
    <t>53250 - Droits d'utilisation Musique/Photo</t>
  </si>
  <si>
    <t>53215 - Location auto production</t>
  </si>
  <si>
    <t>53210 - Location d'équipement</t>
  </si>
  <si>
    <t>53205 - Location de studio</t>
  </si>
  <si>
    <t>52400 - Sous-traitants artistes</t>
  </si>
  <si>
    <t>52200 - Sous-traitants - intercos</t>
  </si>
  <si>
    <t>51505 - Assurance collective AQTIS et DGC</t>
  </si>
  <si>
    <t>51405 - REER AQTIS et DGC</t>
  </si>
  <si>
    <t>51205 - Charges sociales AQTIS et DGC</t>
  </si>
  <si>
    <t>51110 - Overtime COGS</t>
  </si>
  <si>
    <t>51105 - Salaires AQTIS et DGC</t>
  </si>
  <si>
    <t>44400 - Revenu d'intérêts</t>
  </si>
  <si>
    <t>44220 - Autres revenus</t>
  </si>
  <si>
    <t>42105 - Escomptes sur ventes</t>
  </si>
  <si>
    <t>31165 - BNR (nouveau Reorg)</t>
  </si>
  <si>
    <t>31163 - BNR de BLVD-MTL Inc.</t>
  </si>
  <si>
    <t>31162 - BNR de Rodeo Prod Inc.</t>
  </si>
  <si>
    <t>31161 - BNR de 12300893 Canada Inc</t>
  </si>
  <si>
    <t>31100 - Prime sur rachat d'actions</t>
  </si>
  <si>
    <t>29070 - Prêt sans intérêts - LT</t>
  </si>
  <si>
    <t>29065 - Prêt BDC - LT</t>
  </si>
  <si>
    <t>29050 - Credit Bail RBC - LT</t>
  </si>
  <si>
    <t>28100 - Impôts futurs - CT</t>
  </si>
  <si>
    <t>28020 - Impôt fédéral à payer</t>
  </si>
  <si>
    <t>28010 - Impôt provincial à payer</t>
  </si>
  <si>
    <t>26165 - Prêt BDC - CT</t>
  </si>
  <si>
    <t>26150 - Credit Bail RBC - CT</t>
  </si>
  <si>
    <t>25010 - Revenu reporté</t>
  </si>
  <si>
    <t>24300 - TVQ percue sur les ventes</t>
  </si>
  <si>
    <t>24200 - TPS perçue sur les ventes</t>
  </si>
  <si>
    <t>23080 - CNT à payer</t>
  </si>
  <si>
    <t>23079 - WSIB à payer</t>
  </si>
  <si>
    <t>23067 - REER et RPDB à payer</t>
  </si>
  <si>
    <t>23065 - Saisie à payer</t>
  </si>
  <si>
    <t>23060 - DAS à payer</t>
  </si>
  <si>
    <t>23050 - FSS à payer</t>
  </si>
  <si>
    <t>23030 - Banque d'heures à payer</t>
  </si>
  <si>
    <t>22160 - Note à payer</t>
  </si>
  <si>
    <t>21020 - Comptes fournisseurs - intercos</t>
  </si>
  <si>
    <t>17100 - Dépôts de garantie LT</t>
  </si>
  <si>
    <t>17047 - Placement - 9446-2546 Quebec Inc</t>
  </si>
  <si>
    <t>17041 - Placement - Alchemy 24</t>
  </si>
  <si>
    <t>19320 - Amort.cum. Contenu cinématographique et télévisuel</t>
  </si>
  <si>
    <t>19315 - Contenu cinématographique et télévisuel</t>
  </si>
  <si>
    <t>19310 - Marque de commerce</t>
  </si>
  <si>
    <t>19220 - Amortissement cumulé site internet</t>
  </si>
  <si>
    <t>19210 - Site internet</t>
  </si>
  <si>
    <t>19130 - Amort.cum. Licences - credit-bail</t>
  </si>
  <si>
    <t>19125 - Licences - credit-bail</t>
  </si>
  <si>
    <t>19020 - Amort. cum. Logiciels info.</t>
  </si>
  <si>
    <t>19010 - Logiciels informatique</t>
  </si>
  <si>
    <t>18625 - Equipement Financé sans intérêts</t>
  </si>
  <si>
    <t>18620 - Amortissement cumulé - Oeuvre d'art</t>
  </si>
  <si>
    <t>18610 - Oeuvre d'art</t>
  </si>
  <si>
    <t>18540 - Amort.cumulé Avion</t>
  </si>
  <si>
    <t>18530 - Avion</t>
  </si>
  <si>
    <t>18520 - Amortissement cumulé - Véhicule</t>
  </si>
  <si>
    <t>18510 - Véhicule</t>
  </si>
  <si>
    <t>18450 - Amort.cum mobilier credit bail</t>
  </si>
  <si>
    <t>18440 - Mobilier de bureau - credit bail</t>
  </si>
  <si>
    <t>18340 - Amort.cum.Équip. Caméra</t>
  </si>
  <si>
    <t>18330 - Equipement Caméra</t>
  </si>
  <si>
    <t>18151 - Amort- cum Equip infor.credit bail#201000072412</t>
  </si>
  <si>
    <t>18150 - Amort- cum Equip infor.credit bail</t>
  </si>
  <si>
    <t>18141 - Equip.informatique - credit bail#201000072412</t>
  </si>
  <si>
    <t>18140 - Equip. informatique - credit bail</t>
  </si>
  <si>
    <t>18125 - Amort.cum.credit impot C3I equip.inf.</t>
  </si>
  <si>
    <t>18115 - Credit d'impot C3I - equipement informatique</t>
  </si>
  <si>
    <t>18040 - Amort.cum.améliloration locative - crédit bail</t>
  </si>
  <si>
    <t>18030 - Amélioration locative - crédit bail</t>
  </si>
  <si>
    <t>15650 - Provision - crédit impôt Production</t>
  </si>
  <si>
    <t>15600 - Provision - Crédit d'impôts de R&amp;D</t>
  </si>
  <si>
    <t>13250 - TVQ payée sur les achats</t>
  </si>
  <si>
    <t>13200 - TPS payée sur les achats</t>
  </si>
  <si>
    <t>12695 - Prêt CT</t>
  </si>
  <si>
    <t>12660 - Downpayment</t>
  </si>
  <si>
    <t>12550 - Autres Comptes à Recevoir</t>
  </si>
  <si>
    <t>12100 - Comptes clients</t>
  </si>
  <si>
    <t>10221 - Compte courant RBC - 1174085 - BLVD-MTL Inc (CAD)</t>
  </si>
  <si>
    <t>Average</t>
  </si>
  <si>
    <t>Daily exchange rates: Lookup tool - Bank of Canada</t>
  </si>
  <si>
    <t>YE rate</t>
  </si>
  <si>
    <t>End of Dec 2024</t>
  </si>
  <si>
    <t> </t>
  </si>
  <si>
    <t>Net Income</t>
  </si>
  <si>
    <t>Net Other Income</t>
  </si>
  <si>
    <t>Total - Other Expense</t>
  </si>
  <si>
    <t>85600 - Dépense exceptionnelle</t>
  </si>
  <si>
    <t>85551 - Rounding gain/loss (France - revenus)</t>
  </si>
  <si>
    <t>85400 - Échange devises non-réalisé</t>
  </si>
  <si>
    <t>85200 - Gain/perte de change sur intercos</t>
  </si>
  <si>
    <t>85050 - Clearing interco</t>
  </si>
  <si>
    <t>Other Expense</t>
  </si>
  <si>
    <t>Total - Other Income</t>
  </si>
  <si>
    <t>Total - 86000 - OTHER INCOME</t>
  </si>
  <si>
    <t>86010 - Revenus de dividendes</t>
  </si>
  <si>
    <t>86000 - OTHER INCOME</t>
  </si>
  <si>
    <t>Other Income</t>
  </si>
  <si>
    <t>Other Income and Expenses</t>
  </si>
  <si>
    <t>Net Ordinary Income</t>
  </si>
  <si>
    <t>Total - Expense</t>
  </si>
  <si>
    <t>Total - 75000 - TAX CREDITS AND SUBSIDIES</t>
  </si>
  <si>
    <t>75000 - TAX CREDITS AND SUBSIDIES</t>
  </si>
  <si>
    <t>71030 - Frais de maintenance</t>
  </si>
  <si>
    <t>68135 - Taxes foncières/bureau (France)</t>
  </si>
  <si>
    <t>60157 - Cotisations autres organismes Admin (France)</t>
  </si>
  <si>
    <t>60156 - Cotisations Pôle Emploi Admin (France)</t>
  </si>
  <si>
    <t>60155 - Cotisations aux caisses de retraite Admin (France)</t>
  </si>
  <si>
    <t>60154 - Cotisations aux mutuelles Admin (France)</t>
  </si>
  <si>
    <t>60153 - Formation continue (Organisme) Admin (France)</t>
  </si>
  <si>
    <t>60152 - Taxe d'apprentissage Admin (France)</t>
  </si>
  <si>
    <t>60151 - Cotisations à l'URSSAF Admin (France)</t>
  </si>
  <si>
    <t>60101 - Indemnités et avantages divers Admin (France)</t>
  </si>
  <si>
    <t>Expense</t>
  </si>
  <si>
    <t>Gross Profit</t>
  </si>
  <si>
    <t>Total - Cost Of Sales</t>
  </si>
  <si>
    <t>53500 - Credits d'impôts effets visuels</t>
  </si>
  <si>
    <t>Total - 52000 - SUBCONTRACTORS</t>
  </si>
  <si>
    <t>52000 - SUBCONTRACTORS</t>
  </si>
  <si>
    <t>51212 - Cotisations autres organismes COGS (France)</t>
  </si>
  <si>
    <t>51211 - Cotisations Pôle Emploi COGS (France)</t>
  </si>
  <si>
    <t>51210 - Cotisations aux caisses de retraite COGS (France)</t>
  </si>
  <si>
    <t>51209 - Cotisations aux mutuelles COGS (France)</t>
  </si>
  <si>
    <t>51208 - Formation continue (Organisme) COGS (France)</t>
  </si>
  <si>
    <t>51207 - Taxe d'apprentissage COGS (France)</t>
  </si>
  <si>
    <t>51206 - Cotisations à l'URSSAF COGS (France)</t>
  </si>
  <si>
    <t>51101 - Indemnités et avantages divers COGS (France)</t>
  </si>
  <si>
    <t>Cost Of Sales</t>
  </si>
  <si>
    <t>Total - Income</t>
  </si>
  <si>
    <t>Total - 44000 - OTHER REVENUE</t>
  </si>
  <si>
    <t>44000 - OTHER REVENUE</t>
  </si>
  <si>
    <t>42110 - Prestations de services - Europe</t>
  </si>
  <si>
    <t>Income</t>
  </si>
  <si>
    <t>Ordinary Income/Expense</t>
  </si>
  <si>
    <t>xElimination2</t>
  </si>
  <si>
    <t>Alchemy 24 Inc.</t>
  </si>
  <si>
    <t>9446-2546 Québec Inc (Canary - SON)</t>
  </si>
  <si>
    <t>Financial Row</t>
  </si>
  <si>
    <t>From Jan 2024 to Dec 2024</t>
  </si>
  <si>
    <t>Profit and Loss</t>
  </si>
  <si>
    <t>Total Liabilities &amp; Equity</t>
  </si>
  <si>
    <t>Total Equity</t>
  </si>
  <si>
    <t>Retained Earnings</t>
  </si>
  <si>
    <t>Total - Equity</t>
  </si>
  <si>
    <t>31155 - Ajustement au titre d'opérations entre apparentés</t>
  </si>
  <si>
    <t>30300 - Actions ordinaires Cat A</t>
  </si>
  <si>
    <t>30226 - Actions categorie G</t>
  </si>
  <si>
    <t>Equity</t>
  </si>
  <si>
    <t>Total Long Term Liabilities</t>
  </si>
  <si>
    <t>Total - 29000 - LONG-TERM DEBT PAYABLE</t>
  </si>
  <si>
    <t>29085 - Note à payer - LT</t>
  </si>
  <si>
    <t>29000 - LONG-TERM DEBT PAYABLE</t>
  </si>
  <si>
    <t>Long Term Liabilities</t>
  </si>
  <si>
    <t>Total Current Liabilities</t>
  </si>
  <si>
    <t>Total Other Current Liability</t>
  </si>
  <si>
    <t>Total - 26000 - SHORT-TERM DEBT PAYABLE</t>
  </si>
  <si>
    <t>26000 - SHORT-TERM DEBT PAYABLE</t>
  </si>
  <si>
    <t>Total - 25000 - UNEARNED INCOME</t>
  </si>
  <si>
    <t>25000 - UNEARNED INCOME</t>
  </si>
  <si>
    <t>Total - 24000 - SALES TAXES ON SALES</t>
  </si>
  <si>
    <t>24000 - SALES TAXES ON SALES</t>
  </si>
  <si>
    <t>22150 - Compte de dépenses à payer</t>
  </si>
  <si>
    <t>Other Current Liability</t>
  </si>
  <si>
    <t>Total Credit Card</t>
  </si>
  <si>
    <t>Total - 22400 - CREDIT CARDS PAYABLE</t>
  </si>
  <si>
    <t>22400 - CREDIT CARDS PAYABLE</t>
  </si>
  <si>
    <t>Credit Card</t>
  </si>
  <si>
    <t>Total Accounts Payable</t>
  </si>
  <si>
    <t>Accounts Payable</t>
  </si>
  <si>
    <t>Current Liabilities</t>
  </si>
  <si>
    <t>Liabilities &amp; Equity</t>
  </si>
  <si>
    <t>Total ASSETS</t>
  </si>
  <si>
    <t>Total Other Assets</t>
  </si>
  <si>
    <t>Total - 17000 - INVESTMENTS</t>
  </si>
  <si>
    <t>17000 - INVESTMENTS</t>
  </si>
  <si>
    <t>Other Assets</t>
  </si>
  <si>
    <t>Total Fixed Assets</t>
  </si>
  <si>
    <t>Fixed Assets</t>
  </si>
  <si>
    <t>Total Current Assets</t>
  </si>
  <si>
    <t>Total Other Current Asset</t>
  </si>
  <si>
    <t>Total - 16000 - ADVANCE RECEIVABLE</t>
  </si>
  <si>
    <t>16066 - Billet à ordre à 9446-2546 Quebec Inc</t>
  </si>
  <si>
    <t>16000 - ADVANCE RECEIVABLE</t>
  </si>
  <si>
    <t>Total - 15500 - TAX CREDIT RECEIVABLE</t>
  </si>
  <si>
    <t>15500 - TAX CREDIT RECEIVABLE</t>
  </si>
  <si>
    <t>Total - 13000 - SALES TAXES ON PURCHASE</t>
  </si>
  <si>
    <t>13000 - SALES TAXES ON PURCHASE</t>
  </si>
  <si>
    <t>Total - 12500 - OTHER RECEIVABLES</t>
  </si>
  <si>
    <t>12600 - Avance à recevoir - actionnaire</t>
  </si>
  <si>
    <t>12500 - OTHER RECEIVABLES</t>
  </si>
  <si>
    <t>Other Current Asset</t>
  </si>
  <si>
    <t>Total Unbilled Receivable</t>
  </si>
  <si>
    <t>Total - 14000 - UNBILLED RECEIVABLE</t>
  </si>
  <si>
    <t>14000 - UNBILLED RECEIVABLE</t>
  </si>
  <si>
    <t>Unbilled Receivable</t>
  </si>
  <si>
    <t>Total Accounts Receivable</t>
  </si>
  <si>
    <t>Accounts Receivable</t>
  </si>
  <si>
    <t>Total Bank</t>
  </si>
  <si>
    <t>Bank</t>
  </si>
  <si>
    <t>Current Assets</t>
  </si>
  <si>
    <t>ASSETS</t>
  </si>
  <si>
    <t>Balance Sheet</t>
  </si>
  <si>
    <t>Client A</t>
  </si>
  <si>
    <t>Rodeo Imagination Inc. : Groupe Client A Inc : Client A Inc. (Consolidated)</t>
  </si>
  <si>
    <t>Groupe Client A Inc</t>
  </si>
  <si>
    <t>Client A Inc.</t>
  </si>
  <si>
    <t>Client A Corp.</t>
  </si>
  <si>
    <t>Client A GmbH</t>
  </si>
  <si>
    <t>Client A UK Inc.</t>
  </si>
  <si>
    <t>Client A SAS</t>
  </si>
  <si>
    <t>16085 - Avance à Client A Originals Inc.</t>
  </si>
  <si>
    <t>Rodeo Imagination Inc. : Groupe Client A Inc : Client A Inc.</t>
  </si>
  <si>
    <t>10010 - Petite caisse - Client A Inc</t>
  </si>
  <si>
    <t>10100 - Compte courant RBC - 1012129 - Client A Inc (CAD)</t>
  </si>
  <si>
    <t>10140 - Compte courant RBC - 4045779 - Client A Inc (USD)</t>
  </si>
  <si>
    <t>16020 - Avance à Client A Corp. (US)</t>
  </si>
  <si>
    <t>16050 - Avance à Client A GmbH</t>
  </si>
  <si>
    <t>16070 - Avance à Client A UK Inc.</t>
  </si>
  <si>
    <t>16075 - Avance à Client A SAS (France)</t>
  </si>
  <si>
    <t>17042 - Placement - Client A Corp</t>
  </si>
  <si>
    <t>17043 - Placement - Client A Gmbh</t>
  </si>
  <si>
    <t>17048 - Placement - Client A SAS</t>
  </si>
  <si>
    <t>22410 - Carte de crédit à payer - Client A Inc (CAD)</t>
  </si>
  <si>
    <t>Rodeo Imagination Inc. : Groupe Client A Inc : Client A Inc. : Client A Corp.</t>
  </si>
  <si>
    <t>10011 - Petite caisse - Client A Corp.</t>
  </si>
  <si>
    <t>10310 - Compte courant CNB - 127881391 - Client A Corp (USD)</t>
  </si>
  <si>
    <t>Client A Imagination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</si>
</sst>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9" formatCode="0_)"/>
    <numFmt numFmtId="175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sz val="12"/>
      <name val="Arial MT"/>
    </font>
    <font>
      <sz val="11"/>
      <name val="Arial"/>
      <family val="1"/>
    </font>
    <font>
      <sz val="10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</fills>
  <borders count="4">
    <border>
      <left/>
      <right/>
      <top/>
      <bottom/>
      <diagonal/>
    </border>
    <border>
      <left/>
      <right/>
      <top style="dashed">
        <color rgb="FFCCCCCC"/>
      </top>
      <bottom/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38">
    <xf numFmtId="0" fontId="0" fillId="0" borderId="0"/>
    <xf numFmtId="0" fontId="2" fillId="0" borderId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44" fontId="1" fillId="0" borderId="0" applyFont="0" applyFill="0" applyBorder="0" applyAlignment="0" applyProtection="0"/>
    <xf numFmtId="169" fontId="10" fillId="0" borderId="0"/>
    <xf numFmtId="167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11" fillId="0" borderId="0"/>
    <xf numFmtId="0" fontId="3" fillId="0" borderId="0"/>
    <xf numFmtId="0" fontId="12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167" fontId="2" fillId="0" borderId="0" applyFont="0" applyFill="0" applyBorder="0" applyAlignment="0" applyProtection="0"/>
    <xf numFmtId="0" fontId="19" fillId="0" borderId="0"/>
  </cellStyleXfs>
  <cellXfs count="43">
    <xf numFmtId="0" fontId="0" fillId="0" borderId="0" xfId="0"/>
    <xf numFmtId="0" fontId="6" fillId="0" borderId="0" xfId="15"/>
    <xf numFmtId="0" fontId="7" fillId="0" borderId="0" xfId="15" applyFont="1" applyAlignment="1">
      <alignment horizontal="left" indent="2"/>
    </xf>
    <xf numFmtId="0" fontId="7" fillId="0" borderId="0" xfId="15" applyFont="1" applyAlignment="1">
      <alignment horizontal="left" indent="3"/>
    </xf>
    <xf numFmtId="0" fontId="8" fillId="3" borderId="0" xfId="15" applyFont="1" applyFill="1" applyAlignment="1">
      <alignment horizontal="right"/>
    </xf>
    <xf numFmtId="0" fontId="8" fillId="3" borderId="0" xfId="15" applyFont="1" applyFill="1" applyAlignment="1">
      <alignment horizontal="left"/>
    </xf>
    <xf numFmtId="175" fontId="7" fillId="0" borderId="0" xfId="15" applyNumberFormat="1" applyFont="1" applyAlignment="1">
      <alignment horizontal="right" vertical="center"/>
    </xf>
    <xf numFmtId="0" fontId="5" fillId="0" borderId="0" xfId="11" applyAlignment="1" applyProtection="1"/>
    <xf numFmtId="0" fontId="13" fillId="0" borderId="0" xfId="35"/>
    <xf numFmtId="164" fontId="14" fillId="0" borderId="1" xfId="35" applyNumberFormat="1" applyFont="1" applyBorder="1" applyAlignment="1">
      <alignment horizontal="right" vertical="center"/>
    </xf>
    <xf numFmtId="0" fontId="14" fillId="0" borderId="1" xfId="35" applyFont="1" applyBorder="1" applyAlignment="1">
      <alignment horizontal="left" vertical="center"/>
    </xf>
    <xf numFmtId="164" fontId="15" fillId="0" borderId="0" xfId="35" applyNumberFormat="1" applyFont="1" applyAlignment="1">
      <alignment horizontal="right" vertical="center"/>
    </xf>
    <xf numFmtId="0" fontId="15" fillId="0" borderId="0" xfId="35" applyFont="1" applyAlignment="1">
      <alignment horizontal="left" vertical="center"/>
    </xf>
    <xf numFmtId="0" fontId="14" fillId="0" borderId="1" xfId="35" applyFont="1" applyBorder="1" applyAlignment="1">
      <alignment horizontal="left" indent="1"/>
    </xf>
    <xf numFmtId="0" fontId="15" fillId="0" borderId="0" xfId="35" applyFont="1" applyAlignment="1">
      <alignment horizontal="left" indent="2"/>
    </xf>
    <xf numFmtId="0" fontId="14" fillId="0" borderId="0" xfId="35" applyFont="1" applyAlignment="1">
      <alignment horizontal="left" indent="1"/>
    </xf>
    <xf numFmtId="0" fontId="14" fillId="0" borderId="0" xfId="35" applyFont="1" applyAlignment="1">
      <alignment horizontal="left" vertical="center"/>
    </xf>
    <xf numFmtId="0" fontId="15" fillId="0" borderId="0" xfId="35" applyFont="1" applyAlignment="1">
      <alignment horizontal="left" indent="1"/>
    </xf>
    <xf numFmtId="0" fontId="14" fillId="0" borderId="1" xfId="35" applyFont="1" applyBorder="1" applyAlignment="1">
      <alignment horizontal="left" indent="2"/>
    </xf>
    <xf numFmtId="0" fontId="15" fillId="0" borderId="0" xfId="35" applyFont="1" applyAlignment="1">
      <alignment horizontal="left" indent="3"/>
    </xf>
    <xf numFmtId="0" fontId="14" fillId="0" borderId="0" xfId="35" applyFont="1" applyAlignment="1">
      <alignment horizontal="left" indent="2"/>
    </xf>
    <xf numFmtId="0" fontId="16" fillId="3" borderId="0" xfId="35" applyFont="1" applyFill="1" applyAlignment="1">
      <alignment horizontal="right"/>
    </xf>
    <xf numFmtId="0" fontId="16" fillId="3" borderId="0" xfId="35" applyFont="1" applyFill="1" applyAlignment="1">
      <alignment horizontal="left"/>
    </xf>
    <xf numFmtId="175" fontId="14" fillId="0" borderId="2" xfId="15" applyNumberFormat="1" applyFont="1" applyBorder="1" applyAlignment="1">
      <alignment horizontal="right" vertical="center"/>
    </xf>
    <xf numFmtId="0" fontId="14" fillId="0" borderId="2" xfId="15" applyFont="1" applyBorder="1" applyAlignment="1">
      <alignment horizontal="left" vertical="center"/>
    </xf>
    <xf numFmtId="175" fontId="14" fillId="0" borderId="3" xfId="15" applyNumberFormat="1" applyFont="1" applyBorder="1" applyAlignment="1">
      <alignment horizontal="right" vertical="center"/>
    </xf>
    <xf numFmtId="0" fontId="14" fillId="0" borderId="3" xfId="15" applyFont="1" applyBorder="1" applyAlignment="1">
      <alignment horizontal="left" indent="1"/>
    </xf>
    <xf numFmtId="0" fontId="14" fillId="0" borderId="3" xfId="15" applyFont="1" applyBorder="1" applyAlignment="1">
      <alignment horizontal="left" indent="2"/>
    </xf>
    <xf numFmtId="0" fontId="14" fillId="0" borderId="3" xfId="15" applyFont="1" applyBorder="1" applyAlignment="1">
      <alignment horizontal="left" indent="3"/>
    </xf>
    <xf numFmtId="0" fontId="7" fillId="0" borderId="0" xfId="15" applyFont="1" applyAlignment="1">
      <alignment horizontal="left" indent="4"/>
    </xf>
    <xf numFmtId="175" fontId="14" fillId="0" borderId="0" xfId="15" applyNumberFormat="1" applyFont="1" applyAlignment="1">
      <alignment horizontal="right" vertical="center"/>
    </xf>
    <xf numFmtId="0" fontId="14" fillId="0" borderId="0" xfId="15" applyFont="1" applyAlignment="1">
      <alignment horizontal="left" indent="3"/>
    </xf>
    <xf numFmtId="0" fontId="14" fillId="0" borderId="0" xfId="15" applyFont="1" applyAlignment="1">
      <alignment horizontal="left" indent="2"/>
    </xf>
    <xf numFmtId="0" fontId="14" fillId="0" borderId="0" xfId="15" applyFont="1" applyAlignment="1">
      <alignment horizontal="left" indent="1"/>
    </xf>
    <xf numFmtId="0" fontId="14" fillId="0" borderId="0" xfId="15" applyFont="1" applyAlignment="1">
      <alignment horizontal="left" vertical="center"/>
    </xf>
    <xf numFmtId="0" fontId="14" fillId="0" borderId="2" xfId="15" applyFont="1" applyBorder="1" applyAlignment="1">
      <alignment horizontal="left" indent="1"/>
    </xf>
    <xf numFmtId="175" fontId="6" fillId="0" borderId="0" xfId="15" applyNumberFormat="1"/>
    <xf numFmtId="0" fontId="8" fillId="2" borderId="0" xfId="15" applyFont="1" applyFill="1" applyAlignment="1">
      <alignment horizontal="right"/>
    </xf>
    <xf numFmtId="0" fontId="17" fillId="0" borderId="0" xfId="35" applyFont="1" applyAlignment="1">
      <alignment horizontal="center"/>
    </xf>
    <xf numFmtId="0" fontId="18" fillId="0" borderId="0" xfId="35" applyFont="1" applyAlignment="1">
      <alignment horizontal="center"/>
    </xf>
    <xf numFmtId="0" fontId="9" fillId="0" borderId="0" xfId="15" applyFont="1" applyAlignment="1">
      <alignment horizontal="center"/>
    </xf>
    <xf numFmtId="0" fontId="4" fillId="0" borderId="0" xfId="15" applyFont="1" applyAlignment="1">
      <alignment horizontal="center"/>
    </xf>
    <xf numFmtId="0" fontId="8" fillId="3" borderId="0" xfId="15" applyFont="1" applyFill="1" applyAlignment="1">
      <alignment horizontal="center"/>
    </xf>
  </cellXfs>
  <cellStyles count="38">
    <cellStyle name="Comma 2" xfId="20" xr:uid="{BA7D73E9-E227-47CA-8C5A-A9C4620D10DA}"/>
    <cellStyle name="Comma 2 3" xfId="2" xr:uid="{39431D2E-2950-49FB-8B82-88F229C51052}"/>
    <cellStyle name="Comma 2 4" xfId="36" xr:uid="{66F58647-FF92-4327-B723-7E28252B51F8}"/>
    <cellStyle name="Comma 3" xfId="3" xr:uid="{F76EAC4C-3797-4E85-9B9B-0938CD3B1E7D}"/>
    <cellStyle name="Comma 4" xfId="4" xr:uid="{1A4EBD6A-3ECD-4584-8043-11E03BA9F397}"/>
    <cellStyle name="Comma 5" xfId="22" xr:uid="{79B93320-C86E-4F14-9443-C7FA10826725}"/>
    <cellStyle name="Currency 2" xfId="7" xr:uid="{FA61097F-DD9C-4E08-8E19-4BF026A8012C}"/>
    <cellStyle name="Currency 3" xfId="17" xr:uid="{C45E80E2-92E5-4941-8DE0-666517C16E3D}"/>
    <cellStyle name="Lien hypertexte" xfId="11" builtinId="8"/>
    <cellStyle name="Milliers [0] 2" xfId="30" xr:uid="{FE6C365E-7647-47F2-8E97-47C2D5A6B644}"/>
    <cellStyle name="Milliers [0] 2 2" xfId="32" xr:uid="{99675BC3-0AA2-40C3-AAC8-9175C86DD587}"/>
    <cellStyle name="Milliers 2" xfId="19" xr:uid="{18321CEB-1C8F-4373-BE93-4C3EA4FEA12F}"/>
    <cellStyle name="Milliers 2 2" xfId="34" xr:uid="{1D66BE64-EB48-48C3-8A2A-07D94016E959}"/>
    <cellStyle name="Milliers 3" xfId="8" xr:uid="{926C47A8-A184-4A01-A012-C4E49F03327D}"/>
    <cellStyle name="Milliers 3 2" xfId="33" xr:uid="{422B1C54-DAAB-442A-8547-FD826A310A9F}"/>
    <cellStyle name="Milliers 3 2 2" xfId="21" xr:uid="{D4491060-94F7-4322-BFE5-B999DABB1177}"/>
    <cellStyle name="Milliers 3 3" xfId="24" xr:uid="{C3ADEA8D-4BC2-46B5-A22D-5C369C27F854}"/>
    <cellStyle name="Monétaire 2" xfId="6" xr:uid="{75B36859-9650-4B8B-8A4C-275D53AB9E69}"/>
    <cellStyle name="Monétaire 2 3" xfId="10" xr:uid="{6F3BB1B8-12D4-47A4-9187-21BAFEA619C7}"/>
    <cellStyle name="Normal" xfId="0" builtinId="0"/>
    <cellStyle name="Normal 17" xfId="31" xr:uid="{622C6B20-15CA-4A80-9B80-FEBF24715F6A}"/>
    <cellStyle name="Normal 2" xfId="5" xr:uid="{85FECF36-5849-43C3-AEAA-7B0D597D40BE}"/>
    <cellStyle name="Normal 2 2" xfId="18" xr:uid="{853D0EDE-20CD-4B9C-A80C-FE5D1F10B237}"/>
    <cellStyle name="Normal 2 5" xfId="9" xr:uid="{17E6E813-1681-4F63-A416-B5FFCED63000}"/>
    <cellStyle name="Normal 22" xfId="23" xr:uid="{E0C7A04B-133E-4B4D-B143-BAA87587DAB3}"/>
    <cellStyle name="Normal 23" xfId="14" xr:uid="{95C0C5FB-C0FC-43CE-9288-3351F97243A0}"/>
    <cellStyle name="Normal 24" xfId="12" xr:uid="{A362BC85-735B-4378-8616-665864E88F33}"/>
    <cellStyle name="Normal 24 2" xfId="28" xr:uid="{8986F3B1-A67A-4B08-82EB-9232F6B605EC}"/>
    <cellStyle name="Normal 25" xfId="29" xr:uid="{1D904D9A-3358-4A7D-9AE1-34C9A529A404}"/>
    <cellStyle name="Normal 3" xfId="15" xr:uid="{C49A16F3-FAA1-41D3-8664-10EEFBAAF497}"/>
    <cellStyle name="Normal 3 2" xfId="1" xr:uid="{94354665-0766-467A-9344-7CE16CBFB302}"/>
    <cellStyle name="Normal 3 3" xfId="16" xr:uid="{A70F14E8-CF93-422E-90E4-AA12CD63CF7C}"/>
    <cellStyle name="Normal 3 6" xfId="13" xr:uid="{7F9625B9-2877-44AE-8BB1-DDA92928AF47}"/>
    <cellStyle name="Normal 4" xfId="25" xr:uid="{87C79252-40E4-4316-9FB5-DD9C6EDD95B4}"/>
    <cellStyle name="Normal 5" xfId="27" xr:uid="{A0722815-6FD6-43B0-9C6F-14F1BC13F1DC}"/>
    <cellStyle name="Normal 6" xfId="35" xr:uid="{C468B8F9-1C10-4486-8C6A-83552E98A125}"/>
    <cellStyle name="Normal 7" xfId="26" xr:uid="{0E090F07-ED20-40CE-BEB6-8C64340D3275}"/>
    <cellStyle name="Normal 8" xfId="37" xr:uid="{B962062C-BCFE-447D-B9B3-69800C9E3E72}"/>
  </cellStyles>
  <dxfs count="0"/>
  <tableStyles count="0" defaultTableStyle="TableStyleMedium2" defaultPivotStyle="PivotStyleLight16"/>
  <colors>
    <mruColors>
      <color rgb="FFB48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152400</xdr:rowOff>
    </xdr:from>
    <xdr:to>
      <xdr:col>13</xdr:col>
      <xdr:colOff>494283</xdr:colOff>
      <xdr:row>13</xdr:row>
      <xdr:rowOff>79136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EC2B2-301F-FD6E-5736-76EFEB572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14350"/>
          <a:ext cx="8133333" cy="191746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16</xdr:row>
      <xdr:rowOff>161925</xdr:rowOff>
    </xdr:from>
    <xdr:to>
      <xdr:col>12</xdr:col>
      <xdr:colOff>532499</xdr:colOff>
      <xdr:row>27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464AD3-C1A3-07D1-2707-76096212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3209925"/>
          <a:ext cx="7209524" cy="1962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ance-Admin\Accounting\1%20Monthly%20Closing\2019\2019-12\Financial%20Statements\BH%20Inc.%202019-12-31%20ConsolidationSpreadsheet%20(v4)%20-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tlfsr01\Specialty%20Tax\Program%20Files\2007Templates\Tax%20Organizer\Organizer11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tlfsr01\SPECIALTY%20TAX\Documents%20and%20Settings\angelas\Desktop\U.S.%20Corporate%20Tax%20Information%20Request-PW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_lachute\data\Fin%20mois\2000\mois%2012\finances\Grouping%20Lachute%20glgl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tlfsr01\Specialty%20Tax\DOCUME~1\TIFFAN~1\LOCALS~1\Temp\XPgrpwise\TaxOrganizer%2011-13-2009%2016-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tlfsr01\Specialty%20tax\Program%20Files%20(x86)\KPMG\KPMG%20eWorkPapers\Templates\1120\2016\Main_1120_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"/>
      <sheetName val="Procedures_ validation"/>
      <sheetName val="ReportingBS"/>
      <sheetName val="ReportingPL"/>
      <sheetName val="ConsoBalanceSheet"/>
      <sheetName val="ConsoP&amp;L"/>
      <sheetName val="ConsoCashflow"/>
      <sheetName val="Inf for Notes to FS"/>
      <sheetName val="AdminReclass"/>
      <sheetName val="Conso JE"/>
      <sheetName val="P&amp;L Budget 2019"/>
      <sheetName val="P&amp;L 2018"/>
    </sheetNames>
    <sheetDataSet>
      <sheetData sheetId="0"/>
      <sheetData sheetId="1">
        <row r="4">
          <cell r="D4">
            <v>43830</v>
          </cell>
        </row>
        <row r="5">
          <cell r="D5">
            <v>1000</v>
          </cell>
        </row>
        <row r="16">
          <cell r="C16">
            <v>43496</v>
          </cell>
        </row>
        <row r="17">
          <cell r="C17">
            <v>43524</v>
          </cell>
          <cell r="D17">
            <v>43496</v>
          </cell>
        </row>
        <row r="18">
          <cell r="C18">
            <v>43555</v>
          </cell>
          <cell r="D18">
            <v>43524</v>
          </cell>
        </row>
        <row r="19">
          <cell r="C19">
            <v>43585</v>
          </cell>
          <cell r="D19">
            <v>43555</v>
          </cell>
        </row>
        <row r="20">
          <cell r="C20">
            <v>43616</v>
          </cell>
          <cell r="D20">
            <v>43585</v>
          </cell>
        </row>
        <row r="21">
          <cell r="C21">
            <v>43646</v>
          </cell>
          <cell r="D21">
            <v>43616</v>
          </cell>
        </row>
        <row r="22">
          <cell r="C22">
            <v>43677</v>
          </cell>
          <cell r="D22">
            <v>43646</v>
          </cell>
        </row>
        <row r="23">
          <cell r="C23">
            <v>43708</v>
          </cell>
          <cell r="D23">
            <v>43677</v>
          </cell>
        </row>
        <row r="24">
          <cell r="C24">
            <v>43738</v>
          </cell>
          <cell r="D24">
            <v>43708</v>
          </cell>
        </row>
        <row r="25">
          <cell r="C25">
            <v>43769</v>
          </cell>
          <cell r="D25">
            <v>43738</v>
          </cell>
        </row>
        <row r="26">
          <cell r="C26">
            <v>43799</v>
          </cell>
          <cell r="D26">
            <v>43769</v>
          </cell>
        </row>
        <row r="27">
          <cell r="C27">
            <v>43830</v>
          </cell>
          <cell r="D27">
            <v>43799</v>
          </cell>
        </row>
        <row r="39">
          <cell r="L39">
            <v>12</v>
          </cell>
        </row>
      </sheetData>
      <sheetData sheetId="2">
        <row r="3">
          <cell r="A3">
            <v>43830</v>
          </cell>
        </row>
      </sheetData>
      <sheetData sheetId="3">
        <row r="3">
          <cell r="O3">
            <v>43830</v>
          </cell>
        </row>
        <row r="5">
          <cell r="Y5" t="str">
            <v>Jan YTD</v>
          </cell>
          <cell r="Z5" t="str">
            <v>Fev YTD</v>
          </cell>
          <cell r="AA5" t="str">
            <v>Mar YTD</v>
          </cell>
          <cell r="AB5" t="str">
            <v>Apr YTD</v>
          </cell>
          <cell r="AC5" t="str">
            <v>May YTD</v>
          </cell>
          <cell r="AD5" t="str">
            <v>Jun YTD</v>
          </cell>
          <cell r="AE5" t="str">
            <v>Jul YTD</v>
          </cell>
          <cell r="AF5" t="str">
            <v>Aug YTD</v>
          </cell>
          <cell r="AG5" t="str">
            <v>Sept YTD</v>
          </cell>
          <cell r="AH5" t="str">
            <v>Oct YTD</v>
          </cell>
          <cell r="AI5" t="str">
            <v>Nov YTD</v>
          </cell>
          <cell r="AJ5" t="str">
            <v>Dec YTD</v>
          </cell>
        </row>
        <row r="6">
          <cell r="Y6" t="str">
            <v>ACTUAL</v>
          </cell>
          <cell r="Z6" t="str">
            <v>ACTUAL</v>
          </cell>
          <cell r="AA6" t="str">
            <v>ACTUAL</v>
          </cell>
          <cell r="AB6" t="str">
            <v>ACTUAL</v>
          </cell>
          <cell r="AC6" t="str">
            <v>ACTUAL</v>
          </cell>
          <cell r="AD6" t="str">
            <v>ACTUAL</v>
          </cell>
          <cell r="AE6" t="str">
            <v>ACTUAL</v>
          </cell>
          <cell r="AF6" t="str">
            <v>ACTUAL</v>
          </cell>
          <cell r="AG6" t="str">
            <v>ACTUAL</v>
          </cell>
          <cell r="AH6" t="str">
            <v>ACTUAL</v>
          </cell>
          <cell r="AI6" t="str">
            <v>ACTUAL</v>
          </cell>
          <cell r="AJ6" t="str">
            <v>ACTUAL</v>
          </cell>
        </row>
        <row r="9">
          <cell r="X9" t="str">
            <v>Revenue - VIVIMIND Agreements (license of rights)</v>
          </cell>
          <cell r="Z9">
            <v>4</v>
          </cell>
          <cell r="AA9">
            <v>6</v>
          </cell>
          <cell r="AC9">
            <v>9</v>
          </cell>
          <cell r="AD9">
            <v>11</v>
          </cell>
          <cell r="AE9">
            <v>11</v>
          </cell>
          <cell r="AF9">
            <v>15</v>
          </cell>
          <cell r="AG9">
            <v>17</v>
          </cell>
          <cell r="AH9">
            <v>17</v>
          </cell>
          <cell r="AI9">
            <v>21</v>
          </cell>
        </row>
        <row r="10">
          <cell r="X10" t="str">
            <v>Revenue - BLU8499 Agreements (license of rights)</v>
          </cell>
          <cell r="Z10">
            <v>2</v>
          </cell>
          <cell r="AA10">
            <v>3</v>
          </cell>
          <cell r="AC10">
            <v>5</v>
          </cell>
          <cell r="AD10">
            <v>6</v>
          </cell>
          <cell r="AE10">
            <v>6</v>
          </cell>
          <cell r="AF10">
            <v>8</v>
          </cell>
          <cell r="AG10">
            <v>9</v>
          </cell>
          <cell r="AH10">
            <v>9</v>
          </cell>
          <cell r="AI10">
            <v>11</v>
          </cell>
        </row>
        <row r="11">
          <cell r="X11" t="str">
            <v>Revenue</v>
          </cell>
          <cell r="Z11">
            <v>6</v>
          </cell>
          <cell r="AA11">
            <v>9</v>
          </cell>
          <cell r="AC11">
            <v>14</v>
          </cell>
          <cell r="AD11">
            <v>17</v>
          </cell>
          <cell r="AE11">
            <v>17</v>
          </cell>
          <cell r="AF11">
            <v>23</v>
          </cell>
          <cell r="AG11">
            <v>26</v>
          </cell>
          <cell r="AH11">
            <v>26</v>
          </cell>
          <cell r="AI11">
            <v>32</v>
          </cell>
        </row>
        <row r="13">
          <cell r="X13" t="str">
            <v>Cash</v>
          </cell>
        </row>
        <row r="14">
          <cell r="X14" t="str">
            <v>Drug development</v>
          </cell>
          <cell r="Z14">
            <v>1684</v>
          </cell>
          <cell r="AA14">
            <v>2881</v>
          </cell>
          <cell r="AC14">
            <v>6080</v>
          </cell>
          <cell r="AD14">
            <v>8063</v>
          </cell>
          <cell r="AE14">
            <v>8063</v>
          </cell>
          <cell r="AF14">
            <v>13059</v>
          </cell>
          <cell r="AG14">
            <v>15220</v>
          </cell>
          <cell r="AH14">
            <v>15220</v>
          </cell>
          <cell r="AI14">
            <v>20982</v>
          </cell>
        </row>
        <row r="15">
          <cell r="X15" t="str">
            <v xml:space="preserve">DSU - R&amp;D </v>
          </cell>
          <cell r="Z15">
            <v>0</v>
          </cell>
          <cell r="AA15">
            <v>1</v>
          </cell>
          <cell r="AC15">
            <v>1</v>
          </cell>
          <cell r="AD15">
            <v>3</v>
          </cell>
          <cell r="AE15">
            <v>3</v>
          </cell>
          <cell r="AF15">
            <v>3</v>
          </cell>
          <cell r="AG15">
            <v>2</v>
          </cell>
          <cell r="AH15">
            <v>2</v>
          </cell>
          <cell r="AI15">
            <v>3</v>
          </cell>
        </row>
        <row r="16">
          <cell r="X16" t="str">
            <v xml:space="preserve">Non-cash </v>
          </cell>
          <cell r="Z16">
            <v>22</v>
          </cell>
          <cell r="AA16">
            <v>87</v>
          </cell>
          <cell r="AC16">
            <v>145</v>
          </cell>
          <cell r="AD16">
            <v>207</v>
          </cell>
          <cell r="AE16">
            <v>207</v>
          </cell>
          <cell r="AF16">
            <v>287</v>
          </cell>
          <cell r="AG16">
            <v>333</v>
          </cell>
          <cell r="AH16">
            <v>333</v>
          </cell>
          <cell r="AI16">
            <v>416</v>
          </cell>
        </row>
        <row r="17">
          <cell r="X17" t="str">
            <v xml:space="preserve">Stock-based compensation - R&amp;D </v>
          </cell>
          <cell r="Z17">
            <v>21</v>
          </cell>
          <cell r="AA17">
            <v>60</v>
          </cell>
          <cell r="AC17">
            <v>100</v>
          </cell>
          <cell r="AD17">
            <v>153</v>
          </cell>
          <cell r="AE17">
            <v>153</v>
          </cell>
          <cell r="AF17">
            <v>214</v>
          </cell>
          <cell r="AG17">
            <v>250</v>
          </cell>
          <cell r="AH17">
            <v>250</v>
          </cell>
          <cell r="AI17">
            <v>315</v>
          </cell>
        </row>
        <row r="18">
          <cell r="X18" t="str">
            <v>Depreciation Right-of-use asset - R&amp;D</v>
          </cell>
          <cell r="Z18">
            <v>0</v>
          </cell>
          <cell r="AA18">
            <v>25</v>
          </cell>
          <cell r="AC18">
            <v>42</v>
          </cell>
          <cell r="AD18">
            <v>50</v>
          </cell>
          <cell r="AE18">
            <v>50</v>
          </cell>
          <cell r="AF18">
            <v>67</v>
          </cell>
          <cell r="AG18">
            <v>76</v>
          </cell>
          <cell r="AH18">
            <v>76</v>
          </cell>
          <cell r="AI18">
            <v>92</v>
          </cell>
        </row>
        <row r="19">
          <cell r="X19" t="str">
            <v>Depreciation Computers &amp; Equipment  - R&amp;D</v>
          </cell>
          <cell r="Z19">
            <v>1</v>
          </cell>
          <cell r="AA19">
            <v>2</v>
          </cell>
          <cell r="AC19">
            <v>3</v>
          </cell>
          <cell r="AD19">
            <v>4</v>
          </cell>
          <cell r="AE19">
            <v>4</v>
          </cell>
          <cell r="AF19">
            <v>6</v>
          </cell>
          <cell r="AG19">
            <v>7</v>
          </cell>
          <cell r="AH19">
            <v>7</v>
          </cell>
          <cell r="AI19">
            <v>9</v>
          </cell>
        </row>
        <row r="20">
          <cell r="X20" t="str">
            <v xml:space="preserve">G&amp;A allocation </v>
          </cell>
          <cell r="Z20">
            <v>336</v>
          </cell>
          <cell r="AA20">
            <v>337</v>
          </cell>
          <cell r="AC20">
            <v>449</v>
          </cell>
          <cell r="AD20">
            <v>649</v>
          </cell>
          <cell r="AE20">
            <v>649</v>
          </cell>
          <cell r="AF20">
            <v>866</v>
          </cell>
          <cell r="AG20">
            <v>927</v>
          </cell>
          <cell r="AH20">
            <v>927</v>
          </cell>
          <cell r="AI20">
            <v>927</v>
          </cell>
        </row>
        <row r="21">
          <cell r="X21" t="str">
            <v>Total R&amp;D expenses</v>
          </cell>
          <cell r="Z21">
            <v>2042</v>
          </cell>
          <cell r="AA21">
            <v>3306</v>
          </cell>
          <cell r="AC21">
            <v>6675</v>
          </cell>
          <cell r="AD21">
            <v>8922</v>
          </cell>
          <cell r="AE21">
            <v>8922</v>
          </cell>
          <cell r="AF21">
            <v>14215</v>
          </cell>
          <cell r="AG21">
            <v>16482</v>
          </cell>
          <cell r="AH21">
            <v>16482</v>
          </cell>
          <cell r="AI21">
            <v>22328</v>
          </cell>
        </row>
        <row r="23">
          <cell r="X23" t="str">
            <v>Research tax credits &amp; grants</v>
          </cell>
          <cell r="Z23">
            <v>-102</v>
          </cell>
          <cell r="AA23">
            <v>-77</v>
          </cell>
          <cell r="AC23">
            <v>-134</v>
          </cell>
          <cell r="AD23">
            <v>-210</v>
          </cell>
          <cell r="AE23">
            <v>-210</v>
          </cell>
          <cell r="AF23">
            <v>-290</v>
          </cell>
          <cell r="AG23">
            <v>-375</v>
          </cell>
          <cell r="AH23">
            <v>-375</v>
          </cell>
          <cell r="AI23">
            <v>-492</v>
          </cell>
        </row>
        <row r="24">
          <cell r="X24" t="str">
            <v>Total net R&amp;D expenses</v>
          </cell>
          <cell r="Z24">
            <v>1940</v>
          </cell>
          <cell r="AA24">
            <v>3229</v>
          </cell>
          <cell r="AC24">
            <v>6541</v>
          </cell>
          <cell r="AD24">
            <v>8712</v>
          </cell>
          <cell r="AE24">
            <v>8712</v>
          </cell>
          <cell r="AF24">
            <v>13925</v>
          </cell>
          <cell r="AG24">
            <v>16107</v>
          </cell>
          <cell r="AH24">
            <v>16107</v>
          </cell>
          <cell r="AI24">
            <v>21836</v>
          </cell>
        </row>
        <row r="26">
          <cell r="X26" t="str">
            <v>Cash</v>
          </cell>
        </row>
        <row r="27">
          <cell r="X27" t="str">
            <v>Finance / Admin / IT</v>
          </cell>
          <cell r="Z27">
            <v>178</v>
          </cell>
          <cell r="AA27">
            <v>231</v>
          </cell>
          <cell r="AC27">
            <v>374</v>
          </cell>
          <cell r="AD27">
            <v>442</v>
          </cell>
          <cell r="AE27">
            <v>442</v>
          </cell>
          <cell r="AF27">
            <v>609</v>
          </cell>
          <cell r="AG27">
            <v>1222</v>
          </cell>
          <cell r="AH27">
            <v>1222</v>
          </cell>
          <cell r="AI27">
            <v>1396</v>
          </cell>
        </row>
        <row r="28">
          <cell r="X28" t="str">
            <v>Board</v>
          </cell>
          <cell r="Z28">
            <v>89</v>
          </cell>
          <cell r="AA28">
            <v>136</v>
          </cell>
          <cell r="AC28">
            <v>241</v>
          </cell>
          <cell r="AD28">
            <v>285</v>
          </cell>
          <cell r="AE28">
            <v>285</v>
          </cell>
          <cell r="AF28">
            <v>375</v>
          </cell>
          <cell r="AG28">
            <v>558</v>
          </cell>
          <cell r="AH28">
            <v>558</v>
          </cell>
          <cell r="AI28">
            <v>1327</v>
          </cell>
        </row>
        <row r="29">
          <cell r="X29" t="str">
            <v>Legal &amp; IP</v>
          </cell>
          <cell r="Z29">
            <v>61</v>
          </cell>
          <cell r="AA29">
            <v>101</v>
          </cell>
          <cell r="AC29">
            <v>203</v>
          </cell>
          <cell r="AD29">
            <v>169</v>
          </cell>
          <cell r="AE29">
            <v>169</v>
          </cell>
          <cell r="AF29">
            <v>252</v>
          </cell>
          <cell r="AG29">
            <v>382</v>
          </cell>
          <cell r="AH29">
            <v>382</v>
          </cell>
          <cell r="AI29">
            <v>468</v>
          </cell>
        </row>
        <row r="30">
          <cell r="X30" t="str">
            <v>Communications &amp; IR</v>
          </cell>
          <cell r="Z30">
            <v>235</v>
          </cell>
          <cell r="AA30">
            <v>393</v>
          </cell>
          <cell r="AC30">
            <v>714</v>
          </cell>
          <cell r="AD30">
            <v>827</v>
          </cell>
          <cell r="AE30">
            <v>827</v>
          </cell>
          <cell r="AF30">
            <v>1138</v>
          </cell>
          <cell r="AG30">
            <v>1543</v>
          </cell>
          <cell r="AH30">
            <v>1543</v>
          </cell>
          <cell r="AI30">
            <v>1830</v>
          </cell>
        </row>
        <row r="31">
          <cell r="X31" t="str">
            <v>Business development</v>
          </cell>
          <cell r="Z31">
            <v>78</v>
          </cell>
          <cell r="AA31">
            <v>123</v>
          </cell>
          <cell r="AC31">
            <v>242</v>
          </cell>
          <cell r="AD31">
            <v>398</v>
          </cell>
          <cell r="AE31">
            <v>398</v>
          </cell>
          <cell r="AF31">
            <v>609</v>
          </cell>
          <cell r="AG31">
            <v>753</v>
          </cell>
          <cell r="AH31">
            <v>753</v>
          </cell>
          <cell r="AI31">
            <v>853</v>
          </cell>
        </row>
        <row r="32">
          <cell r="X32" t="str">
            <v>Other expense (income)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X33" t="str">
            <v xml:space="preserve">DSU - G&amp;A </v>
          </cell>
          <cell r="Z33">
            <v>173</v>
          </cell>
          <cell r="AA33">
            <v>460</v>
          </cell>
          <cell r="AC33">
            <v>404</v>
          </cell>
          <cell r="AD33">
            <v>1546</v>
          </cell>
          <cell r="AE33">
            <v>1546</v>
          </cell>
          <cell r="AF33">
            <v>1415</v>
          </cell>
          <cell r="AG33">
            <v>1243</v>
          </cell>
          <cell r="AH33">
            <v>1243</v>
          </cell>
          <cell r="AI33">
            <v>1430</v>
          </cell>
        </row>
        <row r="34">
          <cell r="X34" t="str">
            <v xml:space="preserve">Non-cash </v>
          </cell>
          <cell r="Z34">
            <v>141</v>
          </cell>
          <cell r="AA34">
            <v>296</v>
          </cell>
          <cell r="AC34">
            <v>493</v>
          </cell>
          <cell r="AD34">
            <v>752</v>
          </cell>
          <cell r="AE34">
            <v>752</v>
          </cell>
          <cell r="AF34">
            <v>1055</v>
          </cell>
          <cell r="AG34">
            <v>1196</v>
          </cell>
          <cell r="AH34">
            <v>1196</v>
          </cell>
          <cell r="AI34">
            <v>1493</v>
          </cell>
        </row>
        <row r="35">
          <cell r="X35" t="str">
            <v xml:space="preserve">Stock-based compensation - G&amp;A </v>
          </cell>
          <cell r="Z35">
            <v>140</v>
          </cell>
          <cell r="AA35">
            <v>284</v>
          </cell>
          <cell r="AC35">
            <v>474</v>
          </cell>
          <cell r="AD35">
            <v>728</v>
          </cell>
          <cell r="AE35">
            <v>728</v>
          </cell>
          <cell r="AF35">
            <v>1024</v>
          </cell>
          <cell r="AG35">
            <v>1161</v>
          </cell>
          <cell r="AH35">
            <v>1161</v>
          </cell>
          <cell r="AI35">
            <v>1450</v>
          </cell>
        </row>
        <row r="36">
          <cell r="X36" t="str">
            <v>Depreciation Right-of-use asset - G&amp;A</v>
          </cell>
          <cell r="Z36">
            <v>0</v>
          </cell>
          <cell r="AA36">
            <v>11</v>
          </cell>
          <cell r="AC36">
            <v>18</v>
          </cell>
          <cell r="AD36">
            <v>22</v>
          </cell>
          <cell r="AE36">
            <v>22</v>
          </cell>
          <cell r="AF36">
            <v>29</v>
          </cell>
          <cell r="AG36">
            <v>32</v>
          </cell>
          <cell r="AH36">
            <v>32</v>
          </cell>
          <cell r="AI36">
            <v>39</v>
          </cell>
        </row>
        <row r="37">
          <cell r="X37" t="str">
            <v>Depreciation Computers &amp; Equipment  - G&amp;A</v>
          </cell>
          <cell r="Z37">
            <v>1</v>
          </cell>
          <cell r="AA37">
            <v>1</v>
          </cell>
          <cell r="AC37">
            <v>1</v>
          </cell>
          <cell r="AD37">
            <v>2</v>
          </cell>
          <cell r="AE37">
            <v>2</v>
          </cell>
          <cell r="AF37">
            <v>2</v>
          </cell>
          <cell r="AG37">
            <v>3</v>
          </cell>
          <cell r="AH37">
            <v>3</v>
          </cell>
          <cell r="AI37">
            <v>4</v>
          </cell>
        </row>
        <row r="38">
          <cell r="X38" t="str">
            <v>G&amp;A allocation R&amp;D</v>
          </cell>
          <cell r="Z38">
            <v>-336</v>
          </cell>
          <cell r="AA38">
            <v>-337</v>
          </cell>
          <cell r="AC38">
            <v>-449</v>
          </cell>
          <cell r="AD38">
            <v>-649</v>
          </cell>
          <cell r="AE38">
            <v>-649</v>
          </cell>
          <cell r="AF38">
            <v>-866</v>
          </cell>
          <cell r="AG38">
            <v>-927</v>
          </cell>
          <cell r="AH38">
            <v>-927</v>
          </cell>
          <cell r="AI38">
            <v>-927</v>
          </cell>
        </row>
        <row r="39">
          <cell r="X39" t="str">
            <v>Total G&amp;A expenses</v>
          </cell>
          <cell r="Z39">
            <v>619</v>
          </cell>
          <cell r="AA39">
            <v>1403</v>
          </cell>
          <cell r="AC39">
            <v>2222</v>
          </cell>
          <cell r="AD39">
            <v>3770</v>
          </cell>
          <cell r="AE39">
            <v>3770</v>
          </cell>
          <cell r="AF39">
            <v>4587</v>
          </cell>
          <cell r="AG39">
            <v>5970</v>
          </cell>
          <cell r="AH39">
            <v>5970</v>
          </cell>
          <cell r="AI39">
            <v>7870</v>
          </cell>
        </row>
        <row r="41">
          <cell r="X41" t="str">
            <v>Total operating expenses</v>
          </cell>
          <cell r="Z41">
            <v>2559</v>
          </cell>
          <cell r="AA41">
            <v>4632</v>
          </cell>
          <cell r="AC41">
            <v>8763</v>
          </cell>
          <cell r="AD41">
            <v>12482</v>
          </cell>
          <cell r="AE41">
            <v>12482</v>
          </cell>
          <cell r="AF41">
            <v>18512</v>
          </cell>
          <cell r="AG41">
            <v>22077</v>
          </cell>
          <cell r="AH41">
            <v>22077</v>
          </cell>
          <cell r="AI41">
            <v>29706</v>
          </cell>
        </row>
        <row r="43">
          <cell r="X43" t="str">
            <v>Operating (Loss) Income</v>
          </cell>
          <cell r="Z43">
            <v>-2553</v>
          </cell>
          <cell r="AA43">
            <v>-4623</v>
          </cell>
          <cell r="AC43">
            <v>-8749</v>
          </cell>
          <cell r="AD43">
            <v>-12465</v>
          </cell>
          <cell r="AE43">
            <v>-12465</v>
          </cell>
          <cell r="AF43">
            <v>-18489</v>
          </cell>
          <cell r="AG43">
            <v>-22051</v>
          </cell>
          <cell r="AH43">
            <v>-22051</v>
          </cell>
          <cell r="AI43">
            <v>-29674</v>
          </cell>
        </row>
        <row r="45">
          <cell r="X45" t="str">
            <v>Interest income</v>
          </cell>
          <cell r="Z45">
            <v>196</v>
          </cell>
          <cell r="AA45">
            <v>297</v>
          </cell>
          <cell r="AC45">
            <v>490</v>
          </cell>
          <cell r="AD45">
            <v>574</v>
          </cell>
          <cell r="AE45">
            <v>574</v>
          </cell>
          <cell r="AF45">
            <v>777</v>
          </cell>
          <cell r="AG45">
            <v>919</v>
          </cell>
          <cell r="AH45">
            <v>919</v>
          </cell>
          <cell r="AI45">
            <v>1323</v>
          </cell>
        </row>
        <row r="46">
          <cell r="X46" t="str">
            <v>Interest &amp; bank charges</v>
          </cell>
          <cell r="Z46">
            <v>-2</v>
          </cell>
          <cell r="AA46">
            <v>-3</v>
          </cell>
          <cell r="AC46">
            <v>-4</v>
          </cell>
          <cell r="AD46">
            <v>-5</v>
          </cell>
          <cell r="AE46">
            <v>-5</v>
          </cell>
          <cell r="AF46">
            <v>-6</v>
          </cell>
          <cell r="AG46">
            <v>-7</v>
          </cell>
          <cell r="AH46">
            <v>-7</v>
          </cell>
          <cell r="AI46">
            <v>-13</v>
          </cell>
        </row>
        <row r="47">
          <cell r="X47" t="str">
            <v>Interest lease liability</v>
          </cell>
          <cell r="Z47">
            <v>0</v>
          </cell>
          <cell r="AA47">
            <v>-3</v>
          </cell>
          <cell r="AC47">
            <v>-5</v>
          </cell>
          <cell r="AD47">
            <v>-6</v>
          </cell>
          <cell r="AE47">
            <v>-6</v>
          </cell>
          <cell r="AF47">
            <v>-9</v>
          </cell>
          <cell r="AG47">
            <v>-10</v>
          </cell>
          <cell r="AH47">
            <v>-10</v>
          </cell>
          <cell r="AI47">
            <v>-13</v>
          </cell>
        </row>
        <row r="48">
          <cell r="X48" t="str">
            <v>Foreign exchange gain (loss) - Realized</v>
          </cell>
          <cell r="Z48">
            <v>42</v>
          </cell>
          <cell r="AA48">
            <v>5</v>
          </cell>
          <cell r="AC48">
            <v>5</v>
          </cell>
          <cell r="AD48">
            <v>5</v>
          </cell>
          <cell r="AE48">
            <v>5</v>
          </cell>
          <cell r="AF48">
            <v>5</v>
          </cell>
          <cell r="AG48">
            <v>115</v>
          </cell>
          <cell r="AH48">
            <v>115</v>
          </cell>
          <cell r="AI48">
            <v>111</v>
          </cell>
        </row>
        <row r="49">
          <cell r="X49" t="str">
            <v>Foreign exchange gain (loss) - Unrealized</v>
          </cell>
          <cell r="Z49">
            <v>-768</v>
          </cell>
          <cell r="AA49">
            <v>-464</v>
          </cell>
          <cell r="AC49">
            <v>-231</v>
          </cell>
          <cell r="AD49">
            <v>-796</v>
          </cell>
          <cell r="AE49">
            <v>-796</v>
          </cell>
          <cell r="AF49">
            <v>-804</v>
          </cell>
          <cell r="AG49">
            <v>-269</v>
          </cell>
          <cell r="AH49">
            <v>-269</v>
          </cell>
          <cell r="AI49">
            <v>66</v>
          </cell>
        </row>
        <row r="50">
          <cell r="X50" t="str">
            <v>Total finance income (costs)</v>
          </cell>
          <cell r="Z50">
            <v>-532</v>
          </cell>
          <cell r="AA50">
            <v>-168</v>
          </cell>
          <cell r="AC50">
            <v>255</v>
          </cell>
          <cell r="AD50">
            <v>-228</v>
          </cell>
          <cell r="AE50">
            <v>-228</v>
          </cell>
          <cell r="AF50">
            <v>-37</v>
          </cell>
          <cell r="AG50">
            <v>748</v>
          </cell>
          <cell r="AH50">
            <v>748</v>
          </cell>
          <cell r="AI50">
            <v>1474</v>
          </cell>
        </row>
        <row r="52">
          <cell r="X52" t="str">
            <v>Change in FV of contingent consideration</v>
          </cell>
          <cell r="Z52">
            <v>0</v>
          </cell>
          <cell r="AA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4">
          <cell r="X54" t="str">
            <v>(Loss) Income before income taxes</v>
          </cell>
          <cell r="Z54">
            <v>-3085</v>
          </cell>
          <cell r="AA54">
            <v>-4791</v>
          </cell>
          <cell r="AC54">
            <v>-8494</v>
          </cell>
          <cell r="AD54">
            <v>-12693</v>
          </cell>
          <cell r="AE54">
            <v>-12693</v>
          </cell>
          <cell r="AF54">
            <v>-18526</v>
          </cell>
          <cell r="AG54">
            <v>-21303</v>
          </cell>
          <cell r="AH54">
            <v>-21303</v>
          </cell>
          <cell r="AI54">
            <v>-28200</v>
          </cell>
        </row>
        <row r="56">
          <cell r="X56" t="str">
            <v>Deferred tax revenue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X57" t="str">
            <v>Net (Loss) Income</v>
          </cell>
          <cell r="Z57">
            <v>-3085</v>
          </cell>
          <cell r="AA57">
            <v>-4791</v>
          </cell>
          <cell r="AC57">
            <v>-8494</v>
          </cell>
          <cell r="AD57">
            <v>-12693</v>
          </cell>
          <cell r="AE57">
            <v>-12693</v>
          </cell>
          <cell r="AF57">
            <v>-18526</v>
          </cell>
          <cell r="AG57">
            <v>-21303</v>
          </cell>
          <cell r="AH57">
            <v>-21303</v>
          </cell>
          <cell r="AI57">
            <v>-28200</v>
          </cell>
        </row>
        <row r="60">
          <cell r="X60" t="str">
            <v>FS Presentation</v>
          </cell>
        </row>
        <row r="61">
          <cell r="X61" t="str">
            <v>Finance income</v>
          </cell>
          <cell r="Z61">
            <v>-530</v>
          </cell>
          <cell r="AA61">
            <v>297</v>
          </cell>
          <cell r="AC61">
            <v>490</v>
          </cell>
          <cell r="AD61">
            <v>574</v>
          </cell>
          <cell r="AE61">
            <v>574</v>
          </cell>
          <cell r="AF61">
            <v>777</v>
          </cell>
          <cell r="AG61">
            <v>919</v>
          </cell>
          <cell r="AH61">
            <v>919</v>
          </cell>
          <cell r="AI61">
            <v>1323</v>
          </cell>
        </row>
        <row r="62">
          <cell r="X62" t="str">
            <v>Finance costs</v>
          </cell>
          <cell r="Z62">
            <v>-2</v>
          </cell>
          <cell r="AA62">
            <v>-465</v>
          </cell>
          <cell r="AC62">
            <v>-235</v>
          </cell>
          <cell r="AD62">
            <v>-802</v>
          </cell>
          <cell r="AE62">
            <v>-802</v>
          </cell>
          <cell r="AF62">
            <v>-814</v>
          </cell>
          <cell r="AG62">
            <v>-171</v>
          </cell>
          <cell r="AH62">
            <v>-171</v>
          </cell>
          <cell r="AI62">
            <v>151</v>
          </cell>
        </row>
        <row r="63">
          <cell r="X63" t="str">
            <v xml:space="preserve"> </v>
          </cell>
          <cell r="Z63">
            <v>-532</v>
          </cell>
          <cell r="AA63">
            <v>-168</v>
          </cell>
          <cell r="AC63">
            <v>255</v>
          </cell>
          <cell r="AD63">
            <v>-228</v>
          </cell>
          <cell r="AE63">
            <v>-228</v>
          </cell>
          <cell r="AF63">
            <v>-37</v>
          </cell>
          <cell r="AG63">
            <v>748</v>
          </cell>
          <cell r="AH63">
            <v>748</v>
          </cell>
          <cell r="AI63">
            <v>1474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7">
          <cell r="H7">
            <v>43496</v>
          </cell>
          <cell r="I7">
            <v>43524</v>
          </cell>
          <cell r="J7">
            <v>43555</v>
          </cell>
          <cell r="K7">
            <v>43585</v>
          </cell>
          <cell r="L7">
            <v>43616</v>
          </cell>
          <cell r="M7">
            <v>43646</v>
          </cell>
          <cell r="N7">
            <v>43677</v>
          </cell>
          <cell r="O7">
            <v>43708</v>
          </cell>
          <cell r="P7">
            <v>43738</v>
          </cell>
          <cell r="Q7">
            <v>43769</v>
          </cell>
          <cell r="R7">
            <v>43799</v>
          </cell>
          <cell r="S7">
            <v>43830</v>
          </cell>
        </row>
        <row r="8">
          <cell r="H8" t="str">
            <v>1/3 Q1</v>
          </cell>
          <cell r="I8" t="str">
            <v>2/3 Q1</v>
          </cell>
          <cell r="J8" t="str">
            <v>Q1</v>
          </cell>
          <cell r="K8" t="str">
            <v>1/3 Q2</v>
          </cell>
          <cell r="L8" t="str">
            <v>2/3 Q2</v>
          </cell>
          <cell r="M8" t="str">
            <v>Q2- YTD</v>
          </cell>
          <cell r="N8" t="str">
            <v>1/3 Q3</v>
          </cell>
          <cell r="O8" t="str">
            <v>2/3 Q3</v>
          </cell>
          <cell r="P8" t="str">
            <v>Q3- YTD</v>
          </cell>
          <cell r="Q8" t="str">
            <v>1/3 Q4</v>
          </cell>
          <cell r="R8" t="str">
            <v>2/3 Q4</v>
          </cell>
          <cell r="S8" t="str">
            <v>Q4</v>
          </cell>
        </row>
        <row r="9">
          <cell r="A9" t="str">
            <v>Revenue - VIVIMIND Agreements (license of rights)</v>
          </cell>
          <cell r="B9">
            <v>5.625</v>
          </cell>
          <cell r="C9">
            <v>5.625</v>
          </cell>
          <cell r="D9">
            <v>5.625</v>
          </cell>
          <cell r="E9">
            <v>5.625</v>
          </cell>
          <cell r="F9">
            <v>22.5</v>
          </cell>
          <cell r="H9">
            <v>1.875</v>
          </cell>
          <cell r="I9">
            <v>3.75</v>
          </cell>
          <cell r="J9">
            <v>5.625</v>
          </cell>
          <cell r="K9">
            <v>7.5</v>
          </cell>
          <cell r="L9">
            <v>9.375</v>
          </cell>
          <cell r="M9">
            <v>11.25</v>
          </cell>
          <cell r="N9">
            <v>13.125</v>
          </cell>
          <cell r="O9">
            <v>15</v>
          </cell>
          <cell r="P9">
            <v>16.875</v>
          </cell>
          <cell r="Q9">
            <v>18.75</v>
          </cell>
          <cell r="R9">
            <v>20.625</v>
          </cell>
          <cell r="S9">
            <v>22.5</v>
          </cell>
        </row>
        <row r="10">
          <cell r="A10" t="str">
            <v>Revenue - BLU8499 Agreements (license of rights)</v>
          </cell>
          <cell r="B10">
            <v>3</v>
          </cell>
          <cell r="C10">
            <v>3</v>
          </cell>
          <cell r="D10">
            <v>3</v>
          </cell>
          <cell r="E10">
            <v>3</v>
          </cell>
          <cell r="F10">
            <v>12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</row>
        <row r="11">
          <cell r="B11">
            <v>8.625</v>
          </cell>
          <cell r="C11">
            <v>8.625</v>
          </cell>
          <cell r="D11">
            <v>8.625</v>
          </cell>
          <cell r="E11">
            <v>8.625</v>
          </cell>
          <cell r="F11">
            <v>34.5</v>
          </cell>
          <cell r="H11">
            <v>2.875</v>
          </cell>
          <cell r="I11">
            <v>5.75</v>
          </cell>
          <cell r="J11">
            <v>8.625</v>
          </cell>
          <cell r="K11">
            <v>11.5</v>
          </cell>
          <cell r="L11">
            <v>14.375</v>
          </cell>
          <cell r="M11">
            <v>17.25</v>
          </cell>
          <cell r="N11">
            <v>20.125</v>
          </cell>
          <cell r="O11">
            <v>23</v>
          </cell>
          <cell r="P11">
            <v>25.875</v>
          </cell>
          <cell r="Q11">
            <v>28.75</v>
          </cell>
          <cell r="R11">
            <v>31.625</v>
          </cell>
          <cell r="S11">
            <v>34.5</v>
          </cell>
        </row>
        <row r="12">
          <cell r="A12" t="str">
            <v xml:space="preserve"> </v>
          </cell>
        </row>
        <row r="13">
          <cell r="A13" t="str">
            <v>Drug development</v>
          </cell>
          <cell r="B13">
            <v>3797.2524397300003</v>
          </cell>
          <cell r="C13">
            <v>4215.3646904750003</v>
          </cell>
          <cell r="D13">
            <v>4107.2845749349999</v>
          </cell>
          <cell r="E13">
            <v>4279.4781143049995</v>
          </cell>
          <cell r="F13">
            <v>16399.379819444999</v>
          </cell>
          <cell r="H13">
            <v>1265.7508132433334</v>
          </cell>
          <cell r="I13">
            <v>2531.5016264866667</v>
          </cell>
          <cell r="J13">
            <v>3797.2524397300003</v>
          </cell>
          <cell r="K13">
            <v>5202.3740032216674</v>
          </cell>
          <cell r="L13">
            <v>6607.4955667133345</v>
          </cell>
          <cell r="M13">
            <v>8012.6171302050016</v>
          </cell>
          <cell r="N13">
            <v>9381.7119885166685</v>
          </cell>
          <cell r="O13">
            <v>10750.806846828335</v>
          </cell>
          <cell r="P13">
            <v>12119.901705140001</v>
          </cell>
          <cell r="Q13">
            <v>13546.394409908335</v>
          </cell>
          <cell r="R13">
            <v>14972.887114676669</v>
          </cell>
          <cell r="S13">
            <v>16399.379819445003</v>
          </cell>
        </row>
        <row r="14">
          <cell r="A14" t="str">
            <v xml:space="preserve">Stock-based compensation - R&amp;D </v>
          </cell>
          <cell r="B14">
            <v>31.269018419172404</v>
          </cell>
          <cell r="C14">
            <v>31.269018419172404</v>
          </cell>
          <cell r="D14">
            <v>31.269018419172404</v>
          </cell>
          <cell r="E14">
            <v>31.269018419172404</v>
          </cell>
          <cell r="F14">
            <v>125.07607367668962</v>
          </cell>
          <cell r="H14">
            <v>10.423006139724135</v>
          </cell>
          <cell r="I14">
            <v>20.846012279448271</v>
          </cell>
          <cell r="J14">
            <v>31.269018419172404</v>
          </cell>
          <cell r="K14">
            <v>41.692024558896541</v>
          </cell>
          <cell r="L14">
            <v>52.115030698620679</v>
          </cell>
          <cell r="M14">
            <v>62.538036838344816</v>
          </cell>
          <cell r="N14">
            <v>72.961042978068946</v>
          </cell>
          <cell r="O14">
            <v>83.384049117793083</v>
          </cell>
          <cell r="P14">
            <v>93.80705525751722</v>
          </cell>
          <cell r="Q14">
            <v>104.23006139724136</v>
          </cell>
          <cell r="R14">
            <v>114.65306753696549</v>
          </cell>
          <cell r="S14">
            <v>125.07607367668963</v>
          </cell>
        </row>
        <row r="15">
          <cell r="A15" t="str">
            <v>Depreciation Computers &amp; Equipment  - R&amp;D</v>
          </cell>
          <cell r="B15">
            <v>0.81335999999999997</v>
          </cell>
          <cell r="C15">
            <v>0.81335999999999997</v>
          </cell>
          <cell r="D15">
            <v>0.81335999999999997</v>
          </cell>
          <cell r="E15">
            <v>0.81335999999999997</v>
          </cell>
          <cell r="F15">
            <v>3.2534399999999999</v>
          </cell>
          <cell r="H15">
            <v>0.27111999999999997</v>
          </cell>
          <cell r="I15">
            <v>0.54223999999999994</v>
          </cell>
          <cell r="J15">
            <v>0.81335999999999986</v>
          </cell>
          <cell r="K15">
            <v>1.0844799999999999</v>
          </cell>
          <cell r="L15">
            <v>1.3555999999999999</v>
          </cell>
          <cell r="M15">
            <v>1.6267199999999999</v>
          </cell>
          <cell r="N15">
            <v>1.89784</v>
          </cell>
          <cell r="O15">
            <v>2.1689599999999998</v>
          </cell>
          <cell r="P15">
            <v>2.4400799999999996</v>
          </cell>
          <cell r="Q15">
            <v>2.7111999999999994</v>
          </cell>
          <cell r="R15">
            <v>2.9823199999999992</v>
          </cell>
          <cell r="S15">
            <v>3.253439999999999</v>
          </cell>
        </row>
        <row r="16">
          <cell r="A16" t="str">
            <v xml:space="preserve">G&amp;A allocation </v>
          </cell>
          <cell r="B16">
            <v>300</v>
          </cell>
          <cell r="C16">
            <v>300</v>
          </cell>
          <cell r="D16">
            <v>300</v>
          </cell>
          <cell r="E16">
            <v>300</v>
          </cell>
          <cell r="F16">
            <v>1200</v>
          </cell>
          <cell r="H16">
            <v>100</v>
          </cell>
          <cell r="I16">
            <v>200</v>
          </cell>
          <cell r="J16">
            <v>300</v>
          </cell>
          <cell r="K16">
            <v>400</v>
          </cell>
          <cell r="L16">
            <v>500</v>
          </cell>
          <cell r="M16">
            <v>600</v>
          </cell>
          <cell r="N16">
            <v>700</v>
          </cell>
          <cell r="O16">
            <v>800</v>
          </cell>
          <cell r="P16">
            <v>900</v>
          </cell>
          <cell r="Q16">
            <v>1000</v>
          </cell>
          <cell r="R16">
            <v>1100</v>
          </cell>
          <cell r="S16">
            <v>1200</v>
          </cell>
        </row>
        <row r="17">
          <cell r="A17" t="str">
            <v>Total R&amp;D expenses</v>
          </cell>
          <cell r="B17">
            <v>4129.3348181491729</v>
          </cell>
          <cell r="C17">
            <v>4547.4470688941728</v>
          </cell>
          <cell r="D17">
            <v>4439.3669533541724</v>
          </cell>
          <cell r="E17">
            <v>4611.560492724172</v>
          </cell>
          <cell r="F17">
            <v>17727.709333121689</v>
          </cell>
          <cell r="H17">
            <v>1376.4449393830575</v>
          </cell>
          <cell r="I17">
            <v>2752.8898787661151</v>
          </cell>
          <cell r="J17">
            <v>4129.3348181491729</v>
          </cell>
          <cell r="K17">
            <v>5645.1505077805641</v>
          </cell>
          <cell r="L17">
            <v>7160.9661974119554</v>
          </cell>
          <cell r="M17">
            <v>8676.7818870433457</v>
          </cell>
          <cell r="N17">
            <v>10156.570871494736</v>
          </cell>
          <cell r="O17">
            <v>11636.359855946126</v>
          </cell>
          <cell r="P17">
            <v>13116.148840397516</v>
          </cell>
          <cell r="Q17">
            <v>14653.335671305573</v>
          </cell>
          <cell r="R17">
            <v>16190.522502213629</v>
          </cell>
          <cell r="S17">
            <v>17727.709333121686</v>
          </cell>
        </row>
        <row r="19">
          <cell r="A19" t="str">
            <v>Research tax credits &amp; grants</v>
          </cell>
          <cell r="B19">
            <v>-107.25749999999999</v>
          </cell>
          <cell r="C19">
            <v>-97.957499999999996</v>
          </cell>
          <cell r="D19">
            <v>-154.35749999999999</v>
          </cell>
          <cell r="E19">
            <v>-154.35749999999999</v>
          </cell>
          <cell r="F19">
            <v>-513.92999999999995</v>
          </cell>
          <cell r="H19">
            <v>-35.752499999999998</v>
          </cell>
          <cell r="I19">
            <v>-71.504999999999995</v>
          </cell>
          <cell r="J19">
            <v>-107.25749999999999</v>
          </cell>
          <cell r="K19">
            <v>-139.91</v>
          </cell>
          <cell r="L19">
            <v>-172.5625</v>
          </cell>
          <cell r="M19">
            <v>-205.215</v>
          </cell>
          <cell r="N19">
            <v>-256.66750000000002</v>
          </cell>
          <cell r="O19">
            <v>-308.12</v>
          </cell>
          <cell r="P19">
            <v>-359.57249999999999</v>
          </cell>
          <cell r="Q19">
            <v>-411.02499999999998</v>
          </cell>
          <cell r="R19">
            <v>-462.47749999999996</v>
          </cell>
          <cell r="S19">
            <v>-513.92999999999995</v>
          </cell>
        </row>
        <row r="20">
          <cell r="A20" t="str">
            <v>Total net R&amp;D expenses</v>
          </cell>
          <cell r="B20">
            <v>4022.0773181491727</v>
          </cell>
          <cell r="C20">
            <v>4449.4895688941724</v>
          </cell>
          <cell r="D20">
            <v>4285.0094533541724</v>
          </cell>
          <cell r="E20">
            <v>4457.202992724172</v>
          </cell>
          <cell r="F20">
            <v>17213.779333121689</v>
          </cell>
          <cell r="H20">
            <v>1340.6924393830575</v>
          </cell>
          <cell r="I20">
            <v>2681.384878766115</v>
          </cell>
          <cell r="J20">
            <v>4022.0773181491722</v>
          </cell>
          <cell r="K20">
            <v>5505.2405077805633</v>
          </cell>
          <cell r="L20">
            <v>6988.4036974119545</v>
          </cell>
          <cell r="M20">
            <v>8471.5668870433456</v>
          </cell>
          <cell r="N20">
            <v>9899.9033714947363</v>
          </cell>
          <cell r="O20">
            <v>11328.239855946127</v>
          </cell>
          <cell r="P20">
            <v>12756.576340397518</v>
          </cell>
          <cell r="Q20">
            <v>14242.310671305575</v>
          </cell>
          <cell r="R20">
            <v>15728.045002213632</v>
          </cell>
          <cell r="S20">
            <v>17213.779333121689</v>
          </cell>
        </row>
        <row r="22">
          <cell r="A22" t="str">
            <v>Finance / Admin / IT</v>
          </cell>
          <cell r="B22">
            <v>245.49101319960005</v>
          </cell>
          <cell r="C22">
            <v>288.90700197480004</v>
          </cell>
          <cell r="D22">
            <v>239.30604517079999</v>
          </cell>
          <cell r="E22">
            <v>291.48734696681498</v>
          </cell>
          <cell r="F22">
            <v>1065.1914073120151</v>
          </cell>
          <cell r="H22">
            <v>81.830337733200011</v>
          </cell>
          <cell r="I22">
            <v>163.66067546640002</v>
          </cell>
          <cell r="J22">
            <v>245.49101319960005</v>
          </cell>
          <cell r="K22">
            <v>341.79334719120004</v>
          </cell>
          <cell r="L22">
            <v>438.09568118280004</v>
          </cell>
          <cell r="M22">
            <v>534.39801517440003</v>
          </cell>
          <cell r="N22">
            <v>614.16669689800005</v>
          </cell>
          <cell r="O22">
            <v>693.93537862160008</v>
          </cell>
          <cell r="P22">
            <v>773.70406034520011</v>
          </cell>
          <cell r="Q22">
            <v>870.86650933413841</v>
          </cell>
          <cell r="R22">
            <v>968.02895832307672</v>
          </cell>
          <cell r="S22">
            <v>1065.1914073120151</v>
          </cell>
        </row>
        <row r="23">
          <cell r="A23" t="str">
            <v>Board</v>
          </cell>
          <cell r="B23">
            <v>137.9</v>
          </cell>
          <cell r="C23">
            <v>148.47499999999999</v>
          </cell>
          <cell r="D23">
            <v>137.9</v>
          </cell>
          <cell r="E23">
            <v>137.9</v>
          </cell>
          <cell r="F23">
            <v>562.17499999999995</v>
          </cell>
          <cell r="H23">
            <v>45.966666666666669</v>
          </cell>
          <cell r="I23">
            <v>91.933333333333337</v>
          </cell>
          <cell r="J23">
            <v>137.9</v>
          </cell>
          <cell r="K23">
            <v>187.39166666666668</v>
          </cell>
          <cell r="L23">
            <v>236.88333333333335</v>
          </cell>
          <cell r="M23">
            <v>286.375</v>
          </cell>
          <cell r="N23">
            <v>332.3416666666667</v>
          </cell>
          <cell r="O23">
            <v>378.30833333333339</v>
          </cell>
          <cell r="P23">
            <v>424.27500000000009</v>
          </cell>
          <cell r="Q23">
            <v>470.24166666666679</v>
          </cell>
          <cell r="R23">
            <v>516.20833333333348</v>
          </cell>
          <cell r="S23">
            <v>562.17500000000018</v>
          </cell>
        </row>
        <row r="24">
          <cell r="A24" t="str">
            <v>Legal &amp; IP</v>
          </cell>
          <cell r="B24">
            <v>146.5625</v>
          </cell>
          <cell r="C24">
            <v>145.06405100000001</v>
          </cell>
          <cell r="D24">
            <v>111.5625</v>
          </cell>
          <cell r="E24">
            <v>111.5625</v>
          </cell>
          <cell r="F24">
            <v>514.75155100000006</v>
          </cell>
          <cell r="H24">
            <v>48.854166666666664</v>
          </cell>
          <cell r="I24">
            <v>97.708333333333329</v>
          </cell>
          <cell r="J24">
            <v>146.5625</v>
          </cell>
          <cell r="K24">
            <v>194.91718366666666</v>
          </cell>
          <cell r="L24">
            <v>243.27186733333332</v>
          </cell>
          <cell r="M24">
            <v>291.62655100000001</v>
          </cell>
          <cell r="N24">
            <v>328.81405100000001</v>
          </cell>
          <cell r="O24">
            <v>366.00155100000001</v>
          </cell>
          <cell r="P24">
            <v>403.18905100000001</v>
          </cell>
          <cell r="Q24">
            <v>440.37655100000001</v>
          </cell>
          <cell r="R24">
            <v>477.56405100000001</v>
          </cell>
          <cell r="S24">
            <v>514.75155100000006</v>
          </cell>
        </row>
        <row r="25">
          <cell r="A25" t="str">
            <v>Communications &amp; IR</v>
          </cell>
          <cell r="B25">
            <v>442.99172700000003</v>
          </cell>
          <cell r="C25">
            <v>356.79696949999999</v>
          </cell>
          <cell r="D25">
            <v>315.79696949999999</v>
          </cell>
          <cell r="E25">
            <v>315.605592</v>
          </cell>
          <cell r="F25">
            <v>1431.1912579999998</v>
          </cell>
          <cell r="H25">
            <v>147.66390900000002</v>
          </cell>
          <cell r="I25">
            <v>295.32781800000004</v>
          </cell>
          <cell r="J25">
            <v>442.99172700000008</v>
          </cell>
          <cell r="K25">
            <v>561.9240501666668</v>
          </cell>
          <cell r="L25">
            <v>680.85637333333352</v>
          </cell>
          <cell r="M25">
            <v>799.78869650000024</v>
          </cell>
          <cell r="N25">
            <v>905.05435300000022</v>
          </cell>
          <cell r="O25">
            <v>1010.3200095000002</v>
          </cell>
          <cell r="P25">
            <v>1115.5856660000002</v>
          </cell>
          <cell r="Q25">
            <v>1220.7875300000001</v>
          </cell>
          <cell r="R25">
            <v>1325.9893940000002</v>
          </cell>
          <cell r="S25">
            <v>1431.1912580000003</v>
          </cell>
        </row>
        <row r="26">
          <cell r="A26" t="str">
            <v>Business development</v>
          </cell>
          <cell r="B26">
            <v>160.23661089524998</v>
          </cell>
          <cell r="C26">
            <v>204.83827272524999</v>
          </cell>
          <cell r="D26">
            <v>205.57582198875002</v>
          </cell>
          <cell r="E26">
            <v>304.542611867125</v>
          </cell>
          <cell r="F26">
            <v>875.19331747637511</v>
          </cell>
          <cell r="H26">
            <v>53.412203631749996</v>
          </cell>
          <cell r="I26">
            <v>106.82440726349999</v>
          </cell>
          <cell r="J26">
            <v>160.23661089524998</v>
          </cell>
          <cell r="K26">
            <v>228.51603513699996</v>
          </cell>
          <cell r="L26">
            <v>296.79545937874997</v>
          </cell>
          <cell r="M26">
            <v>365.07488362049997</v>
          </cell>
          <cell r="N26">
            <v>433.60015761674998</v>
          </cell>
          <cell r="O26">
            <v>502.12543161299999</v>
          </cell>
          <cell r="P26">
            <v>570.65070560925005</v>
          </cell>
          <cell r="Q26">
            <v>672.16490956495841</v>
          </cell>
          <cell r="R26">
            <v>773.67911352066676</v>
          </cell>
          <cell r="S26">
            <v>875.19331747637511</v>
          </cell>
        </row>
        <row r="27">
          <cell r="A27" t="str">
            <v>Other expense (income)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 xml:space="preserve">Stock-based compensation - G&amp;A </v>
          </cell>
          <cell r="B28">
            <v>100.29683082956845</v>
          </cell>
          <cell r="C28">
            <v>100.29683082956845</v>
          </cell>
          <cell r="D28">
            <v>100.29683082956845</v>
          </cell>
          <cell r="E28">
            <v>100.29683082956845</v>
          </cell>
          <cell r="F28">
            <v>401.1873233182738</v>
          </cell>
          <cell r="H28">
            <v>33.432276943189486</v>
          </cell>
          <cell r="I28">
            <v>66.864553886378971</v>
          </cell>
          <cell r="J28">
            <v>100.29683082956845</v>
          </cell>
          <cell r="K28">
            <v>133.72910777275794</v>
          </cell>
          <cell r="L28">
            <v>167.16138471594743</v>
          </cell>
          <cell r="M28">
            <v>200.59366165913693</v>
          </cell>
          <cell r="N28">
            <v>234.02593860232642</v>
          </cell>
          <cell r="O28">
            <v>267.45821554551588</v>
          </cell>
          <cell r="P28">
            <v>300.89049248870538</v>
          </cell>
          <cell r="Q28">
            <v>334.32276943189487</v>
          </cell>
          <cell r="R28">
            <v>367.75504637508436</v>
          </cell>
          <cell r="S28">
            <v>401.18732331827385</v>
          </cell>
        </row>
        <row r="29">
          <cell r="A29" t="str">
            <v>Depreciation Computers &amp; Equipment  - G&amp;A</v>
          </cell>
          <cell r="B29">
            <v>0.81334666666666666</v>
          </cell>
          <cell r="C29">
            <v>0.81334666666666666</v>
          </cell>
          <cell r="D29">
            <v>0.81334666666666666</v>
          </cell>
          <cell r="E29">
            <v>0.81334666666666666</v>
          </cell>
          <cell r="F29">
            <v>3.2533866666666666</v>
          </cell>
          <cell r="H29">
            <v>0.27111555555555555</v>
          </cell>
          <cell r="I29">
            <v>0.54223111111111111</v>
          </cell>
          <cell r="J29">
            <v>0.81334666666666666</v>
          </cell>
          <cell r="K29">
            <v>1.0844622222222222</v>
          </cell>
          <cell r="L29">
            <v>1.3555777777777778</v>
          </cell>
          <cell r="M29">
            <v>1.6266933333333333</v>
          </cell>
          <cell r="N29">
            <v>1.8978088888888889</v>
          </cell>
          <cell r="O29">
            <v>2.1689244444444444</v>
          </cell>
          <cell r="P29">
            <v>2.4400399999999998</v>
          </cell>
          <cell r="Q29">
            <v>2.7111555555555551</v>
          </cell>
          <cell r="R29">
            <v>2.9822711111111104</v>
          </cell>
          <cell r="S29">
            <v>3.2533866666666658</v>
          </cell>
        </row>
        <row r="30">
          <cell r="A30" t="str">
            <v xml:space="preserve">G&amp;A allocation </v>
          </cell>
          <cell r="B30">
            <v>-300</v>
          </cell>
          <cell r="C30">
            <v>-300</v>
          </cell>
          <cell r="D30">
            <v>-300</v>
          </cell>
          <cell r="E30">
            <v>-300</v>
          </cell>
          <cell r="F30">
            <v>-1200</v>
          </cell>
          <cell r="H30">
            <v>-100</v>
          </cell>
          <cell r="I30">
            <v>-200</v>
          </cell>
          <cell r="J30">
            <v>-300</v>
          </cell>
          <cell r="K30">
            <v>-400</v>
          </cell>
          <cell r="L30">
            <v>-500</v>
          </cell>
          <cell r="M30">
            <v>-600</v>
          </cell>
          <cell r="N30">
            <v>-700</v>
          </cell>
          <cell r="O30">
            <v>-800</v>
          </cell>
          <cell r="P30">
            <v>-900</v>
          </cell>
          <cell r="Q30">
            <v>-1000</v>
          </cell>
          <cell r="R30">
            <v>-1100</v>
          </cell>
          <cell r="S30">
            <v>-1200</v>
          </cell>
        </row>
        <row r="31">
          <cell r="A31" t="str">
            <v>Total G&amp;A expenses</v>
          </cell>
          <cell r="B31">
            <v>934.292028591085</v>
          </cell>
          <cell r="C31">
            <v>945.19147269628502</v>
          </cell>
          <cell r="D31">
            <v>811.25151415578512</v>
          </cell>
          <cell r="E31">
            <v>962.20822833017519</v>
          </cell>
          <cell r="F31">
            <v>3652.9432437733303</v>
          </cell>
          <cell r="H31">
            <v>311.43067619702833</v>
          </cell>
          <cell r="I31">
            <v>622.86135239405667</v>
          </cell>
          <cell r="J31">
            <v>934.292028591085</v>
          </cell>
          <cell r="K31">
            <v>1249.3558528231799</v>
          </cell>
          <cell r="L31">
            <v>1564.4196770552749</v>
          </cell>
          <cell r="M31">
            <v>1879.4835012873698</v>
          </cell>
          <cell r="N31">
            <v>2149.9006726726316</v>
          </cell>
          <cell r="O31">
            <v>2420.3178440578931</v>
          </cell>
          <cell r="P31">
            <v>2690.7350154431547</v>
          </cell>
          <cell r="Q31">
            <v>3011.4710915532132</v>
          </cell>
          <cell r="R31">
            <v>3332.2071676632718</v>
          </cell>
          <cell r="S31">
            <v>3652.9432437733303</v>
          </cell>
        </row>
        <row r="33">
          <cell r="A33" t="str">
            <v>Total operating expenses</v>
          </cell>
          <cell r="B33">
            <v>4956.3693467402572</v>
          </cell>
          <cell r="C33">
            <v>5394.6810415904574</v>
          </cell>
          <cell r="D33">
            <v>5096.2609675099575</v>
          </cell>
          <cell r="E33">
            <v>5419.4112210543472</v>
          </cell>
          <cell r="F33">
            <v>20866.722576895019</v>
          </cell>
          <cell r="H33">
            <v>1652.1231155800858</v>
          </cell>
          <cell r="I33">
            <v>3304.2462311601716</v>
          </cell>
          <cell r="J33">
            <v>4956.3693467402572</v>
          </cell>
          <cell r="K33">
            <v>6754.5963606037431</v>
          </cell>
          <cell r="L33">
            <v>8552.8233744672289</v>
          </cell>
          <cell r="M33">
            <v>10351.050388330714</v>
          </cell>
          <cell r="N33">
            <v>12049.804044167366</v>
          </cell>
          <cell r="O33">
            <v>13748.557700004018</v>
          </cell>
          <cell r="P33">
            <v>15447.311355840669</v>
          </cell>
          <cell r="Q33">
            <v>17253.781762858784</v>
          </cell>
          <cell r="R33">
            <v>19060.252169876898</v>
          </cell>
          <cell r="S33">
            <v>20866.722576895012</v>
          </cell>
        </row>
        <row r="35">
          <cell r="A35" t="str">
            <v>Operating Profit (Loss)</v>
          </cell>
          <cell r="B35">
            <v>-4947.7443467402572</v>
          </cell>
          <cell r="C35">
            <v>-5386.0560415904574</v>
          </cell>
          <cell r="D35">
            <v>-5087.6359675099575</v>
          </cell>
          <cell r="E35">
            <v>-5410.7862210543472</v>
          </cell>
          <cell r="F35">
            <v>-20832.222576895019</v>
          </cell>
          <cell r="H35">
            <v>-1649.2481155800858</v>
          </cell>
          <cell r="I35">
            <v>-3298.4962311601716</v>
          </cell>
          <cell r="J35">
            <v>-4947.7443467402572</v>
          </cell>
          <cell r="K35">
            <v>-6743.0963606037431</v>
          </cell>
          <cell r="L35">
            <v>-8538.4483744672289</v>
          </cell>
          <cell r="M35">
            <v>-10333.800388330714</v>
          </cell>
          <cell r="N35">
            <v>-12029.679044167366</v>
          </cell>
          <cell r="O35">
            <v>-13725.557700004018</v>
          </cell>
          <cell r="P35">
            <v>-15421.436355840669</v>
          </cell>
          <cell r="Q35">
            <v>-17225.031762858784</v>
          </cell>
          <cell r="R35">
            <v>-19028.627169876898</v>
          </cell>
          <cell r="S35">
            <v>-20832.222576895012</v>
          </cell>
        </row>
        <row r="37">
          <cell r="A37" t="str">
            <v>Interest income</v>
          </cell>
          <cell r="B37">
            <v>168</v>
          </cell>
          <cell r="C37">
            <v>149</v>
          </cell>
          <cell r="D37">
            <v>131</v>
          </cell>
          <cell r="E37">
            <v>114</v>
          </cell>
          <cell r="F37">
            <v>562</v>
          </cell>
          <cell r="H37">
            <v>56</v>
          </cell>
          <cell r="I37">
            <v>112</v>
          </cell>
          <cell r="J37">
            <v>168</v>
          </cell>
          <cell r="K37">
            <v>217.66666666666666</v>
          </cell>
          <cell r="L37">
            <v>267.33333333333331</v>
          </cell>
          <cell r="M37">
            <v>317</v>
          </cell>
          <cell r="N37">
            <v>360.66666666666669</v>
          </cell>
          <cell r="O37">
            <v>404.33333333333337</v>
          </cell>
          <cell r="P37">
            <v>448.00000000000006</v>
          </cell>
          <cell r="Q37">
            <v>486.00000000000006</v>
          </cell>
          <cell r="R37">
            <v>524</v>
          </cell>
          <cell r="S37">
            <v>562</v>
          </cell>
        </row>
        <row r="38">
          <cell r="A38" t="str">
            <v>Interest &amp; bank charges</v>
          </cell>
          <cell r="B38">
            <v>-1.2877533333333333</v>
          </cell>
          <cell r="C38">
            <v>-1.2877533333333333</v>
          </cell>
          <cell r="D38">
            <v>-1.2877533333333333</v>
          </cell>
          <cell r="E38">
            <v>-1.2877533333333333</v>
          </cell>
          <cell r="F38">
            <v>-5.1510133333333332</v>
          </cell>
          <cell r="H38">
            <v>-0.42925111111111108</v>
          </cell>
          <cell r="I38">
            <v>-0.85850222222222217</v>
          </cell>
          <cell r="J38">
            <v>-1.2877533333333333</v>
          </cell>
          <cell r="K38">
            <v>-1.7170044444444443</v>
          </cell>
          <cell r="L38">
            <v>-2.1462555555555554</v>
          </cell>
          <cell r="M38">
            <v>-2.5755066666666666</v>
          </cell>
          <cell r="N38">
            <v>-3.0047577777777779</v>
          </cell>
          <cell r="O38">
            <v>-3.4340088888888891</v>
          </cell>
          <cell r="P38">
            <v>-3.8632600000000004</v>
          </cell>
          <cell r="Q38">
            <v>-4.2925111111111116</v>
          </cell>
          <cell r="R38">
            <v>-4.7217622222222229</v>
          </cell>
          <cell r="S38">
            <v>-5.1510133333333341</v>
          </cell>
        </row>
        <row r="39">
          <cell r="A39" t="str">
            <v>Total other income (expenses)</v>
          </cell>
          <cell r="B39">
            <v>166.71224666666666</v>
          </cell>
          <cell r="C39">
            <v>147.71224666666666</v>
          </cell>
          <cell r="D39">
            <v>129.71224666666666</v>
          </cell>
          <cell r="E39">
            <v>112.71224666666667</v>
          </cell>
          <cell r="F39">
            <v>556.84898666666663</v>
          </cell>
          <cell r="H39">
            <v>55.570748888888886</v>
          </cell>
          <cell r="I39">
            <v>111.14149777777777</v>
          </cell>
          <cell r="J39">
            <v>166.71224666666666</v>
          </cell>
          <cell r="K39">
            <v>215.9496622222222</v>
          </cell>
          <cell r="L39">
            <v>265.18707777777774</v>
          </cell>
          <cell r="M39">
            <v>314.42449333333332</v>
          </cell>
          <cell r="N39">
            <v>357.66190888888889</v>
          </cell>
          <cell r="O39">
            <v>400.89932444444446</v>
          </cell>
          <cell r="P39">
            <v>444.13674000000003</v>
          </cell>
          <cell r="Q39">
            <v>481.70748888888892</v>
          </cell>
          <cell r="R39">
            <v>519.2782377777778</v>
          </cell>
          <cell r="S39">
            <v>556.84898666666675</v>
          </cell>
        </row>
        <row r="40">
          <cell r="A40" t="str">
            <v xml:space="preserve">Net Income/(Loss) </v>
          </cell>
          <cell r="B40">
            <v>-4781.0321000735903</v>
          </cell>
          <cell r="C40">
            <v>-5238.3437949237905</v>
          </cell>
          <cell r="D40">
            <v>-4957.9237208432905</v>
          </cell>
          <cell r="E40">
            <v>-5298.0739743876802</v>
          </cell>
          <cell r="F40">
            <v>-20275.373590228352</v>
          </cell>
          <cell r="H40">
            <v>-1593.677366691197</v>
          </cell>
          <cell r="I40">
            <v>-3187.354733382394</v>
          </cell>
          <cell r="J40">
            <v>-4781.0321000735903</v>
          </cell>
          <cell r="K40">
            <v>-6527.1466983815208</v>
          </cell>
          <cell r="L40">
            <v>-8273.2612966894503</v>
          </cell>
          <cell r="M40">
            <v>-10019.37589499738</v>
          </cell>
          <cell r="N40">
            <v>-11672.017135278476</v>
          </cell>
          <cell r="O40">
            <v>-13324.658375559573</v>
          </cell>
          <cell r="P40">
            <v>-14977.29961584067</v>
          </cell>
          <cell r="Q40">
            <v>-16743.324273969894</v>
          </cell>
          <cell r="R40">
            <v>-18509.348932099121</v>
          </cell>
          <cell r="S40">
            <v>-20275.373590228344</v>
          </cell>
        </row>
        <row r="41">
          <cell r="A41" t="str">
            <v>Income taxes</v>
          </cell>
          <cell r="F41">
            <v>0</v>
          </cell>
        </row>
        <row r="42">
          <cell r="A42" t="str">
            <v>Net Income/(Loss)</v>
          </cell>
          <cell r="B42">
            <v>-4781.0321000735903</v>
          </cell>
          <cell r="C42">
            <v>-5238.3437949237905</v>
          </cell>
          <cell r="D42">
            <v>-4957.9237208432905</v>
          </cell>
          <cell r="E42">
            <v>-5298.0739743876802</v>
          </cell>
          <cell r="F42">
            <v>-20275.373590228352</v>
          </cell>
          <cell r="H42">
            <v>-1593.677366691197</v>
          </cell>
          <cell r="I42">
            <v>-3187.354733382394</v>
          </cell>
          <cell r="J42">
            <v>-4781.0321000735903</v>
          </cell>
          <cell r="K42">
            <v>-6527.1466983815208</v>
          </cell>
          <cell r="L42">
            <v>-8273.2612966894503</v>
          </cell>
          <cell r="M42">
            <v>-10019.37589499738</v>
          </cell>
          <cell r="N42">
            <v>-11672.017135278476</v>
          </cell>
          <cell r="O42">
            <v>-13324.658375559573</v>
          </cell>
          <cell r="P42">
            <v>-14977.29961584067</v>
          </cell>
          <cell r="Q42">
            <v>-16743.324273969894</v>
          </cell>
          <cell r="R42">
            <v>-18509.348932099121</v>
          </cell>
          <cell r="S42">
            <v>-20275.373590228344</v>
          </cell>
        </row>
      </sheetData>
      <sheetData sheetId="11">
        <row r="1">
          <cell r="A1" t="str">
            <v>BELLUS Health Inc.</v>
          </cell>
          <cell r="P1">
            <v>43131</v>
          </cell>
          <cell r="Q1">
            <v>43159</v>
          </cell>
          <cell r="R1">
            <v>43190</v>
          </cell>
          <cell r="S1">
            <v>43220</v>
          </cell>
          <cell r="T1">
            <v>43251</v>
          </cell>
          <cell r="U1">
            <v>43281</v>
          </cell>
          <cell r="V1">
            <v>43312</v>
          </cell>
          <cell r="W1">
            <v>43343</v>
          </cell>
          <cell r="X1">
            <v>43373</v>
          </cell>
          <cell r="Y1">
            <v>43404</v>
          </cell>
          <cell r="Z1">
            <v>43434</v>
          </cell>
          <cell r="AA1">
            <v>43465</v>
          </cell>
        </row>
        <row r="2">
          <cell r="A2" t="str">
            <v xml:space="preserve">Statement of Income (Loss) 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</row>
        <row r="3">
          <cell r="A3">
            <v>2017</v>
          </cell>
          <cell r="O3" t="str">
            <v>Index</v>
          </cell>
          <cell r="P3" t="str">
            <v>YTD</v>
          </cell>
          <cell r="Q3" t="str">
            <v>YTD</v>
          </cell>
          <cell r="R3" t="str">
            <v>YTD</v>
          </cell>
          <cell r="S3" t="str">
            <v>YTD</v>
          </cell>
          <cell r="T3" t="str">
            <v>YTD</v>
          </cell>
          <cell r="U3" t="str">
            <v>YTD</v>
          </cell>
          <cell r="V3" t="str">
            <v>YTD</v>
          </cell>
          <cell r="W3" t="str">
            <v>YTD</v>
          </cell>
          <cell r="X3" t="str">
            <v>YTD</v>
          </cell>
          <cell r="Y3" t="str">
            <v>YTD</v>
          </cell>
          <cell r="Z3" t="str">
            <v>YTD</v>
          </cell>
          <cell r="AA3" t="str">
            <v>YTD</v>
          </cell>
        </row>
        <row r="5">
          <cell r="B5" t="str">
            <v xml:space="preserve">Jan </v>
          </cell>
          <cell r="C5" t="str">
            <v xml:space="preserve">Feb </v>
          </cell>
          <cell r="D5" t="str">
            <v>March</v>
          </cell>
          <cell r="E5" t="str">
            <v>April</v>
          </cell>
          <cell r="F5" t="str">
            <v>May</v>
          </cell>
          <cell r="G5" t="str">
            <v>June</v>
          </cell>
          <cell r="H5" t="str">
            <v>July</v>
          </cell>
          <cell r="I5" t="str">
            <v>August</v>
          </cell>
          <cell r="J5" t="str">
            <v>Sept</v>
          </cell>
          <cell r="K5" t="str">
            <v>Oct</v>
          </cell>
          <cell r="L5" t="str">
            <v>Nov</v>
          </cell>
          <cell r="M5" t="str">
            <v>Dec</v>
          </cell>
          <cell r="N5" t="str">
            <v>Total</v>
          </cell>
          <cell r="P5" t="str">
            <v>Jan</v>
          </cell>
          <cell r="Q5" t="str">
            <v>Feb</v>
          </cell>
          <cell r="R5" t="str">
            <v>March</v>
          </cell>
          <cell r="S5" t="str">
            <v>April</v>
          </cell>
          <cell r="T5" t="str">
            <v>May</v>
          </cell>
          <cell r="U5" t="str">
            <v>June</v>
          </cell>
          <cell r="V5" t="str">
            <v>July</v>
          </cell>
          <cell r="W5" t="str">
            <v>August</v>
          </cell>
          <cell r="X5" t="str">
            <v>Sept</v>
          </cell>
          <cell r="Y5" t="str">
            <v>Oct</v>
          </cell>
          <cell r="Z5" t="str">
            <v>Nov</v>
          </cell>
          <cell r="AA5" t="str">
            <v>Dec</v>
          </cell>
        </row>
        <row r="7">
          <cell r="K7" t="str">
            <v xml:space="preserve"> </v>
          </cell>
          <cell r="O7" t="str">
            <v>ColumnShift_VlookUp_PY_YTD_AMT</v>
          </cell>
          <cell r="P7">
            <v>2</v>
          </cell>
          <cell r="Q7">
            <v>3</v>
          </cell>
          <cell r="R7">
            <v>4</v>
          </cell>
          <cell r="S7">
            <v>5</v>
          </cell>
          <cell r="T7">
            <v>6</v>
          </cell>
          <cell r="U7">
            <v>7</v>
          </cell>
          <cell r="V7">
            <v>8</v>
          </cell>
          <cell r="W7">
            <v>9</v>
          </cell>
          <cell r="X7">
            <v>10</v>
          </cell>
          <cell r="Y7">
            <v>11</v>
          </cell>
          <cell r="Z7">
            <v>12</v>
          </cell>
          <cell r="AA7">
            <v>13</v>
          </cell>
        </row>
        <row r="8">
          <cell r="A8" t="str">
            <v>Revenue</v>
          </cell>
        </row>
        <row r="9">
          <cell r="A9" t="str">
            <v>Revenue - VIVIMIND Agreements (license of rights)</v>
          </cell>
          <cell r="B9">
            <v>2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2</v>
          </cell>
          <cell r="H9">
            <v>2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2</v>
          </cell>
          <cell r="N9">
            <v>23</v>
          </cell>
          <cell r="P9">
            <v>2</v>
          </cell>
          <cell r="Q9">
            <v>4</v>
          </cell>
          <cell r="R9">
            <v>6</v>
          </cell>
          <cell r="S9">
            <v>8</v>
          </cell>
          <cell r="T9">
            <v>9</v>
          </cell>
          <cell r="U9">
            <v>11</v>
          </cell>
          <cell r="V9">
            <v>13</v>
          </cell>
          <cell r="W9">
            <v>15</v>
          </cell>
          <cell r="X9">
            <v>17</v>
          </cell>
          <cell r="Y9">
            <v>19</v>
          </cell>
          <cell r="Z9">
            <v>21</v>
          </cell>
          <cell r="AA9">
            <v>23</v>
          </cell>
        </row>
        <row r="10">
          <cell r="A10" t="str">
            <v>Revenue - BLU8499 Agreements (license of rights)</v>
          </cell>
          <cell r="B10">
            <v>1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12</v>
          </cell>
          <cell r="P10">
            <v>1</v>
          </cell>
          <cell r="Q10">
            <v>2</v>
          </cell>
          <cell r="R10">
            <v>3</v>
          </cell>
          <cell r="S10">
            <v>4</v>
          </cell>
          <cell r="T10">
            <v>5</v>
          </cell>
          <cell r="U10">
            <v>6</v>
          </cell>
          <cell r="V10">
            <v>7</v>
          </cell>
          <cell r="W10">
            <v>8</v>
          </cell>
          <cell r="X10">
            <v>9</v>
          </cell>
          <cell r="Y10">
            <v>10</v>
          </cell>
          <cell r="Z10">
            <v>11</v>
          </cell>
          <cell r="AA10">
            <v>12</v>
          </cell>
        </row>
        <row r="11">
          <cell r="B11">
            <v>3</v>
          </cell>
          <cell r="C11">
            <v>3</v>
          </cell>
          <cell r="D11">
            <v>3</v>
          </cell>
          <cell r="E11">
            <v>3</v>
          </cell>
          <cell r="F11">
            <v>2</v>
          </cell>
          <cell r="G11">
            <v>3</v>
          </cell>
          <cell r="H11">
            <v>3</v>
          </cell>
          <cell r="I11">
            <v>3</v>
          </cell>
          <cell r="J11">
            <v>3</v>
          </cell>
          <cell r="K11">
            <v>3</v>
          </cell>
          <cell r="L11">
            <v>3</v>
          </cell>
          <cell r="M11">
            <v>3</v>
          </cell>
          <cell r="N11">
            <v>35</v>
          </cell>
          <cell r="O11" t="str">
            <v>Rev</v>
          </cell>
          <cell r="P11">
            <v>3</v>
          </cell>
          <cell r="Q11">
            <v>6</v>
          </cell>
          <cell r="R11">
            <v>9</v>
          </cell>
          <cell r="S11">
            <v>12</v>
          </cell>
          <cell r="T11">
            <v>14</v>
          </cell>
          <cell r="U11">
            <v>17</v>
          </cell>
          <cell r="V11">
            <v>20</v>
          </cell>
          <cell r="W11">
            <v>23</v>
          </cell>
          <cell r="X11">
            <v>26</v>
          </cell>
          <cell r="Y11">
            <v>29</v>
          </cell>
          <cell r="Z11">
            <v>32</v>
          </cell>
          <cell r="AA11">
            <v>35</v>
          </cell>
        </row>
        <row r="13">
          <cell r="A13" t="str">
            <v>Cash</v>
          </cell>
        </row>
        <row r="14">
          <cell r="A14" t="str">
            <v>Drug development</v>
          </cell>
          <cell r="B14">
            <v>331.5</v>
          </cell>
          <cell r="C14">
            <v>331.5</v>
          </cell>
          <cell r="D14">
            <v>417</v>
          </cell>
          <cell r="E14">
            <v>293</v>
          </cell>
          <cell r="F14">
            <v>390</v>
          </cell>
          <cell r="G14">
            <v>42</v>
          </cell>
          <cell r="H14">
            <v>489</v>
          </cell>
          <cell r="I14">
            <v>601</v>
          </cell>
          <cell r="J14">
            <v>884</v>
          </cell>
          <cell r="K14">
            <v>705.5</v>
          </cell>
          <cell r="L14">
            <v>705.5</v>
          </cell>
          <cell r="M14">
            <v>598</v>
          </cell>
          <cell r="N14">
            <v>5788</v>
          </cell>
          <cell r="P14">
            <v>331.5</v>
          </cell>
          <cell r="Q14">
            <v>663</v>
          </cell>
          <cell r="R14">
            <v>1080</v>
          </cell>
          <cell r="S14">
            <v>1373</v>
          </cell>
          <cell r="T14">
            <v>1763</v>
          </cell>
          <cell r="U14">
            <v>1805</v>
          </cell>
          <cell r="V14">
            <v>2294</v>
          </cell>
          <cell r="W14">
            <v>2895</v>
          </cell>
          <cell r="X14">
            <v>3779</v>
          </cell>
          <cell r="Y14">
            <v>4484.5</v>
          </cell>
          <cell r="Z14">
            <v>5190</v>
          </cell>
          <cell r="AA14">
            <v>5788</v>
          </cell>
        </row>
        <row r="15">
          <cell r="A15" t="str">
            <v xml:space="preserve">DSU - R&amp;D 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</row>
        <row r="16">
          <cell r="A16" t="str">
            <v>Non-cash</v>
          </cell>
          <cell r="B16">
            <v>4.5</v>
          </cell>
          <cell r="C16">
            <v>4.5</v>
          </cell>
          <cell r="D16">
            <v>12</v>
          </cell>
          <cell r="E16">
            <v>6</v>
          </cell>
          <cell r="F16">
            <v>7</v>
          </cell>
          <cell r="G16">
            <v>17</v>
          </cell>
          <cell r="H16">
            <v>10</v>
          </cell>
          <cell r="I16">
            <v>10</v>
          </cell>
          <cell r="J16">
            <v>8</v>
          </cell>
          <cell r="K16">
            <v>10</v>
          </cell>
          <cell r="L16">
            <v>10</v>
          </cell>
          <cell r="M16">
            <v>13</v>
          </cell>
          <cell r="N16">
            <v>112</v>
          </cell>
          <cell r="O16">
            <v>0</v>
          </cell>
          <cell r="P16">
            <v>4.5</v>
          </cell>
          <cell r="Q16">
            <v>9</v>
          </cell>
          <cell r="R16">
            <v>21</v>
          </cell>
          <cell r="S16">
            <v>27</v>
          </cell>
          <cell r="T16">
            <v>34</v>
          </cell>
          <cell r="U16">
            <v>51</v>
          </cell>
          <cell r="V16">
            <v>61</v>
          </cell>
          <cell r="W16">
            <v>71</v>
          </cell>
          <cell r="X16">
            <v>79</v>
          </cell>
          <cell r="Y16">
            <v>89</v>
          </cell>
          <cell r="Z16">
            <v>99</v>
          </cell>
          <cell r="AA16">
            <v>112</v>
          </cell>
        </row>
        <row r="17">
          <cell r="A17" t="str">
            <v xml:space="preserve">Stock-based compensation - R&amp;D </v>
          </cell>
          <cell r="B17">
            <v>4</v>
          </cell>
          <cell r="C17">
            <v>4</v>
          </cell>
          <cell r="D17">
            <v>12</v>
          </cell>
          <cell r="E17">
            <v>6</v>
          </cell>
          <cell r="F17">
            <v>7</v>
          </cell>
          <cell r="G17">
            <v>16</v>
          </cell>
          <cell r="H17">
            <v>10</v>
          </cell>
          <cell r="I17">
            <v>10</v>
          </cell>
          <cell r="J17">
            <v>8</v>
          </cell>
          <cell r="K17">
            <v>9.5</v>
          </cell>
          <cell r="L17">
            <v>9.5</v>
          </cell>
          <cell r="M17">
            <v>13</v>
          </cell>
          <cell r="N17">
            <v>109</v>
          </cell>
          <cell r="P17">
            <v>4</v>
          </cell>
          <cell r="Q17">
            <v>8</v>
          </cell>
          <cell r="R17">
            <v>20</v>
          </cell>
          <cell r="S17">
            <v>26</v>
          </cell>
          <cell r="T17">
            <v>33</v>
          </cell>
          <cell r="U17">
            <v>49</v>
          </cell>
          <cell r="V17">
            <v>59</v>
          </cell>
          <cell r="W17">
            <v>69</v>
          </cell>
          <cell r="X17">
            <v>77</v>
          </cell>
          <cell r="Y17">
            <v>86.5</v>
          </cell>
          <cell r="Z17">
            <v>96</v>
          </cell>
          <cell r="AA17">
            <v>109</v>
          </cell>
        </row>
        <row r="18">
          <cell r="A18" t="str">
            <v>Depreciation Computers &amp; Equipment  - R&amp;D</v>
          </cell>
          <cell r="B18">
            <v>0.5</v>
          </cell>
          <cell r="C18">
            <v>0.5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0.5</v>
          </cell>
          <cell r="L18">
            <v>0.5</v>
          </cell>
          <cell r="M18">
            <v>0</v>
          </cell>
          <cell r="N18">
            <v>3</v>
          </cell>
          <cell r="P18">
            <v>0.5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2</v>
          </cell>
          <cell r="V18">
            <v>2</v>
          </cell>
          <cell r="W18">
            <v>2</v>
          </cell>
          <cell r="X18">
            <v>2</v>
          </cell>
          <cell r="Y18">
            <v>2.5</v>
          </cell>
          <cell r="Z18">
            <v>3</v>
          </cell>
          <cell r="AA18">
            <v>3</v>
          </cell>
        </row>
        <row r="19">
          <cell r="A19" t="str">
            <v xml:space="preserve">G&amp;A allocation </v>
          </cell>
          <cell r="B19">
            <v>94.5</v>
          </cell>
          <cell r="C19">
            <v>94.5</v>
          </cell>
          <cell r="D19">
            <v>115</v>
          </cell>
          <cell r="E19">
            <v>107</v>
          </cell>
          <cell r="F19">
            <v>130</v>
          </cell>
          <cell r="G19">
            <v>5</v>
          </cell>
          <cell r="H19">
            <v>131</v>
          </cell>
          <cell r="I19">
            <v>139</v>
          </cell>
          <cell r="J19">
            <v>108</v>
          </cell>
          <cell r="K19">
            <v>151.5</v>
          </cell>
          <cell r="L19">
            <v>151.5</v>
          </cell>
          <cell r="M19">
            <v>57</v>
          </cell>
          <cell r="N19">
            <v>1284</v>
          </cell>
          <cell r="P19">
            <v>94.5</v>
          </cell>
          <cell r="Q19">
            <v>189</v>
          </cell>
          <cell r="R19">
            <v>304</v>
          </cell>
          <cell r="S19">
            <v>411</v>
          </cell>
          <cell r="T19">
            <v>541</v>
          </cell>
          <cell r="U19">
            <v>546</v>
          </cell>
          <cell r="V19">
            <v>677</v>
          </cell>
          <cell r="W19">
            <v>816</v>
          </cell>
          <cell r="X19">
            <v>924</v>
          </cell>
          <cell r="Y19">
            <v>1075.5</v>
          </cell>
          <cell r="Z19">
            <v>1227</v>
          </cell>
          <cell r="AA19">
            <v>1284</v>
          </cell>
        </row>
        <row r="20">
          <cell r="A20" t="str">
            <v>Total R&amp;D expenses</v>
          </cell>
          <cell r="B20">
            <v>430.5</v>
          </cell>
          <cell r="C20">
            <v>430.5</v>
          </cell>
          <cell r="D20">
            <v>544</v>
          </cell>
          <cell r="E20">
            <v>406</v>
          </cell>
          <cell r="F20">
            <v>527</v>
          </cell>
          <cell r="G20">
            <v>64</v>
          </cell>
          <cell r="H20">
            <v>630</v>
          </cell>
          <cell r="I20">
            <v>751</v>
          </cell>
          <cell r="J20">
            <v>1000</v>
          </cell>
          <cell r="K20">
            <v>867</v>
          </cell>
          <cell r="L20">
            <v>867</v>
          </cell>
          <cell r="M20">
            <v>668</v>
          </cell>
          <cell r="N20">
            <v>7185</v>
          </cell>
          <cell r="O20" t="str">
            <v>R&amp;D</v>
          </cell>
          <cell r="P20">
            <v>430.5</v>
          </cell>
          <cell r="Q20">
            <v>861</v>
          </cell>
          <cell r="R20">
            <v>1405</v>
          </cell>
          <cell r="S20">
            <v>1811</v>
          </cell>
          <cell r="T20">
            <v>2338</v>
          </cell>
          <cell r="U20">
            <v>2402</v>
          </cell>
          <cell r="V20">
            <v>3032</v>
          </cell>
          <cell r="W20">
            <v>3783</v>
          </cell>
          <cell r="X20">
            <v>4783</v>
          </cell>
          <cell r="Y20">
            <v>5650</v>
          </cell>
          <cell r="Z20">
            <v>6517</v>
          </cell>
          <cell r="AA20">
            <v>7185</v>
          </cell>
        </row>
        <row r="22">
          <cell r="A22" t="str">
            <v>Research tax credits &amp; grants</v>
          </cell>
          <cell r="B22">
            <v>-33</v>
          </cell>
          <cell r="C22">
            <v>-33</v>
          </cell>
          <cell r="D22">
            <v>-94</v>
          </cell>
          <cell r="E22">
            <v>-48</v>
          </cell>
          <cell r="F22">
            <v>-49</v>
          </cell>
          <cell r="G22">
            <v>-19</v>
          </cell>
          <cell r="H22">
            <v>-42</v>
          </cell>
          <cell r="I22">
            <v>-41</v>
          </cell>
          <cell r="J22">
            <v>-160</v>
          </cell>
          <cell r="K22">
            <v>-80</v>
          </cell>
          <cell r="L22">
            <v>-80</v>
          </cell>
          <cell r="M22">
            <v>26</v>
          </cell>
          <cell r="N22">
            <v>-653</v>
          </cell>
          <cell r="O22" t="str">
            <v>ITC</v>
          </cell>
          <cell r="P22">
            <v>-33</v>
          </cell>
          <cell r="Q22">
            <v>-66</v>
          </cell>
          <cell r="R22">
            <v>-160</v>
          </cell>
          <cell r="S22">
            <v>-208</v>
          </cell>
          <cell r="T22">
            <v>-257</v>
          </cell>
          <cell r="U22">
            <v>-276</v>
          </cell>
          <cell r="V22">
            <v>-318</v>
          </cell>
          <cell r="W22">
            <v>-359</v>
          </cell>
          <cell r="X22">
            <v>-519</v>
          </cell>
          <cell r="Y22">
            <v>-599</v>
          </cell>
          <cell r="Z22">
            <v>-679</v>
          </cell>
          <cell r="AA22">
            <v>-653</v>
          </cell>
        </row>
        <row r="23">
          <cell r="A23" t="str">
            <v>Total net R&amp;D expenses</v>
          </cell>
          <cell r="B23">
            <v>397.5</v>
          </cell>
          <cell r="C23">
            <v>397.5</v>
          </cell>
          <cell r="D23">
            <v>450</v>
          </cell>
          <cell r="E23">
            <v>358</v>
          </cell>
          <cell r="F23">
            <v>478</v>
          </cell>
          <cell r="G23">
            <v>45</v>
          </cell>
          <cell r="H23">
            <v>588</v>
          </cell>
          <cell r="I23">
            <v>710</v>
          </cell>
          <cell r="J23">
            <v>840</v>
          </cell>
          <cell r="K23">
            <v>787</v>
          </cell>
          <cell r="L23">
            <v>787</v>
          </cell>
          <cell r="M23">
            <v>694</v>
          </cell>
          <cell r="N23">
            <v>6532</v>
          </cell>
          <cell r="P23">
            <v>397.5</v>
          </cell>
          <cell r="Q23">
            <v>795</v>
          </cell>
          <cell r="R23">
            <v>1245</v>
          </cell>
          <cell r="S23">
            <v>1603</v>
          </cell>
          <cell r="T23">
            <v>2081</v>
          </cell>
          <cell r="U23">
            <v>2126</v>
          </cell>
          <cell r="V23">
            <v>2714</v>
          </cell>
          <cell r="W23">
            <v>3424</v>
          </cell>
          <cell r="X23">
            <v>4264</v>
          </cell>
          <cell r="Y23">
            <v>5051</v>
          </cell>
          <cell r="Z23">
            <v>5838</v>
          </cell>
          <cell r="AA23">
            <v>6532</v>
          </cell>
        </row>
        <row r="25">
          <cell r="A25" t="str">
            <v>Cash</v>
          </cell>
        </row>
        <row r="26">
          <cell r="A26" t="str">
            <v>Finance / Admin / IT</v>
          </cell>
          <cell r="B26">
            <v>74.736000000000004</v>
          </cell>
          <cell r="C26">
            <v>74.736000000000004</v>
          </cell>
          <cell r="D26">
            <v>77.328000000000003</v>
          </cell>
          <cell r="E26">
            <v>60.351999999999975</v>
          </cell>
          <cell r="F26">
            <v>72.413999999999987</v>
          </cell>
          <cell r="G26">
            <v>72.991000000000042</v>
          </cell>
          <cell r="H26">
            <v>77.171999999999969</v>
          </cell>
          <cell r="I26">
            <v>71.727000000000032</v>
          </cell>
          <cell r="J26">
            <v>67.456999999999994</v>
          </cell>
          <cell r="K26">
            <v>81.730000000000018</v>
          </cell>
          <cell r="L26">
            <v>81.730000000000018</v>
          </cell>
          <cell r="M26">
            <v>94.626999999999953</v>
          </cell>
          <cell r="N26">
            <v>907</v>
          </cell>
          <cell r="P26">
            <v>74.736000000000004</v>
          </cell>
          <cell r="Q26">
            <v>149.47200000000001</v>
          </cell>
          <cell r="R26">
            <v>226.8</v>
          </cell>
          <cell r="S26">
            <v>287.15199999999999</v>
          </cell>
          <cell r="T26">
            <v>359.56599999999997</v>
          </cell>
          <cell r="U26">
            <v>432.55700000000002</v>
          </cell>
          <cell r="V26">
            <v>509.72899999999998</v>
          </cell>
          <cell r="W26">
            <v>581.45600000000002</v>
          </cell>
          <cell r="X26">
            <v>648.91300000000001</v>
          </cell>
          <cell r="Y26">
            <v>730.64300000000003</v>
          </cell>
          <cell r="Z26">
            <v>812.37300000000005</v>
          </cell>
          <cell r="AA26">
            <v>907</v>
          </cell>
        </row>
        <row r="27">
          <cell r="A27" t="str">
            <v>Board</v>
          </cell>
          <cell r="B27">
            <v>115</v>
          </cell>
          <cell r="C27">
            <v>115</v>
          </cell>
          <cell r="D27">
            <v>101</v>
          </cell>
          <cell r="E27">
            <v>100</v>
          </cell>
          <cell r="F27">
            <v>131</v>
          </cell>
          <cell r="G27">
            <v>124</v>
          </cell>
          <cell r="H27">
            <v>102</v>
          </cell>
          <cell r="I27">
            <v>98</v>
          </cell>
          <cell r="J27">
            <v>116</v>
          </cell>
          <cell r="K27">
            <v>97.5</v>
          </cell>
          <cell r="L27">
            <v>97.5</v>
          </cell>
          <cell r="M27">
            <v>179</v>
          </cell>
          <cell r="N27">
            <v>1376</v>
          </cell>
          <cell r="P27">
            <v>115</v>
          </cell>
          <cell r="Q27">
            <v>230</v>
          </cell>
          <cell r="R27">
            <v>331</v>
          </cell>
          <cell r="S27">
            <v>431</v>
          </cell>
          <cell r="T27">
            <v>562</v>
          </cell>
          <cell r="U27">
            <v>686</v>
          </cell>
          <cell r="V27">
            <v>788</v>
          </cell>
          <cell r="W27">
            <v>886</v>
          </cell>
          <cell r="X27">
            <v>1002</v>
          </cell>
          <cell r="Y27">
            <v>1099.5</v>
          </cell>
          <cell r="Z27">
            <v>1197</v>
          </cell>
          <cell r="AA27">
            <v>1376</v>
          </cell>
        </row>
        <row r="28">
          <cell r="A28" t="str">
            <v>Legal &amp; IP</v>
          </cell>
          <cell r="B28">
            <v>29.5</v>
          </cell>
          <cell r="C28">
            <v>29.5</v>
          </cell>
          <cell r="D28">
            <v>57</v>
          </cell>
          <cell r="E28">
            <v>41</v>
          </cell>
          <cell r="F28">
            <v>21</v>
          </cell>
          <cell r="G28">
            <v>13</v>
          </cell>
          <cell r="H28">
            <v>16</v>
          </cell>
          <cell r="I28">
            <v>11</v>
          </cell>
          <cell r="J28">
            <v>43</v>
          </cell>
          <cell r="K28">
            <v>46.5</v>
          </cell>
          <cell r="L28">
            <v>46.5</v>
          </cell>
          <cell r="M28">
            <v>94</v>
          </cell>
          <cell r="N28">
            <v>448</v>
          </cell>
          <cell r="P28">
            <v>29.5</v>
          </cell>
          <cell r="Q28">
            <v>59</v>
          </cell>
          <cell r="R28">
            <v>116</v>
          </cell>
          <cell r="S28">
            <v>157</v>
          </cell>
          <cell r="T28">
            <v>178</v>
          </cell>
          <cell r="U28">
            <v>191</v>
          </cell>
          <cell r="V28">
            <v>207</v>
          </cell>
          <cell r="W28">
            <v>218</v>
          </cell>
          <cell r="X28">
            <v>261</v>
          </cell>
          <cell r="Y28">
            <v>307.5</v>
          </cell>
          <cell r="Z28">
            <v>354</v>
          </cell>
          <cell r="AA28">
            <v>448</v>
          </cell>
        </row>
        <row r="29">
          <cell r="A29" t="str">
            <v>Communications &amp; IR</v>
          </cell>
          <cell r="B29">
            <v>16.5</v>
          </cell>
          <cell r="C29">
            <v>16.5</v>
          </cell>
          <cell r="D29">
            <v>21</v>
          </cell>
          <cell r="E29">
            <v>36</v>
          </cell>
          <cell r="F29">
            <v>18</v>
          </cell>
          <cell r="G29">
            <v>32</v>
          </cell>
          <cell r="H29">
            <v>25</v>
          </cell>
          <cell r="I29">
            <v>26</v>
          </cell>
          <cell r="J29">
            <v>27</v>
          </cell>
          <cell r="K29">
            <v>47.5</v>
          </cell>
          <cell r="L29">
            <v>47.5</v>
          </cell>
          <cell r="M29">
            <v>44</v>
          </cell>
          <cell r="N29">
            <v>357</v>
          </cell>
          <cell r="P29">
            <v>16.5</v>
          </cell>
          <cell r="Q29">
            <v>33</v>
          </cell>
          <cell r="R29">
            <v>54</v>
          </cell>
          <cell r="S29">
            <v>90</v>
          </cell>
          <cell r="T29">
            <v>108</v>
          </cell>
          <cell r="U29">
            <v>140</v>
          </cell>
          <cell r="V29">
            <v>165</v>
          </cell>
          <cell r="W29">
            <v>191</v>
          </cell>
          <cell r="X29">
            <v>218</v>
          </cell>
          <cell r="Y29">
            <v>265.5</v>
          </cell>
          <cell r="Z29">
            <v>313</v>
          </cell>
          <cell r="AA29">
            <v>357</v>
          </cell>
        </row>
        <row r="30">
          <cell r="A30" t="str">
            <v>Business development</v>
          </cell>
          <cell r="B30">
            <v>34</v>
          </cell>
          <cell r="C30">
            <v>34</v>
          </cell>
          <cell r="D30">
            <v>35</v>
          </cell>
          <cell r="E30">
            <v>31</v>
          </cell>
          <cell r="F30">
            <v>35</v>
          </cell>
          <cell r="G30">
            <v>36</v>
          </cell>
          <cell r="H30">
            <v>37</v>
          </cell>
          <cell r="I30">
            <v>36</v>
          </cell>
          <cell r="J30">
            <v>33</v>
          </cell>
          <cell r="K30">
            <v>83</v>
          </cell>
          <cell r="L30">
            <v>83</v>
          </cell>
          <cell r="M30">
            <v>24</v>
          </cell>
          <cell r="N30">
            <v>501</v>
          </cell>
          <cell r="P30">
            <v>34</v>
          </cell>
          <cell r="Q30">
            <v>68</v>
          </cell>
          <cell r="R30">
            <v>103</v>
          </cell>
          <cell r="S30">
            <v>134</v>
          </cell>
          <cell r="T30">
            <v>169</v>
          </cell>
          <cell r="U30">
            <v>205</v>
          </cell>
          <cell r="V30">
            <v>242</v>
          </cell>
          <cell r="W30">
            <v>278</v>
          </cell>
          <cell r="X30">
            <v>311</v>
          </cell>
          <cell r="Y30">
            <v>394</v>
          </cell>
          <cell r="Z30">
            <v>477</v>
          </cell>
          <cell r="AA30">
            <v>501</v>
          </cell>
        </row>
        <row r="31">
          <cell r="A31" t="str">
            <v>Other expense (income)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 t="str">
            <v xml:space="preserve">DSU - G&amp;A </v>
          </cell>
          <cell r="B32">
            <v>4.5</v>
          </cell>
          <cell r="C32">
            <v>4.5</v>
          </cell>
          <cell r="D32">
            <v>57</v>
          </cell>
          <cell r="E32">
            <v>22</v>
          </cell>
          <cell r="F32">
            <v>184</v>
          </cell>
          <cell r="G32">
            <v>-13</v>
          </cell>
          <cell r="H32">
            <v>32</v>
          </cell>
          <cell r="I32">
            <v>254</v>
          </cell>
          <cell r="J32">
            <v>35</v>
          </cell>
          <cell r="K32">
            <v>-29</v>
          </cell>
          <cell r="L32">
            <v>-29</v>
          </cell>
          <cell r="M32">
            <v>-11</v>
          </cell>
          <cell r="N32">
            <v>511</v>
          </cell>
          <cell r="P32">
            <v>4.5</v>
          </cell>
          <cell r="Q32">
            <v>9</v>
          </cell>
          <cell r="R32">
            <v>66</v>
          </cell>
          <cell r="S32">
            <v>88</v>
          </cell>
          <cell r="T32">
            <v>272</v>
          </cell>
          <cell r="U32">
            <v>259</v>
          </cell>
          <cell r="V32">
            <v>291</v>
          </cell>
          <cell r="W32">
            <v>545</v>
          </cell>
          <cell r="X32">
            <v>580</v>
          </cell>
          <cell r="Y32">
            <v>551</v>
          </cell>
          <cell r="Z32">
            <v>522</v>
          </cell>
          <cell r="AA32">
            <v>511</v>
          </cell>
        </row>
        <row r="33">
          <cell r="A33" t="str">
            <v xml:space="preserve">Non-cash </v>
          </cell>
          <cell r="B33">
            <v>21.5</v>
          </cell>
          <cell r="C33">
            <v>21.5</v>
          </cell>
          <cell r="D33">
            <v>68</v>
          </cell>
          <cell r="E33">
            <v>37</v>
          </cell>
          <cell r="F33">
            <v>37</v>
          </cell>
          <cell r="G33">
            <v>97</v>
          </cell>
          <cell r="H33">
            <v>56</v>
          </cell>
          <cell r="I33">
            <v>57</v>
          </cell>
          <cell r="J33">
            <v>46</v>
          </cell>
          <cell r="K33">
            <v>51</v>
          </cell>
          <cell r="L33">
            <v>51</v>
          </cell>
          <cell r="M33">
            <v>50</v>
          </cell>
          <cell r="N33">
            <v>593</v>
          </cell>
          <cell r="P33">
            <v>21.5</v>
          </cell>
          <cell r="Q33">
            <v>43</v>
          </cell>
          <cell r="R33">
            <v>111</v>
          </cell>
          <cell r="S33">
            <v>148</v>
          </cell>
          <cell r="T33">
            <v>185</v>
          </cell>
          <cell r="U33">
            <v>282</v>
          </cell>
          <cell r="V33">
            <v>338</v>
          </cell>
          <cell r="W33">
            <v>395</v>
          </cell>
          <cell r="X33">
            <v>441</v>
          </cell>
          <cell r="Y33">
            <v>492</v>
          </cell>
          <cell r="Z33">
            <v>543</v>
          </cell>
          <cell r="AA33">
            <v>593</v>
          </cell>
        </row>
        <row r="34">
          <cell r="A34" t="str">
            <v xml:space="preserve">Stock-based compensation - G&amp;A </v>
          </cell>
          <cell r="B34">
            <v>21</v>
          </cell>
          <cell r="C34">
            <v>21</v>
          </cell>
          <cell r="D34">
            <v>68</v>
          </cell>
          <cell r="E34">
            <v>37</v>
          </cell>
          <cell r="F34">
            <v>37</v>
          </cell>
          <cell r="G34">
            <v>96</v>
          </cell>
          <cell r="H34">
            <v>56</v>
          </cell>
          <cell r="I34">
            <v>57</v>
          </cell>
          <cell r="J34">
            <v>46</v>
          </cell>
          <cell r="K34">
            <v>50.5</v>
          </cell>
          <cell r="L34">
            <v>50.5</v>
          </cell>
          <cell r="M34">
            <v>50</v>
          </cell>
          <cell r="N34">
            <v>590</v>
          </cell>
          <cell r="P34">
            <v>21</v>
          </cell>
          <cell r="Q34">
            <v>42</v>
          </cell>
          <cell r="R34">
            <v>110</v>
          </cell>
          <cell r="S34">
            <v>147</v>
          </cell>
          <cell r="T34">
            <v>184</v>
          </cell>
          <cell r="U34">
            <v>280</v>
          </cell>
          <cell r="V34">
            <v>336</v>
          </cell>
          <cell r="W34">
            <v>393</v>
          </cell>
          <cell r="X34">
            <v>439</v>
          </cell>
          <cell r="Y34">
            <v>489.5</v>
          </cell>
          <cell r="Z34">
            <v>540</v>
          </cell>
          <cell r="AA34">
            <v>590</v>
          </cell>
        </row>
        <row r="35">
          <cell r="A35" t="str">
            <v>Depreciation Computers &amp; Equipment  - G&amp;A</v>
          </cell>
          <cell r="B35">
            <v>0.5</v>
          </cell>
          <cell r="C35">
            <v>0.5</v>
          </cell>
          <cell r="D35">
            <v>0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0.5</v>
          </cell>
          <cell r="L35">
            <v>0.5</v>
          </cell>
          <cell r="M35">
            <v>0</v>
          </cell>
          <cell r="N35">
            <v>3</v>
          </cell>
          <cell r="P35">
            <v>0.5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2</v>
          </cell>
          <cell r="V35">
            <v>2</v>
          </cell>
          <cell r="W35">
            <v>2</v>
          </cell>
          <cell r="X35">
            <v>2</v>
          </cell>
          <cell r="Y35">
            <v>2.5</v>
          </cell>
          <cell r="Z35">
            <v>3</v>
          </cell>
          <cell r="AA35">
            <v>3</v>
          </cell>
        </row>
        <row r="36">
          <cell r="A36" t="str">
            <v xml:space="preserve">G&amp;A allocation </v>
          </cell>
          <cell r="B36">
            <v>-94.5</v>
          </cell>
          <cell r="C36">
            <v>-94.5</v>
          </cell>
          <cell r="D36">
            <v>-115</v>
          </cell>
          <cell r="E36">
            <v>-107</v>
          </cell>
          <cell r="F36">
            <v>-130</v>
          </cell>
          <cell r="G36">
            <v>-5</v>
          </cell>
          <cell r="H36">
            <v>-131</v>
          </cell>
          <cell r="I36">
            <v>-139</v>
          </cell>
          <cell r="J36">
            <v>-108</v>
          </cell>
          <cell r="K36">
            <v>-151.5</v>
          </cell>
          <cell r="L36">
            <v>-151.5</v>
          </cell>
          <cell r="M36">
            <v>-57</v>
          </cell>
          <cell r="N36">
            <v>-1284</v>
          </cell>
          <cell r="P36">
            <v>-94.5</v>
          </cell>
          <cell r="Q36">
            <v>-189</v>
          </cell>
          <cell r="R36">
            <v>-304</v>
          </cell>
          <cell r="S36">
            <v>-411</v>
          </cell>
          <cell r="T36">
            <v>-541</v>
          </cell>
          <cell r="U36">
            <v>-546</v>
          </cell>
          <cell r="V36">
            <v>-677</v>
          </cell>
          <cell r="W36">
            <v>-816</v>
          </cell>
          <cell r="X36">
            <v>-924</v>
          </cell>
          <cell r="Y36">
            <v>-1075.5</v>
          </cell>
          <cell r="Z36">
            <v>-1227</v>
          </cell>
          <cell r="AA36">
            <v>-1284</v>
          </cell>
        </row>
        <row r="37">
          <cell r="A37" t="str">
            <v>Total G&amp;A expenses</v>
          </cell>
          <cell r="B37">
            <v>201.23599999999999</v>
          </cell>
          <cell r="C37">
            <v>201.23599999999999</v>
          </cell>
          <cell r="D37">
            <v>301.32799999999997</v>
          </cell>
          <cell r="E37">
            <v>220.35199999999998</v>
          </cell>
          <cell r="F37">
            <v>368.41399999999999</v>
          </cell>
          <cell r="G37">
            <v>356.99100000000004</v>
          </cell>
          <cell r="H37">
            <v>214.17199999999997</v>
          </cell>
          <cell r="I37">
            <v>414.72700000000009</v>
          </cell>
          <cell r="J37">
            <v>259.45699999999999</v>
          </cell>
          <cell r="K37">
            <v>226.73000000000002</v>
          </cell>
          <cell r="L37">
            <v>226.73000000000002</v>
          </cell>
          <cell r="M37">
            <v>417.62699999999995</v>
          </cell>
          <cell r="N37">
            <v>3409</v>
          </cell>
          <cell r="O37" t="str">
            <v>G&amp;A</v>
          </cell>
          <cell r="P37">
            <v>201.23599999999999</v>
          </cell>
          <cell r="Q37">
            <v>402.47199999999998</v>
          </cell>
          <cell r="R37">
            <v>703.8</v>
          </cell>
          <cell r="S37">
            <v>924.15200000000004</v>
          </cell>
          <cell r="T37">
            <v>1292.566</v>
          </cell>
          <cell r="U37">
            <v>1649.5569999999998</v>
          </cell>
          <cell r="V37">
            <v>1863.7290000000003</v>
          </cell>
          <cell r="W37">
            <v>2278.4560000000001</v>
          </cell>
          <cell r="X37">
            <v>2537.913</v>
          </cell>
          <cell r="Y37">
            <v>2764.643</v>
          </cell>
          <cell r="Z37">
            <v>2991.3729999999996</v>
          </cell>
          <cell r="AA37">
            <v>3409</v>
          </cell>
        </row>
        <row r="38">
          <cell r="Y38">
            <v>0</v>
          </cell>
        </row>
        <row r="39">
          <cell r="A39" t="str">
            <v>Total operating expenses</v>
          </cell>
          <cell r="B39">
            <v>598.73599999999999</v>
          </cell>
          <cell r="C39">
            <v>598.73599999999999</v>
          </cell>
          <cell r="D39">
            <v>751.32799999999997</v>
          </cell>
          <cell r="E39">
            <v>578.35199999999998</v>
          </cell>
          <cell r="F39">
            <v>846.41399999999999</v>
          </cell>
          <cell r="G39">
            <v>401.99100000000004</v>
          </cell>
          <cell r="H39">
            <v>802.17200000000003</v>
          </cell>
          <cell r="I39">
            <v>1124.7270000000001</v>
          </cell>
          <cell r="J39">
            <v>1099.4569999999999</v>
          </cell>
          <cell r="K39">
            <v>1013.73</v>
          </cell>
          <cell r="L39">
            <v>1013.73</v>
          </cell>
          <cell r="M39">
            <v>1111.627</v>
          </cell>
          <cell r="N39">
            <v>9941</v>
          </cell>
          <cell r="P39">
            <v>598.73599999999999</v>
          </cell>
          <cell r="Q39">
            <v>1197.472</v>
          </cell>
          <cell r="R39">
            <v>1948.8</v>
          </cell>
          <cell r="S39">
            <v>2527.152</v>
          </cell>
          <cell r="T39">
            <v>3373.5659999999998</v>
          </cell>
          <cell r="U39">
            <v>3775.5569999999998</v>
          </cell>
          <cell r="V39">
            <v>4577.7290000000003</v>
          </cell>
          <cell r="W39">
            <v>5702.4560000000001</v>
          </cell>
          <cell r="X39">
            <v>6801.9130000000005</v>
          </cell>
          <cell r="Y39">
            <v>7815.643</v>
          </cell>
          <cell r="Z39">
            <v>8829.3729999999996</v>
          </cell>
          <cell r="AA39">
            <v>9941</v>
          </cell>
        </row>
        <row r="41">
          <cell r="A41" t="str">
            <v>Operating Profit (Loss)</v>
          </cell>
          <cell r="B41">
            <v>-595.73599999999999</v>
          </cell>
          <cell r="C41">
            <v>-595.73599999999999</v>
          </cell>
          <cell r="D41">
            <v>-748.32799999999997</v>
          </cell>
          <cell r="E41">
            <v>-575.35199999999998</v>
          </cell>
          <cell r="F41">
            <v>-844.41399999999999</v>
          </cell>
          <cell r="G41">
            <v>-398.99100000000004</v>
          </cell>
          <cell r="H41">
            <v>-799.17200000000003</v>
          </cell>
          <cell r="I41">
            <v>-1121.7270000000001</v>
          </cell>
          <cell r="J41">
            <v>-1096.4569999999999</v>
          </cell>
          <cell r="K41">
            <v>-1010.73</v>
          </cell>
          <cell r="L41">
            <v>-1010.73</v>
          </cell>
          <cell r="M41">
            <v>-1108.627</v>
          </cell>
          <cell r="N41">
            <v>-9906</v>
          </cell>
          <cell r="P41">
            <v>-595.73599999999999</v>
          </cell>
          <cell r="Q41">
            <v>-1191.472</v>
          </cell>
          <cell r="R41">
            <v>-1939.8</v>
          </cell>
          <cell r="S41">
            <v>-2515.152</v>
          </cell>
          <cell r="T41">
            <v>-3359.5659999999998</v>
          </cell>
          <cell r="U41">
            <v>-3758.5569999999998</v>
          </cell>
          <cell r="V41">
            <v>-4557.7290000000003</v>
          </cell>
          <cell r="W41">
            <v>-5679.4560000000001</v>
          </cell>
          <cell r="X41">
            <v>-6775.9130000000005</v>
          </cell>
          <cell r="Y41">
            <v>-7786.643</v>
          </cell>
          <cell r="Z41">
            <v>-8797.3729999999996</v>
          </cell>
          <cell r="AA41">
            <v>-9906</v>
          </cell>
        </row>
        <row r="43">
          <cell r="A43" t="str">
            <v>Interest income</v>
          </cell>
          <cell r="B43">
            <v>29</v>
          </cell>
          <cell r="C43">
            <v>29</v>
          </cell>
          <cell r="D43">
            <v>29</v>
          </cell>
          <cell r="E43">
            <v>28</v>
          </cell>
          <cell r="F43">
            <v>28</v>
          </cell>
          <cell r="G43">
            <v>27</v>
          </cell>
          <cell r="H43">
            <v>26</v>
          </cell>
          <cell r="I43">
            <v>29</v>
          </cell>
          <cell r="J43">
            <v>25</v>
          </cell>
          <cell r="K43">
            <v>26.5</v>
          </cell>
          <cell r="L43">
            <v>26.5</v>
          </cell>
          <cell r="M43">
            <v>59</v>
          </cell>
          <cell r="N43">
            <v>362</v>
          </cell>
          <cell r="P43">
            <v>29</v>
          </cell>
          <cell r="Q43">
            <v>58</v>
          </cell>
          <cell r="R43">
            <v>87</v>
          </cell>
          <cell r="S43">
            <v>115</v>
          </cell>
          <cell r="T43">
            <v>143</v>
          </cell>
          <cell r="U43">
            <v>170</v>
          </cell>
          <cell r="V43">
            <v>196</v>
          </cell>
          <cell r="W43">
            <v>225</v>
          </cell>
          <cell r="X43">
            <v>250</v>
          </cell>
          <cell r="Y43">
            <v>276.5</v>
          </cell>
          <cell r="Z43">
            <v>303</v>
          </cell>
          <cell r="AA43">
            <v>362</v>
          </cell>
        </row>
        <row r="44">
          <cell r="A44" t="str">
            <v>Interest &amp; bank charges</v>
          </cell>
          <cell r="B44">
            <v>-0.5</v>
          </cell>
          <cell r="C44">
            <v>-0.5</v>
          </cell>
          <cell r="D44">
            <v>-1</v>
          </cell>
          <cell r="E44">
            <v>0</v>
          </cell>
          <cell r="F44">
            <v>-1</v>
          </cell>
          <cell r="G44">
            <v>0</v>
          </cell>
          <cell r="H44">
            <v>0</v>
          </cell>
          <cell r="I44">
            <v>-1</v>
          </cell>
          <cell r="J44">
            <v>0</v>
          </cell>
          <cell r="K44">
            <v>-0.5</v>
          </cell>
          <cell r="L44">
            <v>-0.5</v>
          </cell>
          <cell r="M44">
            <v>0</v>
          </cell>
          <cell r="N44">
            <v>-5</v>
          </cell>
          <cell r="P44">
            <v>-0.5</v>
          </cell>
          <cell r="Q44">
            <v>-1</v>
          </cell>
          <cell r="R44">
            <v>-2</v>
          </cell>
          <cell r="S44">
            <v>-2</v>
          </cell>
          <cell r="T44">
            <v>-3</v>
          </cell>
          <cell r="U44">
            <v>-3</v>
          </cell>
          <cell r="V44">
            <v>-3</v>
          </cell>
          <cell r="W44">
            <v>-4</v>
          </cell>
          <cell r="X44">
            <v>-4</v>
          </cell>
          <cell r="Y44">
            <v>-4.5</v>
          </cell>
          <cell r="Z44">
            <v>-5</v>
          </cell>
          <cell r="AA44">
            <v>-5</v>
          </cell>
        </row>
        <row r="45">
          <cell r="A45" t="str">
            <v>Foreign exchange gain (loss) - Realized</v>
          </cell>
          <cell r="B45">
            <v>-8.5</v>
          </cell>
          <cell r="C45">
            <v>-8.5</v>
          </cell>
          <cell r="D45">
            <v>16</v>
          </cell>
          <cell r="E45">
            <v>0</v>
          </cell>
          <cell r="F45">
            <v>0</v>
          </cell>
          <cell r="G45">
            <v>-2</v>
          </cell>
          <cell r="H45">
            <v>0</v>
          </cell>
          <cell r="I45">
            <v>0</v>
          </cell>
          <cell r="J45">
            <v>-10</v>
          </cell>
          <cell r="K45">
            <v>0</v>
          </cell>
          <cell r="L45">
            <v>0</v>
          </cell>
          <cell r="M45">
            <v>55</v>
          </cell>
          <cell r="N45">
            <v>42</v>
          </cell>
          <cell r="P45">
            <v>-8.5</v>
          </cell>
          <cell r="Q45">
            <v>-17</v>
          </cell>
          <cell r="R45">
            <v>-1</v>
          </cell>
          <cell r="S45">
            <v>-1</v>
          </cell>
          <cell r="T45">
            <v>-1</v>
          </cell>
          <cell r="U45">
            <v>-3</v>
          </cell>
          <cell r="V45">
            <v>-3</v>
          </cell>
          <cell r="W45">
            <v>-3</v>
          </cell>
          <cell r="X45">
            <v>-13</v>
          </cell>
          <cell r="Y45">
            <v>-13</v>
          </cell>
          <cell r="Z45">
            <v>-13</v>
          </cell>
          <cell r="AA45">
            <v>42</v>
          </cell>
        </row>
        <row r="46">
          <cell r="A46" t="str">
            <v>Foreign exchange gain (loss) - Unrealized</v>
          </cell>
          <cell r="B46">
            <v>13</v>
          </cell>
          <cell r="C46">
            <v>13</v>
          </cell>
          <cell r="D46">
            <v>-13</v>
          </cell>
          <cell r="E46">
            <v>0</v>
          </cell>
          <cell r="F46">
            <v>-1</v>
          </cell>
          <cell r="G46">
            <v>5</v>
          </cell>
          <cell r="H46">
            <v>-5</v>
          </cell>
          <cell r="I46">
            <v>4</v>
          </cell>
          <cell r="J46">
            <v>-8</v>
          </cell>
          <cell r="K46">
            <v>21</v>
          </cell>
          <cell r="L46">
            <v>21</v>
          </cell>
          <cell r="M46">
            <v>292</v>
          </cell>
          <cell r="N46">
            <v>342</v>
          </cell>
          <cell r="P46">
            <v>13</v>
          </cell>
          <cell r="Q46">
            <v>26</v>
          </cell>
          <cell r="R46">
            <v>13</v>
          </cell>
          <cell r="S46">
            <v>13</v>
          </cell>
          <cell r="T46">
            <v>12</v>
          </cell>
          <cell r="U46">
            <v>17</v>
          </cell>
          <cell r="V46">
            <v>12</v>
          </cell>
          <cell r="W46">
            <v>16</v>
          </cell>
          <cell r="X46">
            <v>8</v>
          </cell>
          <cell r="Y46">
            <v>29</v>
          </cell>
          <cell r="Z46">
            <v>50</v>
          </cell>
          <cell r="AA46">
            <v>342</v>
          </cell>
        </row>
        <row r="47">
          <cell r="A47" t="str">
            <v>Total finance income (costs)</v>
          </cell>
          <cell r="B47">
            <v>33</v>
          </cell>
          <cell r="C47">
            <v>33</v>
          </cell>
          <cell r="D47">
            <v>31</v>
          </cell>
          <cell r="E47">
            <v>28</v>
          </cell>
          <cell r="F47">
            <v>26</v>
          </cell>
          <cell r="G47">
            <v>30</v>
          </cell>
          <cell r="H47">
            <v>21</v>
          </cell>
          <cell r="I47">
            <v>32</v>
          </cell>
          <cell r="J47">
            <v>7</v>
          </cell>
          <cell r="K47">
            <v>47</v>
          </cell>
          <cell r="L47">
            <v>47</v>
          </cell>
          <cell r="M47">
            <v>406</v>
          </cell>
          <cell r="N47">
            <v>741</v>
          </cell>
          <cell r="P47">
            <v>33</v>
          </cell>
          <cell r="Q47">
            <v>66</v>
          </cell>
          <cell r="R47">
            <v>97</v>
          </cell>
          <cell r="S47">
            <v>125</v>
          </cell>
          <cell r="T47">
            <v>151</v>
          </cell>
          <cell r="U47">
            <v>181</v>
          </cell>
          <cell r="V47">
            <v>202</v>
          </cell>
          <cell r="W47">
            <v>234</v>
          </cell>
          <cell r="X47">
            <v>241</v>
          </cell>
          <cell r="Y47">
            <v>288</v>
          </cell>
          <cell r="Z47">
            <v>335</v>
          </cell>
          <cell r="AA47">
            <v>741</v>
          </cell>
        </row>
        <row r="49">
          <cell r="A49" t="str">
            <v>Change in FV of contingent consideration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171</v>
          </cell>
          <cell r="H49">
            <v>0</v>
          </cell>
          <cell r="I49">
            <v>0</v>
          </cell>
          <cell r="J49">
            <v>-90</v>
          </cell>
          <cell r="K49">
            <v>0</v>
          </cell>
          <cell r="L49">
            <v>0</v>
          </cell>
          <cell r="M49">
            <v>0</v>
          </cell>
          <cell r="N49">
            <v>81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171</v>
          </cell>
          <cell r="V49">
            <v>171</v>
          </cell>
          <cell r="W49">
            <v>171</v>
          </cell>
          <cell r="X49">
            <v>81</v>
          </cell>
          <cell r="Y49">
            <v>81</v>
          </cell>
          <cell r="Z49">
            <v>81</v>
          </cell>
          <cell r="AA49">
            <v>81</v>
          </cell>
        </row>
        <row r="50">
          <cell r="A50" t="str">
            <v>(Loss) Income before income taxes</v>
          </cell>
          <cell r="B50">
            <v>-562.73599999999999</v>
          </cell>
          <cell r="C50">
            <v>-562.73599999999999</v>
          </cell>
          <cell r="D50">
            <v>-717.32799999999997</v>
          </cell>
          <cell r="E50">
            <v>-547.35199999999998</v>
          </cell>
          <cell r="F50">
            <v>-818.41399999999999</v>
          </cell>
          <cell r="G50">
            <v>-197.99100000000004</v>
          </cell>
          <cell r="H50">
            <v>-778.17200000000003</v>
          </cell>
          <cell r="I50">
            <v>-1089.7270000000001</v>
          </cell>
          <cell r="J50">
            <v>-1179.4569999999999</v>
          </cell>
          <cell r="K50">
            <v>-963.73</v>
          </cell>
          <cell r="L50">
            <v>-963.73</v>
          </cell>
          <cell r="M50">
            <v>-702.62699999999995</v>
          </cell>
          <cell r="N50">
            <v>-9084</v>
          </cell>
          <cell r="P50">
            <v>-562.5</v>
          </cell>
          <cell r="Q50">
            <v>-1125</v>
          </cell>
          <cell r="R50">
            <v>-1842.8</v>
          </cell>
          <cell r="S50">
            <v>-2390.152</v>
          </cell>
          <cell r="T50">
            <v>-3208.5659999999998</v>
          </cell>
          <cell r="U50">
            <v>-3406.5569999999998</v>
          </cell>
          <cell r="V50">
            <v>-4184.7290000000003</v>
          </cell>
          <cell r="W50">
            <v>-5274.4560000000001</v>
          </cell>
          <cell r="X50">
            <v>-6453.9130000000005</v>
          </cell>
          <cell r="Y50">
            <v>-7417.643</v>
          </cell>
          <cell r="Z50">
            <v>-8381.3729999999996</v>
          </cell>
          <cell r="AA50">
            <v>-9084</v>
          </cell>
        </row>
        <row r="52">
          <cell r="A52" t="str">
            <v>Deferred tax expense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 t="str">
            <v>DefTax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Z52">
            <v>0</v>
          </cell>
          <cell r="AA52">
            <v>0</v>
          </cell>
        </row>
        <row r="53">
          <cell r="A53" t="str">
            <v>Net (Loss) Income</v>
          </cell>
          <cell r="B53">
            <v>-562.73599999999999</v>
          </cell>
          <cell r="C53">
            <v>-562.73599999999999</v>
          </cell>
          <cell r="D53">
            <v>-717.32799999999997</v>
          </cell>
          <cell r="E53">
            <v>-547.35199999999998</v>
          </cell>
          <cell r="F53">
            <v>-818.41399999999999</v>
          </cell>
          <cell r="G53">
            <v>-197.99100000000004</v>
          </cell>
          <cell r="H53">
            <v>-778.17200000000003</v>
          </cell>
          <cell r="I53">
            <v>-1089.7270000000001</v>
          </cell>
          <cell r="J53">
            <v>-1179.4569999999999</v>
          </cell>
          <cell r="K53">
            <v>-963.73</v>
          </cell>
          <cell r="L53">
            <v>-963.73</v>
          </cell>
          <cell r="M53">
            <v>-702.62699999999995</v>
          </cell>
          <cell r="N53">
            <v>-9084</v>
          </cell>
          <cell r="P53">
            <v>-562.5</v>
          </cell>
          <cell r="Q53">
            <v>-1125</v>
          </cell>
          <cell r="R53">
            <v>-1842.8</v>
          </cell>
          <cell r="S53">
            <v>-2390.152</v>
          </cell>
          <cell r="T53">
            <v>-3208.5659999999998</v>
          </cell>
          <cell r="U53">
            <v>-3406.5569999999998</v>
          </cell>
          <cell r="V53">
            <v>-4184.7290000000003</v>
          </cell>
          <cell r="W53">
            <v>-5274.4560000000001</v>
          </cell>
          <cell r="X53">
            <v>-6453.9130000000005</v>
          </cell>
          <cell r="Y53">
            <v>-7417.643</v>
          </cell>
          <cell r="Z53">
            <v>-8381.3729999999996</v>
          </cell>
          <cell r="AA53">
            <v>-9084</v>
          </cell>
        </row>
        <row r="55">
          <cell r="R55">
            <v>-1842.8</v>
          </cell>
          <cell r="S55" t="str">
            <v>Q1</v>
          </cell>
          <cell r="U55">
            <v>-3406.5569999999998</v>
          </cell>
          <cell r="V55" t="str">
            <v>Q2</v>
          </cell>
          <cell r="X55">
            <v>-6453.9130000000005</v>
          </cell>
          <cell r="Y55" t="str">
            <v>Q3</v>
          </cell>
          <cell r="AA55">
            <v>-9084</v>
          </cell>
        </row>
        <row r="57">
          <cell r="A57" t="str">
            <v>FS Presentation</v>
          </cell>
        </row>
        <row r="58">
          <cell r="A58" t="str">
            <v>Finance income</v>
          </cell>
          <cell r="B58">
            <v>33.5</v>
          </cell>
          <cell r="C58">
            <v>42</v>
          </cell>
          <cell r="D58">
            <v>16</v>
          </cell>
          <cell r="E58">
            <v>28</v>
          </cell>
          <cell r="F58">
            <v>28</v>
          </cell>
          <cell r="G58">
            <v>27</v>
          </cell>
          <cell r="H58">
            <v>26</v>
          </cell>
          <cell r="I58">
            <v>33</v>
          </cell>
          <cell r="J58">
            <v>15</v>
          </cell>
          <cell r="K58">
            <v>47.5</v>
          </cell>
          <cell r="L58">
            <v>47.5</v>
          </cell>
          <cell r="M58">
            <v>59</v>
          </cell>
          <cell r="N58">
            <v>362</v>
          </cell>
          <cell r="O58" t="str">
            <v>FinIncome</v>
          </cell>
          <cell r="P58">
            <v>29</v>
          </cell>
          <cell r="Q58">
            <v>29</v>
          </cell>
          <cell r="R58">
            <v>99</v>
          </cell>
          <cell r="S58">
            <v>127</v>
          </cell>
          <cell r="T58">
            <v>154</v>
          </cell>
          <cell r="U58">
            <v>355</v>
          </cell>
          <cell r="V58">
            <v>376</v>
          </cell>
          <cell r="W58">
            <v>409</v>
          </cell>
          <cell r="X58">
            <v>250</v>
          </cell>
          <cell r="Y58">
            <v>58</v>
          </cell>
          <cell r="Z58">
            <v>303</v>
          </cell>
          <cell r="AA58">
            <v>746</v>
          </cell>
        </row>
        <row r="59">
          <cell r="A59" t="str">
            <v>Finance costs</v>
          </cell>
          <cell r="B59">
            <v>-0.5</v>
          </cell>
          <cell r="C59">
            <v>-9</v>
          </cell>
          <cell r="D59">
            <v>15</v>
          </cell>
          <cell r="E59">
            <v>0</v>
          </cell>
          <cell r="F59">
            <v>-2</v>
          </cell>
          <cell r="G59">
            <v>3</v>
          </cell>
          <cell r="H59">
            <v>-5</v>
          </cell>
          <cell r="I59">
            <v>-1</v>
          </cell>
          <cell r="J59">
            <v>-8</v>
          </cell>
          <cell r="K59">
            <v>-0.5</v>
          </cell>
          <cell r="L59">
            <v>-0.5</v>
          </cell>
          <cell r="M59">
            <v>347</v>
          </cell>
          <cell r="N59">
            <v>379</v>
          </cell>
          <cell r="O59" t="str">
            <v>FinCosts</v>
          </cell>
          <cell r="P59">
            <v>4</v>
          </cell>
          <cell r="Q59">
            <v>4</v>
          </cell>
          <cell r="R59">
            <v>-2</v>
          </cell>
          <cell r="S59">
            <v>-2</v>
          </cell>
          <cell r="T59">
            <v>-3</v>
          </cell>
          <cell r="U59">
            <v>-174</v>
          </cell>
          <cell r="V59">
            <v>-174</v>
          </cell>
          <cell r="W59">
            <v>-175</v>
          </cell>
          <cell r="X59">
            <v>-9</v>
          </cell>
          <cell r="Y59">
            <v>-41</v>
          </cell>
          <cell r="Z59">
            <v>32</v>
          </cell>
          <cell r="AA59">
            <v>-5</v>
          </cell>
        </row>
        <row r="60">
          <cell r="B60">
            <v>33</v>
          </cell>
          <cell r="C60">
            <v>33</v>
          </cell>
          <cell r="D60">
            <v>31</v>
          </cell>
          <cell r="E60">
            <v>28</v>
          </cell>
          <cell r="F60">
            <v>26</v>
          </cell>
          <cell r="G60">
            <v>30</v>
          </cell>
          <cell r="H60">
            <v>21</v>
          </cell>
          <cell r="I60">
            <v>32</v>
          </cell>
          <cell r="J60">
            <v>7</v>
          </cell>
          <cell r="K60">
            <v>47</v>
          </cell>
          <cell r="L60">
            <v>47</v>
          </cell>
          <cell r="M60">
            <v>406</v>
          </cell>
          <cell r="N60">
            <v>741</v>
          </cell>
          <cell r="P60">
            <v>33</v>
          </cell>
          <cell r="Q60">
            <v>33</v>
          </cell>
          <cell r="R60">
            <v>97</v>
          </cell>
          <cell r="S60">
            <v>125</v>
          </cell>
          <cell r="T60">
            <v>151</v>
          </cell>
          <cell r="U60">
            <v>181</v>
          </cell>
          <cell r="V60">
            <v>202</v>
          </cell>
          <cell r="W60">
            <v>234</v>
          </cell>
          <cell r="X60">
            <v>241</v>
          </cell>
          <cell r="Y60">
            <v>17</v>
          </cell>
          <cell r="Z60">
            <v>335</v>
          </cell>
          <cell r="AA60">
            <v>741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"/>
      <sheetName val="Map"/>
      <sheetName val="Accts"/>
      <sheetName val="Home"/>
      <sheetName val="Table Of Contents"/>
      <sheetName val="iii"/>
      <sheetName val="iiiQ3"/>
      <sheetName val="vii"/>
      <sheetName val="viii"/>
      <sheetName val="A5"/>
      <sheetName val="A5a"/>
      <sheetName val="C1"/>
      <sheetName val="C3"/>
      <sheetName val="C5"/>
      <sheetName val="F2"/>
      <sheetName val="G1"/>
      <sheetName val="G2"/>
      <sheetName val="G3"/>
      <sheetName val="G4"/>
      <sheetName val="G12"/>
      <sheetName val="G14"/>
      <sheetName val="G15"/>
      <sheetName val="I1"/>
      <sheetName val="K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35-a"/>
      <sheetName val="M35-b"/>
      <sheetName val="M35-c"/>
      <sheetName val="M35-d"/>
      <sheetName val="M35-e"/>
      <sheetName val="M35-f"/>
      <sheetName val="M35-g"/>
      <sheetName val="M35-h"/>
      <sheetName val="M35-i"/>
      <sheetName val="M35-j"/>
      <sheetName val="M35-k"/>
      <sheetName val="M35-l"/>
      <sheetName val="M50"/>
      <sheetName val="M80"/>
      <sheetName val="M120"/>
      <sheetName val="M180"/>
      <sheetName val="N1"/>
      <sheetName val="O1"/>
      <sheetName val="O3"/>
      <sheetName val="O2-1"/>
      <sheetName val="O2-2"/>
      <sheetName val="O2-3"/>
      <sheetName val="O2-4"/>
      <sheetName val="O2-5"/>
      <sheetName val="S1"/>
      <sheetName val="S2"/>
      <sheetName val="General"/>
      <sheetName val="Lists"/>
      <sheetName val="S3"/>
      <sheetName val="S11"/>
      <sheetName val="OI"/>
      <sheetName val="Misc1"/>
      <sheetName val="Misc2"/>
      <sheetName val="Misc3"/>
      <sheetName val="Misc4"/>
      <sheetName val="Misc5"/>
      <sheetName val="Misc6"/>
      <sheetName val="Misc7"/>
      <sheetName val="Misc8"/>
      <sheetName val="Misc9"/>
      <sheetName val="Misc10"/>
      <sheetName val="Misc11"/>
      <sheetName val="Misc12"/>
      <sheetName val="Misc13"/>
      <sheetName val="Misc14"/>
      <sheetName val="Misc15"/>
      <sheetName val="Misc16"/>
      <sheetName val="Misc17"/>
      <sheetName val="Misc18"/>
      <sheetName val="Misc19"/>
      <sheetName val="Misc20"/>
      <sheetName val="Misc21"/>
      <sheetName val="Misc22"/>
      <sheetName val="Misc23"/>
      <sheetName val="Misc24"/>
      <sheetName val="Misc25"/>
      <sheetName val="Table_Of_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RC Guide"/>
      <sheetName val="C-Corp General Information"/>
      <sheetName val="Changes in Retained Earnings"/>
      <sheetName val="Compensation of Officers"/>
      <sheetName val="Deferred Compensation"/>
      <sheetName val="Bad Debt Reserves"/>
      <sheetName val="Inventory Reserves"/>
      <sheetName val="Depreciation -Cost"/>
      <sheetName val="Meals &amp; Entertainment"/>
      <sheetName val="Fines or Penalties"/>
      <sheetName val="Nondeductible Club Dues"/>
      <sheetName val="Currency Gains-Losses"/>
      <sheetName val="Fixed Asset Additions"/>
      <sheetName val="Gain-Loss On Sale of Assets"/>
      <sheetName val="Federal Income Taxes"/>
      <sheetName val="Estimated Tax Payments"/>
      <sheetName val="State  Taxes"/>
      <sheetName val="Equity Pickup"/>
      <sheetName val="Leased Auto Inclusion"/>
      <sheetName val="Life Insurance Expense"/>
      <sheetName val="Contributions"/>
      <sheetName val="Extraterritorial Income"/>
      <sheetName val="Section 163(j) Interest"/>
      <sheetName val="Foreign Tax Credit"/>
      <sheetName val="Related Party Information"/>
      <sheetName val="TD F 90-22.1"/>
      <sheetName val="A&amp;A Instructions"/>
      <sheetName val="A&amp;A"/>
      <sheetName val="Accrual"/>
      <sheetName val="TRC_Guide"/>
      <sheetName val="C-Corp_General_Information"/>
      <sheetName val="Changes_in_Retained_Earnings"/>
      <sheetName val="Compensation_of_Officers"/>
      <sheetName val="Deferred_Compensation"/>
      <sheetName val="Bad_Debt_Reserves"/>
      <sheetName val="Inventory_Reserves"/>
      <sheetName val="Depreciation_-Cost"/>
      <sheetName val="Meals_&amp;_Entertainment"/>
      <sheetName val="Fines_or_Penalties"/>
      <sheetName val="Nondeductible_Club_Dues"/>
      <sheetName val="Currency_Gains-Losses"/>
      <sheetName val="Fixed_Asset_Additions"/>
      <sheetName val="Gain-Loss_On_Sale_of_Assets"/>
      <sheetName val="Federal_Income_Taxes"/>
      <sheetName val="Estimated_Tax_Payments"/>
      <sheetName val="State__Taxes"/>
      <sheetName val="Equity_Pickup"/>
      <sheetName val="Leased_Auto_Inclusion"/>
      <sheetName val="Life_Insurance_Expense"/>
      <sheetName val="Extraterritorial_Income"/>
      <sheetName val="Section_163(j)_Interest"/>
      <sheetName val="Foreign_Tax_Credit"/>
      <sheetName val="Related_Party_Information"/>
      <sheetName val="TD_F_90-22_1"/>
      <sheetName val="A&amp;A_Instructions"/>
    </sheetNames>
    <sheetDataSet>
      <sheetData sheetId="0">
        <row r="1">
          <cell r="A1">
            <v>0</v>
          </cell>
        </row>
        <row r="2">
          <cell r="A2">
            <v>0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sAdm"/>
      <sheetName val="AutresActifs"/>
      <sheetName val="Stocks"/>
      <sheetName val="Immos"/>
      <sheetName val="Rapport"/>
      <sheetName val="Glglmp"/>
      <sheetName val="Liste"/>
      <sheetName val="EF"/>
      <sheetName val="GLMAJP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MRCOD</v>
          </cell>
          <cell r="B1" t="str">
            <v>MGLNO</v>
          </cell>
          <cell r="C1" t="str">
            <v>MDES1</v>
          </cell>
          <cell r="D1" t="str">
            <v>MDES2</v>
          </cell>
          <cell r="E1" t="str">
            <v>MCTPS</v>
          </cell>
          <cell r="F1" t="str">
            <v>MCOD2</v>
          </cell>
          <cell r="G1" t="str">
            <v>MBUDG</v>
          </cell>
          <cell r="H1" t="str">
            <v>MYT1</v>
          </cell>
          <cell r="I1" t="str">
            <v>MYT2</v>
          </cell>
          <cell r="J1" t="str">
            <v>MYT3</v>
          </cell>
          <cell r="K1" t="str">
            <v>MPC1</v>
          </cell>
          <cell r="L1" t="str">
            <v>MPC2</v>
          </cell>
          <cell r="M1" t="str">
            <v>MPC3</v>
          </cell>
          <cell r="N1" t="str">
            <v>MAC1</v>
          </cell>
          <cell r="O1" t="str">
            <v>MAC2</v>
          </cell>
          <cell r="P1" t="str">
            <v>MAC3</v>
          </cell>
          <cell r="Q1" t="str">
            <v>MAC4</v>
          </cell>
          <cell r="R1" t="str">
            <v>MAC5</v>
          </cell>
          <cell r="S1" t="str">
            <v>MAC6</v>
          </cell>
          <cell r="T1" t="str">
            <v>MAC7</v>
          </cell>
          <cell r="U1" t="str">
            <v>MAC8</v>
          </cell>
          <cell r="V1" t="str">
            <v>MAC9</v>
          </cell>
          <cell r="W1" t="str">
            <v>MAC10</v>
          </cell>
          <cell r="X1" t="str">
            <v>MAC11</v>
          </cell>
          <cell r="Y1" t="str">
            <v>MAC12</v>
          </cell>
          <cell r="Z1" t="str">
            <v>MAP1</v>
          </cell>
          <cell r="AA1" t="str">
            <v>MAP2</v>
          </cell>
          <cell r="AB1" t="str">
            <v>MAP3</v>
          </cell>
          <cell r="AC1" t="str">
            <v>MAP4</v>
          </cell>
          <cell r="AD1" t="str">
            <v>MAP5</v>
          </cell>
          <cell r="AE1" t="str">
            <v>MAP6</v>
          </cell>
          <cell r="AF1" t="str">
            <v>MAP7</v>
          </cell>
          <cell r="AG1" t="str">
            <v>MAP8</v>
          </cell>
          <cell r="AH1" t="str">
            <v>MAP9</v>
          </cell>
          <cell r="AI1" t="str">
            <v>MAP10</v>
          </cell>
          <cell r="AJ1" t="str">
            <v>MAP11</v>
          </cell>
          <cell r="AK1" t="str">
            <v>MAP12</v>
          </cell>
          <cell r="AL1" t="str">
            <v>MAP13</v>
          </cell>
          <cell r="AM1" t="str">
            <v>MDIVI</v>
          </cell>
          <cell r="AN1" t="str">
            <v>MSPAR</v>
          </cell>
          <cell r="AO1" t="str">
            <v>BUDYT</v>
          </cell>
          <cell r="AP1" t="str">
            <v>BUDMD</v>
          </cell>
          <cell r="AQ1" t="str">
            <v>BUDYD</v>
          </cell>
          <cell r="AR1" t="str">
            <v>NOGRP</v>
          </cell>
          <cell r="AS1" t="str">
            <v>NOAVM</v>
          </cell>
          <cell r="AT1" t="str">
            <v>MBLK1</v>
          </cell>
          <cell r="AU1" t="str">
            <v>MINEU</v>
          </cell>
          <cell r="AV1" t="str">
            <v>MINVD</v>
          </cell>
          <cell r="AW1" t="str">
            <v>MACHA</v>
          </cell>
          <cell r="AX1" t="str">
            <v>MINVF</v>
          </cell>
          <cell r="AY1" t="str">
            <v>MINFM</v>
          </cell>
          <cell r="AZ1" t="str">
            <v>MACHY</v>
          </cell>
          <cell r="BA1" t="str">
            <v>MNOPR</v>
          </cell>
          <cell r="BB1" t="str">
            <v>MDIMP</v>
          </cell>
          <cell r="BC1" t="str">
            <v>MDIM1</v>
          </cell>
          <cell r="BD1" t="str">
            <v>MCDET</v>
          </cell>
          <cell r="BE1" t="str">
            <v>MDEPT</v>
          </cell>
          <cell r="BF1" t="str">
            <v>MCDCO</v>
          </cell>
          <cell r="BG1" t="str">
            <v>MGLDA</v>
          </cell>
          <cell r="BH1" t="str">
            <v>MGLAC</v>
          </cell>
          <cell r="BI1" t="str">
            <v>MNBMA</v>
          </cell>
          <cell r="BJ1" t="str">
            <v>MEQNU</v>
          </cell>
          <cell r="BK1" t="str">
            <v>MCDDI</v>
          </cell>
          <cell r="BL1" t="str">
            <v>MCAPI</v>
          </cell>
          <cell r="BM1" t="str">
            <v>MCOAM</v>
          </cell>
          <cell r="BN1" t="str">
            <v>MNOIN</v>
          </cell>
          <cell r="BO1" t="str">
            <v>MBLK2</v>
          </cell>
        </row>
        <row r="2">
          <cell r="A2">
            <v>1</v>
          </cell>
          <cell r="B2">
            <v>1111000</v>
          </cell>
          <cell r="C2" t="str">
            <v>ENCAISSE</v>
          </cell>
          <cell r="D2" t="str">
            <v>PETITE CAISSE CND</v>
          </cell>
          <cell r="E2" t="str">
            <v>N</v>
          </cell>
          <cell r="F2">
            <v>0</v>
          </cell>
          <cell r="G2">
            <v>0</v>
          </cell>
          <cell r="H2">
            <v>700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700</v>
          </cell>
          <cell r="O2">
            <v>700</v>
          </cell>
          <cell r="P2">
            <v>700</v>
          </cell>
          <cell r="Q2">
            <v>700</v>
          </cell>
          <cell r="R2">
            <v>700</v>
          </cell>
          <cell r="S2">
            <v>700</v>
          </cell>
          <cell r="T2">
            <v>700</v>
          </cell>
          <cell r="U2">
            <v>700</v>
          </cell>
          <cell r="V2">
            <v>700</v>
          </cell>
          <cell r="W2">
            <v>700</v>
          </cell>
          <cell r="X2">
            <v>700</v>
          </cell>
          <cell r="Y2">
            <v>700</v>
          </cell>
          <cell r="Z2">
            <v>700</v>
          </cell>
          <cell r="AA2">
            <v>700</v>
          </cell>
          <cell r="AB2">
            <v>700</v>
          </cell>
          <cell r="AC2">
            <v>700</v>
          </cell>
          <cell r="AD2">
            <v>700</v>
          </cell>
          <cell r="AE2">
            <v>700</v>
          </cell>
          <cell r="AF2">
            <v>700</v>
          </cell>
          <cell r="AG2">
            <v>700</v>
          </cell>
          <cell r="AH2">
            <v>700</v>
          </cell>
          <cell r="AI2">
            <v>700</v>
          </cell>
          <cell r="AJ2">
            <v>700</v>
          </cell>
          <cell r="AK2">
            <v>700</v>
          </cell>
          <cell r="AL2">
            <v>0</v>
          </cell>
          <cell r="AM2">
            <v>0</v>
          </cell>
          <cell r="AN2" t="str">
            <v/>
          </cell>
          <cell r="AO2">
            <v>0</v>
          </cell>
          <cell r="AP2">
            <v>0</v>
          </cell>
          <cell r="AQ2">
            <v>0</v>
          </cell>
          <cell r="AR2">
            <v>10</v>
          </cell>
          <cell r="AS2">
            <v>0</v>
          </cell>
          <cell r="AT2" t="str">
            <v/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 t="str">
            <v/>
          </cell>
          <cell r="BK2">
            <v>1000</v>
          </cell>
          <cell r="BL2" t="str">
            <v>0</v>
          </cell>
          <cell r="BM2" t="str">
            <v>1</v>
          </cell>
          <cell r="BN2" t="str">
            <v/>
          </cell>
          <cell r="BO2" t="str">
            <v/>
          </cell>
        </row>
        <row r="3">
          <cell r="A3">
            <v>1</v>
          </cell>
          <cell r="B3">
            <v>1111010</v>
          </cell>
          <cell r="C3" t="str">
            <v>ENCAISSE</v>
          </cell>
          <cell r="D3" t="str">
            <v>BANQUE CDN</v>
          </cell>
          <cell r="E3" t="str">
            <v>N</v>
          </cell>
          <cell r="F3">
            <v>0</v>
          </cell>
          <cell r="G3">
            <v>0</v>
          </cell>
          <cell r="H3">
            <v>3457635.52</v>
          </cell>
          <cell r="I3">
            <v>48341757.329999998</v>
          </cell>
          <cell r="J3">
            <v>43260639.109999999</v>
          </cell>
          <cell r="K3">
            <v>0</v>
          </cell>
          <cell r="L3">
            <v>5123015.79</v>
          </cell>
          <cell r="M3">
            <v>3619615.87</v>
          </cell>
          <cell r="N3">
            <v>-511140.07</v>
          </cell>
          <cell r="O3">
            <v>1924098.84</v>
          </cell>
          <cell r="P3">
            <v>1339641.24</v>
          </cell>
          <cell r="Q3">
            <v>312611.69</v>
          </cell>
          <cell r="R3">
            <v>2933982.52</v>
          </cell>
          <cell r="S3">
            <v>2638130.79</v>
          </cell>
          <cell r="T3">
            <v>2358966.52</v>
          </cell>
          <cell r="U3">
            <v>2269284.1</v>
          </cell>
          <cell r="V3">
            <v>3316961.56</v>
          </cell>
          <cell r="W3">
            <v>2666014.4700000002</v>
          </cell>
          <cell r="X3">
            <v>3457635.52</v>
          </cell>
          <cell r="Y3">
            <v>4961035.4400000004</v>
          </cell>
          <cell r="Z3">
            <v>-4163341.44</v>
          </cell>
          <cell r="AA3">
            <v>-6134098.7199999997</v>
          </cell>
          <cell r="AB3">
            <v>-5396178.3300000001</v>
          </cell>
          <cell r="AC3">
            <v>-5156401.9000000004</v>
          </cell>
          <cell r="AD3">
            <v>-5088695.3899999997</v>
          </cell>
          <cell r="AE3">
            <v>-5275853.9400000004</v>
          </cell>
          <cell r="AF3">
            <v>-4074973.4</v>
          </cell>
          <cell r="AG3">
            <v>-3241680.23</v>
          </cell>
          <cell r="AH3">
            <v>-907716.57</v>
          </cell>
          <cell r="AI3">
            <v>-1344799.91</v>
          </cell>
          <cell r="AJ3">
            <v>-769200.23</v>
          </cell>
          <cell r="AK3">
            <v>-1623482.7</v>
          </cell>
          <cell r="AL3">
            <v>0</v>
          </cell>
          <cell r="AM3">
            <v>0</v>
          </cell>
          <cell r="AN3" t="str">
            <v/>
          </cell>
          <cell r="AO3">
            <v>0</v>
          </cell>
          <cell r="AP3">
            <v>0</v>
          </cell>
          <cell r="AQ3">
            <v>0</v>
          </cell>
          <cell r="AR3">
            <v>10</v>
          </cell>
          <cell r="AS3">
            <v>0</v>
          </cell>
          <cell r="AT3" t="str">
            <v/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 t="str">
            <v/>
          </cell>
          <cell r="BK3">
            <v>1000</v>
          </cell>
          <cell r="BL3" t="str">
            <v/>
          </cell>
          <cell r="BM3" t="str">
            <v>1</v>
          </cell>
          <cell r="BN3" t="str">
            <v/>
          </cell>
          <cell r="BO3" t="str">
            <v/>
          </cell>
        </row>
        <row r="4">
          <cell r="A4">
            <v>1</v>
          </cell>
          <cell r="B4">
            <v>1111020</v>
          </cell>
          <cell r="C4" t="str">
            <v>ENCAISSE</v>
          </cell>
          <cell r="D4" t="str">
            <v>BANQUE US</v>
          </cell>
          <cell r="E4" t="str">
            <v>N</v>
          </cell>
          <cell r="F4">
            <v>0</v>
          </cell>
          <cell r="G4">
            <v>0</v>
          </cell>
          <cell r="H4">
            <v>1161281.07</v>
          </cell>
          <cell r="I4">
            <v>17526030.219999999</v>
          </cell>
          <cell r="J4">
            <v>16688043.49</v>
          </cell>
          <cell r="K4">
            <v>0</v>
          </cell>
          <cell r="L4">
            <v>1662872.35</v>
          </cell>
          <cell r="M4">
            <v>1356217.2</v>
          </cell>
          <cell r="N4">
            <v>1310061.9099999999</v>
          </cell>
          <cell r="O4">
            <v>-276631.88</v>
          </cell>
          <cell r="P4">
            <v>-51198.23</v>
          </cell>
          <cell r="Q4">
            <v>494415.01</v>
          </cell>
          <cell r="R4">
            <v>47990.74</v>
          </cell>
          <cell r="S4">
            <v>313804.78000000003</v>
          </cell>
          <cell r="T4">
            <v>675243.68</v>
          </cell>
          <cell r="U4">
            <v>616184.87</v>
          </cell>
          <cell r="V4">
            <v>201970.11</v>
          </cell>
          <cell r="W4">
            <v>958518.82</v>
          </cell>
          <cell r="X4">
            <v>1161281.07</v>
          </cell>
          <cell r="Y4">
            <v>1467936.22</v>
          </cell>
          <cell r="Z4">
            <v>-481032.54</v>
          </cell>
          <cell r="AA4">
            <v>-533211.43999999994</v>
          </cell>
          <cell r="AB4">
            <v>251878.31</v>
          </cell>
          <cell r="AC4">
            <v>931352.9</v>
          </cell>
          <cell r="AD4">
            <v>307985.11</v>
          </cell>
          <cell r="AE4">
            <v>1044284.08</v>
          </cell>
          <cell r="AF4">
            <v>582156.19999999995</v>
          </cell>
          <cell r="AG4">
            <v>1369154.06</v>
          </cell>
          <cell r="AH4">
            <v>747531.52</v>
          </cell>
          <cell r="AI4">
            <v>-173311.15</v>
          </cell>
          <cell r="AJ4">
            <v>-114574.79</v>
          </cell>
          <cell r="AK4">
            <v>323294.34000000003</v>
          </cell>
          <cell r="AL4">
            <v>0</v>
          </cell>
          <cell r="AM4">
            <v>0</v>
          </cell>
          <cell r="AN4" t="str">
            <v/>
          </cell>
          <cell r="AO4">
            <v>0</v>
          </cell>
          <cell r="AP4">
            <v>0</v>
          </cell>
          <cell r="AQ4">
            <v>0</v>
          </cell>
          <cell r="AR4">
            <v>10</v>
          </cell>
          <cell r="AS4">
            <v>0</v>
          </cell>
          <cell r="AT4" t="str">
            <v/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 t="str">
            <v/>
          </cell>
          <cell r="BK4">
            <v>1000</v>
          </cell>
          <cell r="BL4" t="str">
            <v/>
          </cell>
          <cell r="BM4" t="str">
            <v>1</v>
          </cell>
          <cell r="BN4" t="str">
            <v/>
          </cell>
          <cell r="BO4" t="str">
            <v/>
          </cell>
        </row>
        <row r="5">
          <cell r="A5">
            <v>1</v>
          </cell>
          <cell r="B5">
            <v>1111030</v>
          </cell>
          <cell r="C5" t="str">
            <v>ENCAISSE</v>
          </cell>
          <cell r="D5" t="str">
            <v>BANQUE ECHANGE</v>
          </cell>
          <cell r="E5" t="str">
            <v>N</v>
          </cell>
          <cell r="F5">
            <v>0</v>
          </cell>
          <cell r="G5">
            <v>0</v>
          </cell>
          <cell r="H5">
            <v>621982.14</v>
          </cell>
          <cell r="I5">
            <v>8581452.1999999993</v>
          </cell>
          <cell r="J5">
            <v>8112469.1100000003</v>
          </cell>
          <cell r="K5">
            <v>0</v>
          </cell>
          <cell r="L5">
            <v>795876.27</v>
          </cell>
          <cell r="M5">
            <v>683596.71</v>
          </cell>
          <cell r="N5">
            <v>591099.85</v>
          </cell>
          <cell r="O5">
            <v>-124151.73</v>
          </cell>
          <cell r="P5">
            <v>-23218.400000000001</v>
          </cell>
          <cell r="Q5">
            <v>237911.67</v>
          </cell>
          <cell r="R5">
            <v>23889.79</v>
          </cell>
          <cell r="S5">
            <v>150407.87</v>
          </cell>
          <cell r="T5">
            <v>328978.71999999997</v>
          </cell>
          <cell r="U5">
            <v>290962.5</v>
          </cell>
          <cell r="V5">
            <v>102398.85</v>
          </cell>
          <cell r="W5">
            <v>505235.27</v>
          </cell>
          <cell r="X5">
            <v>621982.14</v>
          </cell>
          <cell r="Y5">
            <v>734261.7</v>
          </cell>
          <cell r="Z5">
            <v>-244075.91</v>
          </cell>
          <cell r="AA5">
            <v>-270551.82</v>
          </cell>
          <cell r="AB5">
            <v>128256.44</v>
          </cell>
          <cell r="AC5">
            <v>426166.98</v>
          </cell>
          <cell r="AD5">
            <v>146908.9</v>
          </cell>
          <cell r="AE5">
            <v>492902.75</v>
          </cell>
          <cell r="AF5">
            <v>294745.65999999997</v>
          </cell>
          <cell r="AG5">
            <v>678826.58</v>
          </cell>
          <cell r="AH5">
            <v>351340.26</v>
          </cell>
          <cell r="AI5">
            <v>-81768.2</v>
          </cell>
          <cell r="AJ5">
            <v>-54170.34</v>
          </cell>
          <cell r="AK5">
            <v>152999.04999999999</v>
          </cell>
          <cell r="AL5">
            <v>0</v>
          </cell>
          <cell r="AM5">
            <v>0</v>
          </cell>
          <cell r="AN5" t="str">
            <v/>
          </cell>
          <cell r="AO5">
            <v>0</v>
          </cell>
          <cell r="AP5">
            <v>0</v>
          </cell>
          <cell r="AQ5">
            <v>0</v>
          </cell>
          <cell r="AR5">
            <v>10</v>
          </cell>
          <cell r="AS5">
            <v>0</v>
          </cell>
          <cell r="AT5" t="str">
            <v/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 t="str">
            <v/>
          </cell>
          <cell r="BK5">
            <v>1000</v>
          </cell>
          <cell r="BL5" t="str">
            <v/>
          </cell>
          <cell r="BM5" t="str">
            <v>1</v>
          </cell>
          <cell r="BN5" t="str">
            <v/>
          </cell>
          <cell r="BO5" t="str">
            <v/>
          </cell>
        </row>
        <row r="6">
          <cell r="A6">
            <v>1</v>
          </cell>
          <cell r="B6">
            <v>1112000</v>
          </cell>
          <cell r="C6" t="str">
            <v>ENCAISSE</v>
          </cell>
          <cell r="D6" t="str">
            <v>PAIE MANUEL</v>
          </cell>
          <cell r="E6" t="str">
            <v>N</v>
          </cell>
          <cell r="F6">
            <v>0</v>
          </cell>
          <cell r="G6">
            <v>0</v>
          </cell>
          <cell r="H6">
            <v>0</v>
          </cell>
          <cell r="I6">
            <v>27445.39</v>
          </cell>
          <cell r="J6">
            <v>857.58</v>
          </cell>
          <cell r="K6">
            <v>0</v>
          </cell>
          <cell r="L6">
            <v>0</v>
          </cell>
          <cell r="M6">
            <v>0</v>
          </cell>
          <cell r="N6">
            <v>-26718.6</v>
          </cell>
          <cell r="O6">
            <v>-26847.14</v>
          </cell>
          <cell r="P6">
            <v>0</v>
          </cell>
          <cell r="Q6">
            <v>-105.35</v>
          </cell>
          <cell r="R6">
            <v>-105.8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-9163.5499999999993</v>
          </cell>
          <cell r="AA6">
            <v>-11975.4</v>
          </cell>
          <cell r="AB6">
            <v>-17254.96</v>
          </cell>
          <cell r="AC6">
            <v>-20208.099999999999</v>
          </cell>
          <cell r="AD6">
            <v>-24830.04</v>
          </cell>
          <cell r="AE6">
            <v>-25882.05</v>
          </cell>
          <cell r="AF6">
            <v>-25994.46</v>
          </cell>
          <cell r="AG6">
            <v>-26113.15</v>
          </cell>
          <cell r="AH6">
            <v>-26232.99</v>
          </cell>
          <cell r="AI6">
            <v>-26347.57</v>
          </cell>
          <cell r="AJ6">
            <v>-26467.69</v>
          </cell>
          <cell r="AK6">
            <v>-26587.81</v>
          </cell>
          <cell r="AL6">
            <v>0</v>
          </cell>
          <cell r="AM6">
            <v>0</v>
          </cell>
          <cell r="AN6" t="str">
            <v/>
          </cell>
          <cell r="AO6">
            <v>0</v>
          </cell>
          <cell r="AP6">
            <v>0</v>
          </cell>
          <cell r="AQ6">
            <v>0</v>
          </cell>
          <cell r="AR6">
            <v>10</v>
          </cell>
          <cell r="AS6">
            <v>0</v>
          </cell>
          <cell r="AT6" t="str">
            <v/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 t="str">
            <v/>
          </cell>
          <cell r="BK6">
            <v>1000</v>
          </cell>
          <cell r="BL6" t="str">
            <v/>
          </cell>
          <cell r="BM6" t="str">
            <v>1</v>
          </cell>
          <cell r="BN6" t="str">
            <v/>
          </cell>
          <cell r="BO6" t="str">
            <v/>
          </cell>
        </row>
        <row r="7">
          <cell r="A7">
            <v>1</v>
          </cell>
          <cell r="B7">
            <v>1119000</v>
          </cell>
          <cell r="C7" t="str">
            <v>ENCAISSE</v>
          </cell>
          <cell r="D7" t="str">
            <v>REDRESSEMENT</v>
          </cell>
          <cell r="E7" t="str">
            <v>N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 t="str">
            <v/>
          </cell>
          <cell r="AO7">
            <v>0</v>
          </cell>
          <cell r="AP7">
            <v>0</v>
          </cell>
          <cell r="AQ7">
            <v>0</v>
          </cell>
          <cell r="AR7">
            <v>10</v>
          </cell>
          <cell r="AS7">
            <v>0</v>
          </cell>
          <cell r="AT7" t="str">
            <v/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 t="str">
            <v/>
          </cell>
          <cell r="BK7">
            <v>1000</v>
          </cell>
          <cell r="BL7" t="str">
            <v/>
          </cell>
          <cell r="BM7" t="str">
            <v>1</v>
          </cell>
          <cell r="BN7" t="str">
            <v/>
          </cell>
          <cell r="BO7" t="str">
            <v/>
          </cell>
        </row>
        <row r="8">
          <cell r="A8">
            <v>1</v>
          </cell>
          <cell r="B8">
            <v>1121001</v>
          </cell>
          <cell r="C8" t="str">
            <v>C.A.R.</v>
          </cell>
          <cell r="D8" t="str">
            <v>AGE DES C.A.R. ORDINAIRES</v>
          </cell>
          <cell r="E8" t="str">
            <v>N</v>
          </cell>
          <cell r="F8">
            <v>0</v>
          </cell>
          <cell r="G8">
            <v>0</v>
          </cell>
          <cell r="H8">
            <v>25619.49</v>
          </cell>
          <cell r="I8">
            <v>456049.37</v>
          </cell>
          <cell r="J8">
            <v>459051.46</v>
          </cell>
          <cell r="K8">
            <v>0</v>
          </cell>
          <cell r="L8">
            <v>40160.28</v>
          </cell>
          <cell r="M8">
            <v>43726.2</v>
          </cell>
          <cell r="N8">
            <v>54779.49</v>
          </cell>
          <cell r="O8">
            <v>7515.78</v>
          </cell>
          <cell r="P8">
            <v>10164.41</v>
          </cell>
          <cell r="Q8">
            <v>41941.03</v>
          </cell>
          <cell r="R8">
            <v>55090.68</v>
          </cell>
          <cell r="S8">
            <v>28063.81</v>
          </cell>
          <cell r="T8">
            <v>26238.57</v>
          </cell>
          <cell r="U8">
            <v>41333.65</v>
          </cell>
          <cell r="V8">
            <v>170020.39</v>
          </cell>
          <cell r="W8">
            <v>169228.74</v>
          </cell>
          <cell r="X8">
            <v>25619.49</v>
          </cell>
          <cell r="Y8">
            <v>22053.57</v>
          </cell>
          <cell r="Z8">
            <v>60061.36</v>
          </cell>
          <cell r="AA8">
            <v>487404.28</v>
          </cell>
          <cell r="AB8">
            <v>33526.99</v>
          </cell>
          <cell r="AC8">
            <v>53243.6</v>
          </cell>
          <cell r="AD8">
            <v>62658.49</v>
          </cell>
          <cell r="AE8">
            <v>42925.01</v>
          </cell>
          <cell r="AF8">
            <v>114821.5</v>
          </cell>
          <cell r="AG8">
            <v>221226.5</v>
          </cell>
          <cell r="AH8">
            <v>148684.74</v>
          </cell>
          <cell r="AI8">
            <v>28313.599999999999</v>
          </cell>
          <cell r="AJ8">
            <v>56814.2</v>
          </cell>
          <cell r="AK8">
            <v>28621.58</v>
          </cell>
          <cell r="AL8">
            <v>0</v>
          </cell>
          <cell r="AM8">
            <v>1</v>
          </cell>
          <cell r="AN8" t="str">
            <v/>
          </cell>
          <cell r="AO8">
            <v>0</v>
          </cell>
          <cell r="AP8">
            <v>0</v>
          </cell>
          <cell r="AQ8">
            <v>0</v>
          </cell>
          <cell r="AR8">
            <v>30</v>
          </cell>
          <cell r="AS8">
            <v>0</v>
          </cell>
          <cell r="AT8" t="str">
            <v/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 t="str">
            <v/>
          </cell>
          <cell r="BK8">
            <v>1100</v>
          </cell>
          <cell r="BL8" t="str">
            <v>0</v>
          </cell>
          <cell r="BM8" t="str">
            <v>1</v>
          </cell>
          <cell r="BN8" t="str">
            <v/>
          </cell>
          <cell r="BO8" t="str">
            <v/>
          </cell>
        </row>
        <row r="9">
          <cell r="A9">
            <v>1</v>
          </cell>
          <cell r="B9">
            <v>1121005</v>
          </cell>
          <cell r="C9" t="str">
            <v>C.A.R.</v>
          </cell>
          <cell r="D9" t="str">
            <v>ACCRUS C.A.R. ORDINAIRES</v>
          </cell>
          <cell r="E9" t="str">
            <v>N</v>
          </cell>
          <cell r="F9">
            <v>0</v>
          </cell>
          <cell r="G9">
            <v>0</v>
          </cell>
          <cell r="H9">
            <v>8320</v>
          </cell>
          <cell r="I9">
            <v>1897492.05</v>
          </cell>
          <cell r="J9">
            <v>2042224.44</v>
          </cell>
          <cell r="K9">
            <v>0</v>
          </cell>
          <cell r="L9">
            <v>39650.129999999997</v>
          </cell>
          <cell r="M9">
            <v>8320</v>
          </cell>
          <cell r="N9">
            <v>115736.32000000001</v>
          </cell>
          <cell r="O9">
            <v>42057</v>
          </cell>
          <cell r="P9">
            <v>43987</v>
          </cell>
          <cell r="Q9">
            <v>1667554</v>
          </cell>
          <cell r="R9">
            <v>0</v>
          </cell>
          <cell r="S9">
            <v>0</v>
          </cell>
          <cell r="T9">
            <v>3575.14</v>
          </cell>
          <cell r="U9">
            <v>0</v>
          </cell>
          <cell r="V9">
            <v>16262.59</v>
          </cell>
          <cell r="W9">
            <v>0</v>
          </cell>
          <cell r="X9">
            <v>8320</v>
          </cell>
          <cell r="Y9">
            <v>39650.129999999997</v>
          </cell>
          <cell r="Z9">
            <v>246887</v>
          </cell>
          <cell r="AA9">
            <v>296455.65000000002</v>
          </cell>
          <cell r="AB9">
            <v>314299.59000000003</v>
          </cell>
          <cell r="AC9">
            <v>273751.18</v>
          </cell>
          <cell r="AD9">
            <v>162669.79999999999</v>
          </cell>
          <cell r="AE9">
            <v>183708</v>
          </cell>
          <cell r="AF9">
            <v>-235295.49</v>
          </cell>
          <cell r="AG9">
            <v>74325.259999999995</v>
          </cell>
          <cell r="AH9">
            <v>-110611.08</v>
          </cell>
          <cell r="AI9">
            <v>3793</v>
          </cell>
          <cell r="AJ9">
            <v>471811</v>
          </cell>
          <cell r="AK9">
            <v>153052.39000000001</v>
          </cell>
          <cell r="AL9">
            <v>0</v>
          </cell>
          <cell r="AM9">
            <v>5</v>
          </cell>
          <cell r="AN9" t="str">
            <v/>
          </cell>
          <cell r="AO9">
            <v>0</v>
          </cell>
          <cell r="AP9">
            <v>0</v>
          </cell>
          <cell r="AQ9">
            <v>0</v>
          </cell>
          <cell r="AR9">
            <v>30</v>
          </cell>
          <cell r="AS9">
            <v>0</v>
          </cell>
          <cell r="AT9" t="str">
            <v/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 t="str">
            <v/>
          </cell>
          <cell r="BK9">
            <v>1100</v>
          </cell>
          <cell r="BL9" t="str">
            <v/>
          </cell>
          <cell r="BM9" t="str">
            <v>1</v>
          </cell>
          <cell r="BN9" t="str">
            <v/>
          </cell>
          <cell r="BO9" t="str">
            <v/>
          </cell>
        </row>
        <row r="10">
          <cell r="A10">
            <v>1</v>
          </cell>
          <cell r="B10">
            <v>1121011</v>
          </cell>
          <cell r="C10" t="str">
            <v>C.A.R.</v>
          </cell>
          <cell r="D10" t="str">
            <v>AGE DES C.A.R.  INTERCO</v>
          </cell>
          <cell r="E10" t="str">
            <v>N</v>
          </cell>
          <cell r="F10">
            <v>0</v>
          </cell>
          <cell r="G10">
            <v>0</v>
          </cell>
          <cell r="H10">
            <v>10172940.02</v>
          </cell>
          <cell r="I10">
            <v>56163244.18</v>
          </cell>
          <cell r="J10">
            <v>55248052.020000003</v>
          </cell>
          <cell r="K10">
            <v>0</v>
          </cell>
          <cell r="L10">
            <v>4742858.25</v>
          </cell>
          <cell r="M10">
            <v>6170321.21</v>
          </cell>
          <cell r="N10">
            <v>7208350.9500000002</v>
          </cell>
          <cell r="O10">
            <v>7469759.2400000002</v>
          </cell>
          <cell r="P10">
            <v>7517784.6799999997</v>
          </cell>
          <cell r="Q10">
            <v>6981132.96</v>
          </cell>
          <cell r="R10">
            <v>8592741.9100000001</v>
          </cell>
          <cell r="S10">
            <v>8911397.3200000003</v>
          </cell>
          <cell r="T10">
            <v>8684890.4499999993</v>
          </cell>
          <cell r="U10">
            <v>9911824.7799999993</v>
          </cell>
          <cell r="V10">
            <v>9242726.8800000008</v>
          </cell>
          <cell r="W10">
            <v>9167569.4299999997</v>
          </cell>
          <cell r="X10">
            <v>10172940.02</v>
          </cell>
          <cell r="Y10">
            <v>8745477.0600000005</v>
          </cell>
          <cell r="Z10">
            <v>6664632.5300000003</v>
          </cell>
          <cell r="AA10">
            <v>7470715.0499999998</v>
          </cell>
          <cell r="AB10">
            <v>7279502.5199999996</v>
          </cell>
          <cell r="AC10">
            <v>5716413.2400000002</v>
          </cell>
          <cell r="AD10">
            <v>11403780.109999999</v>
          </cell>
          <cell r="AE10">
            <v>9498582</v>
          </cell>
          <cell r="AF10">
            <v>8752808.9600000009</v>
          </cell>
          <cell r="AG10">
            <v>8268986.7599999998</v>
          </cell>
          <cell r="AH10">
            <v>7894932.3899999997</v>
          </cell>
          <cell r="AI10">
            <v>9506184.1099999994</v>
          </cell>
          <cell r="AJ10">
            <v>9099150.6699999999</v>
          </cell>
          <cell r="AK10">
            <v>9257747.8599999994</v>
          </cell>
          <cell r="AL10">
            <v>0</v>
          </cell>
          <cell r="AM10">
            <v>1</v>
          </cell>
          <cell r="AN10" t="str">
            <v/>
          </cell>
          <cell r="AO10">
            <v>0</v>
          </cell>
          <cell r="AP10">
            <v>0</v>
          </cell>
          <cell r="AQ10">
            <v>0</v>
          </cell>
          <cell r="AR10">
            <v>40</v>
          </cell>
          <cell r="AS10">
            <v>0</v>
          </cell>
          <cell r="AT10" t="str">
            <v/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 t="str">
            <v/>
          </cell>
          <cell r="BK10">
            <v>1100</v>
          </cell>
          <cell r="BL10" t="str">
            <v/>
          </cell>
          <cell r="BM10" t="str">
            <v>1</v>
          </cell>
          <cell r="BN10" t="str">
            <v/>
          </cell>
          <cell r="BO10" t="str">
            <v/>
          </cell>
        </row>
        <row r="11">
          <cell r="A11">
            <v>1</v>
          </cell>
          <cell r="B11">
            <v>1121015</v>
          </cell>
          <cell r="C11" t="str">
            <v>C.A.R.</v>
          </cell>
          <cell r="D11" t="str">
            <v>ACCRUS C.A.R.  INTERCO</v>
          </cell>
          <cell r="E11" t="str">
            <v>N</v>
          </cell>
          <cell r="F11">
            <v>0</v>
          </cell>
          <cell r="G11">
            <v>0</v>
          </cell>
          <cell r="H11">
            <v>-17082.28</v>
          </cell>
          <cell r="I11">
            <v>708540.23</v>
          </cell>
          <cell r="J11">
            <v>2818844.03</v>
          </cell>
          <cell r="K11">
            <v>0</v>
          </cell>
          <cell r="L11">
            <v>102786.1</v>
          </cell>
          <cell r="M11">
            <v>47735.15</v>
          </cell>
          <cell r="N11">
            <v>79234.14</v>
          </cell>
          <cell r="O11">
            <v>67729.59</v>
          </cell>
          <cell r="P11">
            <v>70952.179999999993</v>
          </cell>
          <cell r="Q11">
            <v>52218.57</v>
          </cell>
          <cell r="R11">
            <v>51151.23</v>
          </cell>
          <cell r="S11">
            <v>51191.360000000001</v>
          </cell>
          <cell r="T11">
            <v>79718.600000000006</v>
          </cell>
          <cell r="U11">
            <v>73337.149999999994</v>
          </cell>
          <cell r="V11">
            <v>54402.78</v>
          </cell>
          <cell r="W11">
            <v>47544.26</v>
          </cell>
          <cell r="X11">
            <v>-17082.28</v>
          </cell>
          <cell r="Y11">
            <v>37968.67</v>
          </cell>
          <cell r="Z11">
            <v>257750.43</v>
          </cell>
          <cell r="AA11">
            <v>301246.40000000002</v>
          </cell>
          <cell r="AB11">
            <v>3948987.03</v>
          </cell>
          <cell r="AC11">
            <v>343654</v>
          </cell>
          <cell r="AD11">
            <v>605539.43000000005</v>
          </cell>
          <cell r="AE11">
            <v>486940.95</v>
          </cell>
          <cell r="AF11">
            <v>123015.74</v>
          </cell>
          <cell r="AG11">
            <v>0</v>
          </cell>
          <cell r="AH11">
            <v>421253.09</v>
          </cell>
          <cell r="AI11">
            <v>78740.89</v>
          </cell>
          <cell r="AJ11">
            <v>83143.740000000005</v>
          </cell>
          <cell r="AK11">
            <v>2093221.52</v>
          </cell>
          <cell r="AL11">
            <v>0</v>
          </cell>
          <cell r="AM11">
            <v>5</v>
          </cell>
          <cell r="AN11" t="str">
            <v/>
          </cell>
          <cell r="AO11">
            <v>0</v>
          </cell>
          <cell r="AP11">
            <v>0</v>
          </cell>
          <cell r="AQ11">
            <v>0</v>
          </cell>
          <cell r="AR11">
            <v>40</v>
          </cell>
          <cell r="AS11">
            <v>0</v>
          </cell>
          <cell r="AT11" t="str">
            <v/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 t="str">
            <v/>
          </cell>
          <cell r="BK11">
            <v>1100</v>
          </cell>
          <cell r="BL11" t="str">
            <v/>
          </cell>
          <cell r="BM11" t="str">
            <v>1</v>
          </cell>
          <cell r="BN11" t="str">
            <v/>
          </cell>
          <cell r="BO11" t="str">
            <v/>
          </cell>
        </row>
        <row r="12">
          <cell r="A12">
            <v>1</v>
          </cell>
          <cell r="B12">
            <v>1121021</v>
          </cell>
          <cell r="C12" t="str">
            <v>C.A.R.</v>
          </cell>
          <cell r="D12" t="str">
            <v>ECHANGE SUR CAR</v>
          </cell>
          <cell r="E12" t="str">
            <v>N</v>
          </cell>
          <cell r="F12">
            <v>0</v>
          </cell>
          <cell r="G12">
            <v>0</v>
          </cell>
          <cell r="H12">
            <v>-2701.43</v>
          </cell>
          <cell r="I12">
            <v>565786.56999999995</v>
          </cell>
          <cell r="J12">
            <v>542749</v>
          </cell>
          <cell r="K12">
            <v>0</v>
          </cell>
          <cell r="L12">
            <v>0</v>
          </cell>
          <cell r="M12">
            <v>158449</v>
          </cell>
          <cell r="N12">
            <v>2003</v>
          </cell>
          <cell r="O12">
            <v>12472</v>
          </cell>
          <cell r="P12">
            <v>36515</v>
          </cell>
          <cell r="Q12">
            <v>82196</v>
          </cell>
          <cell r="R12">
            <v>77530.570000000007</v>
          </cell>
          <cell r="S12">
            <v>-79614.429999999993</v>
          </cell>
          <cell r="T12">
            <v>-20285.43</v>
          </cell>
          <cell r="U12">
            <v>-63401.43</v>
          </cell>
          <cell r="V12">
            <v>87947.57</v>
          </cell>
          <cell r="W12">
            <v>78418.570000000007</v>
          </cell>
          <cell r="X12">
            <v>-2701.43</v>
          </cell>
          <cell r="Y12">
            <v>-161150.43</v>
          </cell>
          <cell r="Z12">
            <v>-118263</v>
          </cell>
          <cell r="AA12">
            <v>-98204</v>
          </cell>
          <cell r="AB12">
            <v>-50692</v>
          </cell>
          <cell r="AC12">
            <v>-168523</v>
          </cell>
          <cell r="AD12">
            <v>-44119</v>
          </cell>
          <cell r="AE12">
            <v>-31405</v>
          </cell>
          <cell r="AF12">
            <v>90588</v>
          </cell>
          <cell r="AG12">
            <v>-28364</v>
          </cell>
          <cell r="AH12">
            <v>-134254</v>
          </cell>
          <cell r="AI12">
            <v>-53924</v>
          </cell>
          <cell r="AJ12">
            <v>-20953</v>
          </cell>
          <cell r="AK12">
            <v>-25739</v>
          </cell>
          <cell r="AL12">
            <v>0</v>
          </cell>
          <cell r="AM12">
            <v>1</v>
          </cell>
          <cell r="AN12" t="str">
            <v/>
          </cell>
          <cell r="AO12">
            <v>0</v>
          </cell>
          <cell r="AP12">
            <v>0</v>
          </cell>
          <cell r="AQ12">
            <v>0</v>
          </cell>
          <cell r="AR12">
            <v>30</v>
          </cell>
          <cell r="AS12">
            <v>0</v>
          </cell>
          <cell r="AT12" t="str">
            <v/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 t="str">
            <v/>
          </cell>
          <cell r="BK12">
            <v>1100</v>
          </cell>
          <cell r="BL12" t="str">
            <v/>
          </cell>
          <cell r="BM12" t="str">
            <v>1</v>
          </cell>
          <cell r="BN12" t="str">
            <v/>
          </cell>
          <cell r="BO12" t="str">
            <v/>
          </cell>
        </row>
        <row r="13">
          <cell r="A13">
            <v>1</v>
          </cell>
          <cell r="B13">
            <v>1122001</v>
          </cell>
          <cell r="C13" t="str">
            <v>C.A.R.</v>
          </cell>
          <cell r="D13" t="str">
            <v>PROVISION POUR NOTE DT CT</v>
          </cell>
          <cell r="E13" t="str">
            <v>N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 t="str">
            <v/>
          </cell>
          <cell r="AO13">
            <v>0</v>
          </cell>
          <cell r="AP13">
            <v>0</v>
          </cell>
          <cell r="AQ13">
            <v>0</v>
          </cell>
          <cell r="AR13">
            <v>50</v>
          </cell>
          <cell r="AS13">
            <v>0</v>
          </cell>
          <cell r="AT13" t="str">
            <v/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 t="str">
            <v/>
          </cell>
          <cell r="BK13">
            <v>1200</v>
          </cell>
          <cell r="BL13" t="str">
            <v>0</v>
          </cell>
          <cell r="BM13" t="str">
            <v>1</v>
          </cell>
          <cell r="BN13" t="str">
            <v/>
          </cell>
          <cell r="BO13" t="str">
            <v/>
          </cell>
        </row>
        <row r="14">
          <cell r="A14">
            <v>1</v>
          </cell>
          <cell r="B14">
            <v>1122011</v>
          </cell>
          <cell r="C14" t="str">
            <v>C.A.R.</v>
          </cell>
          <cell r="D14" t="str">
            <v>PROVISION POUR ABITIBI</v>
          </cell>
          <cell r="E14" t="str">
            <v>N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</v>
          </cell>
          <cell r="AN14" t="str">
            <v/>
          </cell>
          <cell r="AO14">
            <v>0</v>
          </cell>
          <cell r="AP14">
            <v>0</v>
          </cell>
          <cell r="AQ14">
            <v>0</v>
          </cell>
          <cell r="AR14">
            <v>50</v>
          </cell>
          <cell r="AS14">
            <v>0</v>
          </cell>
          <cell r="AT14" t="str">
            <v/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 t="str">
            <v/>
          </cell>
          <cell r="BK14">
            <v>1200</v>
          </cell>
          <cell r="BL14" t="str">
            <v>0</v>
          </cell>
          <cell r="BM14" t="str">
            <v>1</v>
          </cell>
          <cell r="BN14" t="str">
            <v/>
          </cell>
          <cell r="BO14" t="str">
            <v/>
          </cell>
        </row>
        <row r="15">
          <cell r="A15">
            <v>1</v>
          </cell>
          <cell r="B15">
            <v>1122901</v>
          </cell>
          <cell r="C15" t="str">
            <v>C.A.R.</v>
          </cell>
          <cell r="D15" t="str">
            <v>CLEARING PRMS</v>
          </cell>
          <cell r="E15" t="str">
            <v>N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</v>
          </cell>
          <cell r="AN15" t="str">
            <v/>
          </cell>
          <cell r="AO15">
            <v>0</v>
          </cell>
          <cell r="AP15">
            <v>0</v>
          </cell>
          <cell r="AQ15">
            <v>0</v>
          </cell>
          <cell r="AR15">
            <v>50</v>
          </cell>
          <cell r="AS15">
            <v>0</v>
          </cell>
          <cell r="AT15" t="str">
            <v/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 t="str">
            <v/>
          </cell>
          <cell r="BK15">
            <v>1200</v>
          </cell>
          <cell r="BL15" t="str">
            <v>0</v>
          </cell>
          <cell r="BM15" t="str">
            <v>1</v>
          </cell>
          <cell r="BN15" t="str">
            <v/>
          </cell>
          <cell r="BO15" t="str">
            <v/>
          </cell>
        </row>
        <row r="16">
          <cell r="A16">
            <v>1</v>
          </cell>
          <cell r="B16">
            <v>1122911</v>
          </cell>
          <cell r="C16" t="str">
            <v>C.A.R.</v>
          </cell>
          <cell r="D16" t="str">
            <v>INTERCO DIVISIONAL</v>
          </cell>
          <cell r="E16" t="str">
            <v>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</v>
          </cell>
          <cell r="AN16" t="str">
            <v/>
          </cell>
          <cell r="AO16">
            <v>0</v>
          </cell>
          <cell r="AP16">
            <v>0</v>
          </cell>
          <cell r="AQ16">
            <v>0</v>
          </cell>
          <cell r="AR16">
            <v>50</v>
          </cell>
          <cell r="AS16">
            <v>0</v>
          </cell>
          <cell r="AT16" t="str">
            <v/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 t="str">
            <v/>
          </cell>
          <cell r="BK16">
            <v>1200</v>
          </cell>
          <cell r="BL16" t="str">
            <v>0</v>
          </cell>
          <cell r="BM16" t="str">
            <v>1</v>
          </cell>
          <cell r="BN16" t="str">
            <v/>
          </cell>
          <cell r="BO16" t="str">
            <v/>
          </cell>
        </row>
        <row r="17">
          <cell r="A17">
            <v>1</v>
          </cell>
          <cell r="B17">
            <v>1123901</v>
          </cell>
          <cell r="C17" t="str">
            <v>C.A.R.</v>
          </cell>
          <cell r="D17" t="str">
            <v>INTER CO PAIEMENT</v>
          </cell>
          <cell r="E17" t="str">
            <v>N</v>
          </cell>
          <cell r="F17">
            <v>0</v>
          </cell>
          <cell r="G17">
            <v>0</v>
          </cell>
          <cell r="H17">
            <v>40000</v>
          </cell>
          <cell r="I17">
            <v>40000</v>
          </cell>
          <cell r="J17">
            <v>65000</v>
          </cell>
          <cell r="K17">
            <v>0</v>
          </cell>
          <cell r="L17">
            <v>0</v>
          </cell>
          <cell r="M17">
            <v>0</v>
          </cell>
          <cell r="N17">
            <v>65000</v>
          </cell>
          <cell r="O17">
            <v>65000</v>
          </cell>
          <cell r="P17">
            <v>65000</v>
          </cell>
          <cell r="Q17">
            <v>65000</v>
          </cell>
          <cell r="R17">
            <v>40000</v>
          </cell>
          <cell r="S17">
            <v>40000</v>
          </cell>
          <cell r="T17">
            <v>40000</v>
          </cell>
          <cell r="U17">
            <v>40000</v>
          </cell>
          <cell r="V17">
            <v>40000</v>
          </cell>
          <cell r="W17">
            <v>40000</v>
          </cell>
          <cell r="X17">
            <v>40000</v>
          </cell>
          <cell r="Y17">
            <v>40000</v>
          </cell>
          <cell r="Z17">
            <v>180711.93</v>
          </cell>
          <cell r="AA17">
            <v>180711.93</v>
          </cell>
          <cell r="AB17">
            <v>160837.93</v>
          </cell>
          <cell r="AC17">
            <v>160837.93</v>
          </cell>
          <cell r="AD17">
            <v>120837.93</v>
          </cell>
          <cell r="AE17">
            <v>100837.93</v>
          </cell>
          <cell r="AF17">
            <v>85000</v>
          </cell>
          <cell r="AG17">
            <v>85000</v>
          </cell>
          <cell r="AH17">
            <v>85000</v>
          </cell>
          <cell r="AI17">
            <v>65000</v>
          </cell>
          <cell r="AJ17">
            <v>65000</v>
          </cell>
          <cell r="AK17">
            <v>65000</v>
          </cell>
          <cell r="AL17">
            <v>0</v>
          </cell>
          <cell r="AM17">
            <v>1</v>
          </cell>
          <cell r="AN17" t="str">
            <v/>
          </cell>
          <cell r="AO17">
            <v>0</v>
          </cell>
          <cell r="AP17">
            <v>0</v>
          </cell>
          <cell r="AQ17">
            <v>0</v>
          </cell>
          <cell r="AR17">
            <v>50</v>
          </cell>
          <cell r="AS17">
            <v>0</v>
          </cell>
          <cell r="AT17" t="str">
            <v/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 t="str">
            <v/>
          </cell>
          <cell r="BK17">
            <v>1200</v>
          </cell>
          <cell r="BL17" t="str">
            <v>0</v>
          </cell>
          <cell r="BM17" t="str">
            <v>1</v>
          </cell>
          <cell r="BN17" t="str">
            <v/>
          </cell>
          <cell r="BO17" t="str">
            <v/>
          </cell>
        </row>
        <row r="18">
          <cell r="A18">
            <v>1</v>
          </cell>
          <cell r="B18">
            <v>1124001</v>
          </cell>
          <cell r="C18" t="str">
            <v>C.A.R.</v>
          </cell>
          <cell r="D18" t="str">
            <v>REMB ORDINATEUR</v>
          </cell>
          <cell r="E18" t="str">
            <v>N</v>
          </cell>
          <cell r="F18">
            <v>0</v>
          </cell>
          <cell r="G18">
            <v>0</v>
          </cell>
          <cell r="H18">
            <v>4075.69</v>
          </cell>
          <cell r="I18">
            <v>1266.25</v>
          </cell>
          <cell r="J18">
            <v>1266.25</v>
          </cell>
          <cell r="K18">
            <v>0</v>
          </cell>
          <cell r="L18">
            <v>0</v>
          </cell>
          <cell r="M18">
            <v>0</v>
          </cell>
          <cell r="N18">
            <v>5341.94</v>
          </cell>
          <cell r="O18">
            <v>4075.69</v>
          </cell>
          <cell r="P18">
            <v>4075.69</v>
          </cell>
          <cell r="Q18">
            <v>4075.69</v>
          </cell>
          <cell r="R18">
            <v>4075.69</v>
          </cell>
          <cell r="S18">
            <v>4075.69</v>
          </cell>
          <cell r="T18">
            <v>4075.69</v>
          </cell>
          <cell r="U18">
            <v>4075.69</v>
          </cell>
          <cell r="V18">
            <v>4075.69</v>
          </cell>
          <cell r="W18">
            <v>4075.69</v>
          </cell>
          <cell r="X18">
            <v>4075.69</v>
          </cell>
          <cell r="Y18">
            <v>4075.69</v>
          </cell>
          <cell r="Z18">
            <v>4075.69</v>
          </cell>
          <cell r="AA18">
            <v>4075.69</v>
          </cell>
          <cell r="AB18">
            <v>4075.69</v>
          </cell>
          <cell r="AC18">
            <v>4075.69</v>
          </cell>
          <cell r="AD18">
            <v>4075.69</v>
          </cell>
          <cell r="AE18">
            <v>4075.69</v>
          </cell>
          <cell r="AF18">
            <v>4075.69</v>
          </cell>
          <cell r="AG18">
            <v>4075.69</v>
          </cell>
          <cell r="AH18">
            <v>4075.69</v>
          </cell>
          <cell r="AI18">
            <v>4075.69</v>
          </cell>
          <cell r="AJ18">
            <v>4075.69</v>
          </cell>
          <cell r="AK18">
            <v>4075.69</v>
          </cell>
          <cell r="AL18">
            <v>0</v>
          </cell>
          <cell r="AM18">
            <v>1</v>
          </cell>
          <cell r="AN18" t="str">
            <v/>
          </cell>
          <cell r="AO18">
            <v>0</v>
          </cell>
          <cell r="AP18">
            <v>0</v>
          </cell>
          <cell r="AQ18">
            <v>0</v>
          </cell>
          <cell r="AR18">
            <v>50</v>
          </cell>
          <cell r="AS18">
            <v>0</v>
          </cell>
          <cell r="AT18" t="str">
            <v/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 t="str">
            <v/>
          </cell>
          <cell r="BK18">
            <v>1200</v>
          </cell>
          <cell r="BL18" t="str">
            <v>0</v>
          </cell>
          <cell r="BM18" t="str">
            <v>1</v>
          </cell>
          <cell r="BN18" t="str">
            <v/>
          </cell>
          <cell r="BO18" t="str">
            <v/>
          </cell>
        </row>
        <row r="19">
          <cell r="A19">
            <v>1</v>
          </cell>
          <cell r="B19">
            <v>1124011</v>
          </cell>
          <cell r="C19" t="str">
            <v>C.A.R.</v>
          </cell>
          <cell r="D19" t="str">
            <v>OEC SYNDIQUE</v>
          </cell>
          <cell r="E19" t="str">
            <v>N</v>
          </cell>
          <cell r="F19">
            <v>0</v>
          </cell>
          <cell r="G19">
            <v>0</v>
          </cell>
          <cell r="H19">
            <v>-3856.45</v>
          </cell>
          <cell r="I19">
            <v>77453.710000000006</v>
          </cell>
          <cell r="J19">
            <v>79576</v>
          </cell>
          <cell r="K19">
            <v>0</v>
          </cell>
          <cell r="L19">
            <v>9980.85</v>
          </cell>
          <cell r="M19">
            <v>5959.8</v>
          </cell>
          <cell r="N19">
            <v>-1787.16</v>
          </cell>
          <cell r="O19">
            <v>-1702.36</v>
          </cell>
          <cell r="P19">
            <v>-1749</v>
          </cell>
          <cell r="Q19">
            <v>-1573.04</v>
          </cell>
          <cell r="R19">
            <v>-1581.52</v>
          </cell>
          <cell r="S19">
            <v>-1698.12</v>
          </cell>
          <cell r="T19">
            <v>-1568.8</v>
          </cell>
          <cell r="U19">
            <v>-3152.44</v>
          </cell>
          <cell r="V19">
            <v>-1545.48</v>
          </cell>
          <cell r="W19">
            <v>0</v>
          </cell>
          <cell r="X19">
            <v>-3856.45</v>
          </cell>
          <cell r="Y19">
            <v>164.6</v>
          </cell>
          <cell r="Z19">
            <v>-11354.29</v>
          </cell>
          <cell r="AA19">
            <v>-9277.41</v>
          </cell>
          <cell r="AB19">
            <v>-11193.66</v>
          </cell>
          <cell r="AC19">
            <v>-7568.07</v>
          </cell>
          <cell r="AD19">
            <v>-6866.6</v>
          </cell>
          <cell r="AE19">
            <v>-7581.41</v>
          </cell>
          <cell r="AF19">
            <v>-8860.31</v>
          </cell>
          <cell r="AG19">
            <v>-7270.12</v>
          </cell>
          <cell r="AH19">
            <v>-6680.32</v>
          </cell>
          <cell r="AI19">
            <v>-3453.4</v>
          </cell>
          <cell r="AJ19">
            <v>-3722.72</v>
          </cell>
          <cell r="AK19">
            <v>-1734.16</v>
          </cell>
          <cell r="AL19">
            <v>0</v>
          </cell>
          <cell r="AM19">
            <v>1</v>
          </cell>
          <cell r="AN19" t="str">
            <v/>
          </cell>
          <cell r="AO19">
            <v>0</v>
          </cell>
          <cell r="AP19">
            <v>0</v>
          </cell>
          <cell r="AQ19">
            <v>0</v>
          </cell>
          <cell r="AR19">
            <v>50</v>
          </cell>
          <cell r="AS19">
            <v>0</v>
          </cell>
          <cell r="AT19" t="str">
            <v/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 t="str">
            <v/>
          </cell>
          <cell r="BK19">
            <v>1200</v>
          </cell>
          <cell r="BL19" t="str">
            <v/>
          </cell>
          <cell r="BM19" t="str">
            <v>1</v>
          </cell>
          <cell r="BN19" t="str">
            <v/>
          </cell>
          <cell r="BO19" t="str">
            <v/>
          </cell>
        </row>
        <row r="20">
          <cell r="A20">
            <v>1</v>
          </cell>
          <cell r="B20">
            <v>1124021</v>
          </cell>
          <cell r="C20" t="str">
            <v>C.A.R.</v>
          </cell>
          <cell r="D20" t="str">
            <v>OEQ SYNDIQUÉ</v>
          </cell>
          <cell r="E20" t="str">
            <v>N</v>
          </cell>
          <cell r="F20">
            <v>0</v>
          </cell>
          <cell r="G20">
            <v>0</v>
          </cell>
          <cell r="H20">
            <v>-0.01</v>
          </cell>
          <cell r="I20">
            <v>0</v>
          </cell>
          <cell r="J20">
            <v>0</v>
          </cell>
          <cell r="K20">
            <v>0</v>
          </cell>
          <cell r="L20">
            <v>0.01</v>
          </cell>
          <cell r="M20">
            <v>0</v>
          </cell>
          <cell r="N20">
            <v>-0.01</v>
          </cell>
          <cell r="O20">
            <v>-0.01</v>
          </cell>
          <cell r="P20">
            <v>-0.01</v>
          </cell>
          <cell r="Q20">
            <v>-0.01</v>
          </cell>
          <cell r="R20">
            <v>-0.01</v>
          </cell>
          <cell r="S20">
            <v>-0.01</v>
          </cell>
          <cell r="T20">
            <v>-0.01</v>
          </cell>
          <cell r="U20">
            <v>-0.01</v>
          </cell>
          <cell r="V20">
            <v>-0.01</v>
          </cell>
          <cell r="W20">
            <v>-0.01</v>
          </cell>
          <cell r="X20">
            <v>-0.01</v>
          </cell>
          <cell r="Y20">
            <v>0</v>
          </cell>
          <cell r="Z20">
            <v>-0.01</v>
          </cell>
          <cell r="AA20">
            <v>-0.01</v>
          </cell>
          <cell r="AB20">
            <v>-0.01</v>
          </cell>
          <cell r="AC20">
            <v>-0.01</v>
          </cell>
          <cell r="AD20">
            <v>-0.01</v>
          </cell>
          <cell r="AE20">
            <v>-0.01</v>
          </cell>
          <cell r="AF20">
            <v>-0.01</v>
          </cell>
          <cell r="AG20">
            <v>-0.01</v>
          </cell>
          <cell r="AH20">
            <v>-0.01</v>
          </cell>
          <cell r="AI20">
            <v>-0.01</v>
          </cell>
          <cell r="AJ20">
            <v>-0.01</v>
          </cell>
          <cell r="AK20">
            <v>-0.01</v>
          </cell>
          <cell r="AL20">
            <v>0</v>
          </cell>
          <cell r="AM20">
            <v>1</v>
          </cell>
          <cell r="AN20" t="str">
            <v/>
          </cell>
          <cell r="AO20">
            <v>0</v>
          </cell>
          <cell r="AP20">
            <v>0</v>
          </cell>
          <cell r="AQ20">
            <v>0</v>
          </cell>
          <cell r="AR20">
            <v>50</v>
          </cell>
          <cell r="AS20">
            <v>0</v>
          </cell>
          <cell r="AT20" t="str">
            <v/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 t="str">
            <v/>
          </cell>
          <cell r="BK20">
            <v>1200</v>
          </cell>
          <cell r="BL20" t="str">
            <v/>
          </cell>
          <cell r="BM20" t="str">
            <v>1</v>
          </cell>
          <cell r="BN20" t="str">
            <v/>
          </cell>
          <cell r="BO20" t="str">
            <v/>
          </cell>
        </row>
        <row r="21">
          <cell r="A21">
            <v>1</v>
          </cell>
          <cell r="B21">
            <v>1124031</v>
          </cell>
          <cell r="C21" t="str">
            <v>C.A.R.</v>
          </cell>
          <cell r="D21" t="str">
            <v>OEC  NON SYNDIQUE</v>
          </cell>
          <cell r="E21" t="str">
            <v>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-2346.5</v>
          </cell>
          <cell r="AA21">
            <v>-1955.42</v>
          </cell>
          <cell r="AB21">
            <v>-2150.96</v>
          </cell>
          <cell r="AC21">
            <v>-2150.96</v>
          </cell>
          <cell r="AD21">
            <v>-1130.74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</v>
          </cell>
          <cell r="AN21" t="str">
            <v/>
          </cell>
          <cell r="AO21">
            <v>0</v>
          </cell>
          <cell r="AP21">
            <v>0</v>
          </cell>
          <cell r="AQ21">
            <v>0</v>
          </cell>
          <cell r="AR21">
            <v>50</v>
          </cell>
          <cell r="AS21">
            <v>0</v>
          </cell>
          <cell r="AT21" t="str">
            <v/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 t="str">
            <v/>
          </cell>
          <cell r="BK21">
            <v>1200</v>
          </cell>
          <cell r="BL21" t="str">
            <v/>
          </cell>
          <cell r="BM21" t="str">
            <v>1</v>
          </cell>
          <cell r="BN21" t="str">
            <v/>
          </cell>
          <cell r="BO21" t="str">
            <v/>
          </cell>
        </row>
        <row r="22">
          <cell r="A22">
            <v>1</v>
          </cell>
          <cell r="B22">
            <v>1127000</v>
          </cell>
          <cell r="C22" t="str">
            <v>C.A.R. (TPS)</v>
          </cell>
          <cell r="D22" t="str">
            <v>TPS A RECEVOIR</v>
          </cell>
          <cell r="E22" t="str">
            <v>N</v>
          </cell>
          <cell r="F22">
            <v>0</v>
          </cell>
          <cell r="G22">
            <v>0</v>
          </cell>
          <cell r="H22">
            <v>0</v>
          </cell>
          <cell r="I22">
            <v>1924862.49</v>
          </cell>
          <cell r="J22">
            <v>1924862.49</v>
          </cell>
          <cell r="K22">
            <v>0</v>
          </cell>
          <cell r="L22">
            <v>172648.67</v>
          </cell>
          <cell r="M22">
            <v>172648.67</v>
          </cell>
          <cell r="N22">
            <v>152052.63</v>
          </cell>
          <cell r="O22">
            <v>0</v>
          </cell>
          <cell r="P22">
            <v>0</v>
          </cell>
          <cell r="Q22">
            <v>0</v>
          </cell>
          <cell r="R22">
            <v>395.4</v>
          </cell>
          <cell r="S22">
            <v>63.56</v>
          </cell>
          <cell r="T22">
            <v>534.20000000000005</v>
          </cell>
          <cell r="U22">
            <v>0</v>
          </cell>
          <cell r="V22">
            <v>-5864.88</v>
          </cell>
          <cell r="W22">
            <v>135567.34</v>
          </cell>
          <cell r="X22">
            <v>0</v>
          </cell>
          <cell r="Y22">
            <v>0</v>
          </cell>
          <cell r="Z22">
            <v>-312.38</v>
          </cell>
          <cell r="AA22">
            <v>2596.1999999999998</v>
          </cell>
          <cell r="AB22">
            <v>0</v>
          </cell>
          <cell r="AC22">
            <v>6509.3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-56</v>
          </cell>
          <cell r="AJ22">
            <v>6664.27</v>
          </cell>
          <cell r="AK22">
            <v>0</v>
          </cell>
          <cell r="AL22">
            <v>0</v>
          </cell>
          <cell r="AM22">
            <v>0</v>
          </cell>
          <cell r="AN22" t="str">
            <v/>
          </cell>
          <cell r="AO22">
            <v>0</v>
          </cell>
          <cell r="AP22">
            <v>0</v>
          </cell>
          <cell r="AQ22">
            <v>0</v>
          </cell>
          <cell r="AR22">
            <v>50</v>
          </cell>
          <cell r="AS22">
            <v>0</v>
          </cell>
          <cell r="AT22" t="str">
            <v/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 t="str">
            <v/>
          </cell>
          <cell r="BK22">
            <v>1200</v>
          </cell>
          <cell r="BL22" t="str">
            <v>0</v>
          </cell>
          <cell r="BM22" t="str">
            <v>1</v>
          </cell>
          <cell r="BN22" t="str">
            <v/>
          </cell>
          <cell r="BO22" t="str">
            <v/>
          </cell>
        </row>
        <row r="23">
          <cell r="A23">
            <v>1</v>
          </cell>
          <cell r="B23">
            <v>1127010</v>
          </cell>
          <cell r="C23" t="str">
            <v>C.A.R. (TVQ)</v>
          </cell>
          <cell r="D23" t="str">
            <v>TVQ A RECEVOIR</v>
          </cell>
          <cell r="E23" t="str">
            <v>N</v>
          </cell>
          <cell r="F23">
            <v>0</v>
          </cell>
          <cell r="G23">
            <v>0</v>
          </cell>
          <cell r="H23">
            <v>0</v>
          </cell>
          <cell r="I23">
            <v>1717318.97</v>
          </cell>
          <cell r="J23">
            <v>1717318.97</v>
          </cell>
          <cell r="K23">
            <v>0</v>
          </cell>
          <cell r="L23">
            <v>162643.91</v>
          </cell>
          <cell r="M23">
            <v>162643.91</v>
          </cell>
          <cell r="N23">
            <v>122434.51</v>
          </cell>
          <cell r="O23">
            <v>0</v>
          </cell>
          <cell r="P23">
            <v>0</v>
          </cell>
          <cell r="Q23">
            <v>0</v>
          </cell>
          <cell r="R23">
            <v>453.29</v>
          </cell>
          <cell r="S23">
            <v>72.87</v>
          </cell>
          <cell r="T23">
            <v>585.38</v>
          </cell>
          <cell r="U23">
            <v>0</v>
          </cell>
          <cell r="V23">
            <v>0</v>
          </cell>
          <cell r="W23">
            <v>130042.53</v>
          </cell>
          <cell r="X23">
            <v>0</v>
          </cell>
          <cell r="Y23">
            <v>0</v>
          </cell>
          <cell r="Z23">
            <v>-358.11</v>
          </cell>
          <cell r="AA23">
            <v>342.58</v>
          </cell>
          <cell r="AB23">
            <v>0</v>
          </cell>
          <cell r="AC23">
            <v>279.56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-64.2</v>
          </cell>
          <cell r="AJ23">
            <v>7640.11</v>
          </cell>
          <cell r="AK23">
            <v>0</v>
          </cell>
          <cell r="AL23">
            <v>0</v>
          </cell>
          <cell r="AM23">
            <v>0</v>
          </cell>
          <cell r="AN23" t="str">
            <v/>
          </cell>
          <cell r="AO23">
            <v>0</v>
          </cell>
          <cell r="AP23">
            <v>0</v>
          </cell>
          <cell r="AQ23">
            <v>0</v>
          </cell>
          <cell r="AR23">
            <v>50</v>
          </cell>
          <cell r="AS23">
            <v>0</v>
          </cell>
          <cell r="AT23" t="str">
            <v/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 t="str">
            <v/>
          </cell>
          <cell r="BK23">
            <v>1200</v>
          </cell>
          <cell r="BL23" t="str">
            <v>0</v>
          </cell>
          <cell r="BM23" t="str">
            <v>1</v>
          </cell>
          <cell r="BN23" t="str">
            <v/>
          </cell>
          <cell r="BO23" t="str">
            <v/>
          </cell>
        </row>
        <row r="24">
          <cell r="A24">
            <v>1</v>
          </cell>
          <cell r="B24">
            <v>1127015</v>
          </cell>
          <cell r="C24" t="str">
            <v>C.A.R.</v>
          </cell>
          <cell r="D24" t="str">
            <v>CLEARING TPS ET TVQ</v>
          </cell>
          <cell r="E24" t="str">
            <v>N</v>
          </cell>
          <cell r="F24">
            <v>0</v>
          </cell>
          <cell r="G24">
            <v>0</v>
          </cell>
          <cell r="H24">
            <v>576220.88</v>
          </cell>
          <cell r="I24">
            <v>3556037.56</v>
          </cell>
          <cell r="J24">
            <v>3851027.8</v>
          </cell>
          <cell r="K24">
            <v>0</v>
          </cell>
          <cell r="L24">
            <v>326041.44</v>
          </cell>
          <cell r="M24">
            <v>263884.26</v>
          </cell>
          <cell r="N24">
            <v>551527.75</v>
          </cell>
          <cell r="O24">
            <v>618614.19999999995</v>
          </cell>
          <cell r="P24">
            <v>713348.18</v>
          </cell>
          <cell r="Q24">
            <v>558708.61</v>
          </cell>
          <cell r="R24">
            <v>465903.68</v>
          </cell>
          <cell r="S24">
            <v>680412.29</v>
          </cell>
          <cell r="T24">
            <v>919350.8</v>
          </cell>
          <cell r="U24">
            <v>551080.18999999994</v>
          </cell>
          <cell r="V24">
            <v>671043.82999999996</v>
          </cell>
          <cell r="W24">
            <v>358902.16</v>
          </cell>
          <cell r="X24">
            <v>576220.88</v>
          </cell>
          <cell r="Y24">
            <v>638378.06000000006</v>
          </cell>
          <cell r="Z24">
            <v>1004667.6</v>
          </cell>
          <cell r="AA24">
            <v>936182.24</v>
          </cell>
          <cell r="AB24">
            <v>603885.56000000006</v>
          </cell>
          <cell r="AC24">
            <v>517666.32</v>
          </cell>
          <cell r="AD24">
            <v>478718.42</v>
          </cell>
          <cell r="AE24">
            <v>638501.99</v>
          </cell>
          <cell r="AF24">
            <v>818989.02</v>
          </cell>
          <cell r="AG24">
            <v>576306.9</v>
          </cell>
          <cell r="AH24">
            <v>631486.13</v>
          </cell>
          <cell r="AI24">
            <v>943470.2</v>
          </cell>
          <cell r="AJ24">
            <v>936570.47</v>
          </cell>
          <cell r="AK24">
            <v>871211.12</v>
          </cell>
          <cell r="AL24">
            <v>0</v>
          </cell>
          <cell r="AM24">
            <v>5</v>
          </cell>
          <cell r="AN24" t="str">
            <v/>
          </cell>
          <cell r="AO24">
            <v>0</v>
          </cell>
          <cell r="AP24">
            <v>0</v>
          </cell>
          <cell r="AQ24">
            <v>0</v>
          </cell>
          <cell r="AR24">
            <v>50</v>
          </cell>
          <cell r="AS24">
            <v>0</v>
          </cell>
          <cell r="AT24" t="str">
            <v/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 t="str">
            <v/>
          </cell>
          <cell r="BK24">
            <v>1200</v>
          </cell>
          <cell r="BL24" t="str">
            <v/>
          </cell>
          <cell r="BM24" t="str">
            <v>1</v>
          </cell>
          <cell r="BN24" t="str">
            <v/>
          </cell>
          <cell r="BO24" t="str">
            <v/>
          </cell>
        </row>
        <row r="25">
          <cell r="A25">
            <v>1</v>
          </cell>
          <cell r="B25">
            <v>1129000</v>
          </cell>
          <cell r="C25" t="str">
            <v>C.A.R.</v>
          </cell>
          <cell r="D25" t="str">
            <v>DIVERS</v>
          </cell>
          <cell r="E25" t="str">
            <v>N</v>
          </cell>
          <cell r="F25">
            <v>0</v>
          </cell>
          <cell r="G25">
            <v>0</v>
          </cell>
          <cell r="H25">
            <v>11219.19</v>
          </cell>
          <cell r="I25">
            <v>7729.83</v>
          </cell>
          <cell r="J25">
            <v>6180.7</v>
          </cell>
          <cell r="K25">
            <v>0</v>
          </cell>
          <cell r="L25">
            <v>0</v>
          </cell>
          <cell r="M25">
            <v>0</v>
          </cell>
          <cell r="N25">
            <v>9858.11</v>
          </cell>
          <cell r="O25">
            <v>10077.700000000001</v>
          </cell>
          <cell r="P25">
            <v>10421.120000000001</v>
          </cell>
          <cell r="Q25">
            <v>10421.120000000001</v>
          </cell>
          <cell r="R25">
            <v>10554.34</v>
          </cell>
          <cell r="S25">
            <v>10762.54</v>
          </cell>
          <cell r="T25">
            <v>10762.54</v>
          </cell>
          <cell r="U25">
            <v>11219.19</v>
          </cell>
          <cell r="V25">
            <v>11219.19</v>
          </cell>
          <cell r="W25">
            <v>11219.19</v>
          </cell>
          <cell r="X25">
            <v>11219.19</v>
          </cell>
          <cell r="Y25">
            <v>11219.19</v>
          </cell>
          <cell r="Z25">
            <v>2071.71</v>
          </cell>
          <cell r="AA25">
            <v>2542.38</v>
          </cell>
          <cell r="AB25">
            <v>2581.8000000000002</v>
          </cell>
          <cell r="AC25">
            <v>3930.28</v>
          </cell>
          <cell r="AD25">
            <v>6138.87</v>
          </cell>
          <cell r="AE25">
            <v>4809.28</v>
          </cell>
          <cell r="AF25">
            <v>5344.28</v>
          </cell>
          <cell r="AG25">
            <v>6589.31</v>
          </cell>
          <cell r="AH25">
            <v>6589.31</v>
          </cell>
          <cell r="AI25">
            <v>9670.06</v>
          </cell>
          <cell r="AJ25">
            <v>9670.06</v>
          </cell>
          <cell r="AK25">
            <v>9670.06</v>
          </cell>
          <cell r="AL25">
            <v>0</v>
          </cell>
          <cell r="AM25">
            <v>0</v>
          </cell>
          <cell r="AN25" t="str">
            <v/>
          </cell>
          <cell r="AO25">
            <v>0</v>
          </cell>
          <cell r="AP25">
            <v>0</v>
          </cell>
          <cell r="AQ25">
            <v>0</v>
          </cell>
          <cell r="AR25">
            <v>50</v>
          </cell>
          <cell r="AS25">
            <v>0</v>
          </cell>
          <cell r="AT25" t="str">
            <v/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 t="str">
            <v/>
          </cell>
          <cell r="BK25">
            <v>1200</v>
          </cell>
          <cell r="BL25" t="str">
            <v>0</v>
          </cell>
          <cell r="BM25" t="str">
            <v>1</v>
          </cell>
          <cell r="BN25" t="str">
            <v/>
          </cell>
          <cell r="BO25" t="str">
            <v/>
          </cell>
        </row>
        <row r="26">
          <cell r="A26">
            <v>1</v>
          </cell>
          <cell r="B26">
            <v>1131001</v>
          </cell>
          <cell r="C26" t="str">
            <v>PROV. MAUVAISES CREANCES</v>
          </cell>
          <cell r="D26" t="str">
            <v>C.A.R.</v>
          </cell>
          <cell r="E26" t="str">
            <v>N</v>
          </cell>
          <cell r="F26">
            <v>0</v>
          </cell>
          <cell r="G26">
            <v>0</v>
          </cell>
          <cell r="H26">
            <v>101763.34</v>
          </cell>
          <cell r="I26">
            <v>89156.72</v>
          </cell>
          <cell r="J26">
            <v>75506.880000000005</v>
          </cell>
          <cell r="K26">
            <v>0</v>
          </cell>
          <cell r="L26">
            <v>101763.34</v>
          </cell>
          <cell r="M26">
            <v>0</v>
          </cell>
          <cell r="N26">
            <v>123746.51</v>
          </cell>
          <cell r="O26">
            <v>115413.18</v>
          </cell>
          <cell r="P26">
            <v>115413.18</v>
          </cell>
          <cell r="Q26">
            <v>115413.18</v>
          </cell>
          <cell r="R26">
            <v>115413.18</v>
          </cell>
          <cell r="S26">
            <v>115413.18</v>
          </cell>
          <cell r="T26">
            <v>115413.18</v>
          </cell>
          <cell r="U26">
            <v>115413.18</v>
          </cell>
          <cell r="V26">
            <v>115413.18</v>
          </cell>
          <cell r="W26">
            <v>115413.18</v>
          </cell>
          <cell r="X26">
            <v>101763.34</v>
          </cell>
          <cell r="Y26">
            <v>0</v>
          </cell>
          <cell r="Z26">
            <v>76931.94</v>
          </cell>
          <cell r="AA26">
            <v>81098.61</v>
          </cell>
          <cell r="AB26">
            <v>77913.149999999994</v>
          </cell>
          <cell r="AC26">
            <v>82079.820000000007</v>
          </cell>
          <cell r="AD26">
            <v>86246.49</v>
          </cell>
          <cell r="AE26">
            <v>90413.16</v>
          </cell>
          <cell r="AF26">
            <v>94579.83</v>
          </cell>
          <cell r="AG26">
            <v>98746.5</v>
          </cell>
          <cell r="AH26">
            <v>102913.17</v>
          </cell>
          <cell r="AI26">
            <v>107079.84</v>
          </cell>
          <cell r="AJ26">
            <v>111246.51</v>
          </cell>
          <cell r="AK26">
            <v>115413.18</v>
          </cell>
          <cell r="AL26">
            <v>0</v>
          </cell>
          <cell r="AM26">
            <v>1</v>
          </cell>
          <cell r="AN26" t="str">
            <v/>
          </cell>
          <cell r="AO26">
            <v>0</v>
          </cell>
          <cell r="AP26">
            <v>0</v>
          </cell>
          <cell r="AQ26">
            <v>0</v>
          </cell>
          <cell r="AR26">
            <v>30</v>
          </cell>
          <cell r="AS26">
            <v>0</v>
          </cell>
          <cell r="AT26" t="str">
            <v/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 t="str">
            <v/>
          </cell>
          <cell r="BK26">
            <v>1300</v>
          </cell>
          <cell r="BL26" t="str">
            <v>0</v>
          </cell>
          <cell r="BM26" t="str">
            <v>1</v>
          </cell>
          <cell r="BN26" t="str">
            <v/>
          </cell>
          <cell r="BO26" t="str">
            <v/>
          </cell>
        </row>
        <row r="27">
          <cell r="A27">
            <v>1</v>
          </cell>
          <cell r="B27">
            <v>1141010</v>
          </cell>
          <cell r="C27" t="str">
            <v>INV MATIERES PREMIERES</v>
          </cell>
          <cell r="D27" t="str">
            <v>PAPIER</v>
          </cell>
          <cell r="E27" t="str">
            <v>N</v>
          </cell>
          <cell r="F27">
            <v>0</v>
          </cell>
          <cell r="G27">
            <v>0</v>
          </cell>
          <cell r="H27">
            <v>70357</v>
          </cell>
          <cell r="I27">
            <v>2013446.66</v>
          </cell>
          <cell r="J27">
            <v>1943089.66</v>
          </cell>
          <cell r="K27">
            <v>0</v>
          </cell>
          <cell r="L27">
            <v>52739</v>
          </cell>
          <cell r="M27">
            <v>70357</v>
          </cell>
          <cell r="N27">
            <v>74204.12</v>
          </cell>
          <cell r="O27">
            <v>80515</v>
          </cell>
          <cell r="P27">
            <v>86732.28</v>
          </cell>
          <cell r="Q27">
            <v>84361.56</v>
          </cell>
          <cell r="R27">
            <v>167368.44</v>
          </cell>
          <cell r="S27">
            <v>188783.69</v>
          </cell>
          <cell r="T27">
            <v>123076.18</v>
          </cell>
          <cell r="U27">
            <v>160378.04999999999</v>
          </cell>
          <cell r="V27">
            <v>170855.01</v>
          </cell>
          <cell r="W27">
            <v>137779</v>
          </cell>
          <cell r="X27">
            <v>70357</v>
          </cell>
          <cell r="Y27">
            <v>52739</v>
          </cell>
          <cell r="Z27">
            <v>48106</v>
          </cell>
          <cell r="AA27">
            <v>45692.04</v>
          </cell>
          <cell r="AB27">
            <v>42462.76</v>
          </cell>
          <cell r="AC27">
            <v>53314</v>
          </cell>
          <cell r="AD27">
            <v>44982.32</v>
          </cell>
          <cell r="AE27">
            <v>43819.09</v>
          </cell>
          <cell r="AF27">
            <v>66203.86</v>
          </cell>
          <cell r="AG27">
            <v>58543.92</v>
          </cell>
          <cell r="AH27">
            <v>117155.6</v>
          </cell>
          <cell r="AI27">
            <v>95087.77</v>
          </cell>
          <cell r="AJ27">
            <v>52086.33</v>
          </cell>
          <cell r="AK27">
            <v>76537.19</v>
          </cell>
          <cell r="AL27">
            <v>0</v>
          </cell>
          <cell r="AM27">
            <v>0</v>
          </cell>
          <cell r="AN27" t="str">
            <v/>
          </cell>
          <cell r="AO27">
            <v>0</v>
          </cell>
          <cell r="AP27">
            <v>0</v>
          </cell>
          <cell r="AQ27">
            <v>0</v>
          </cell>
          <cell r="AR27">
            <v>90</v>
          </cell>
          <cell r="AS27">
            <v>0</v>
          </cell>
          <cell r="AT27" t="str">
            <v/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 t="str">
            <v/>
          </cell>
          <cell r="BK27">
            <v>1400</v>
          </cell>
          <cell r="BL27" t="str">
            <v>0</v>
          </cell>
          <cell r="BM27" t="str">
            <v>1</v>
          </cell>
          <cell r="BN27" t="str">
            <v/>
          </cell>
          <cell r="BO27" t="str">
            <v/>
          </cell>
        </row>
        <row r="28">
          <cell r="A28">
            <v>1</v>
          </cell>
          <cell r="B28">
            <v>1141020</v>
          </cell>
          <cell r="C28" t="str">
            <v>INV MATIERES PREMIERES</v>
          </cell>
          <cell r="D28" t="str">
            <v>SERVIETTE</v>
          </cell>
          <cell r="E28" t="str">
            <v>N</v>
          </cell>
          <cell r="F28">
            <v>0</v>
          </cell>
          <cell r="G28">
            <v>0</v>
          </cell>
          <cell r="H28">
            <v>165049.5</v>
          </cell>
          <cell r="I28">
            <v>1567248.6</v>
          </cell>
          <cell r="J28">
            <v>1402199.1</v>
          </cell>
          <cell r="K28">
            <v>0</v>
          </cell>
          <cell r="L28">
            <v>157778.5</v>
          </cell>
          <cell r="M28">
            <v>165049.5</v>
          </cell>
          <cell r="N28">
            <v>31420.43</v>
          </cell>
          <cell r="O28">
            <v>47260.13</v>
          </cell>
          <cell r="P28">
            <v>41243.519999999997</v>
          </cell>
          <cell r="Q28">
            <v>42248.73</v>
          </cell>
          <cell r="R28">
            <v>37760.58</v>
          </cell>
          <cell r="S28">
            <v>192450.92</v>
          </cell>
          <cell r="T28">
            <v>177523.92</v>
          </cell>
          <cell r="U28">
            <v>175686.5</v>
          </cell>
          <cell r="V28">
            <v>166949.46</v>
          </cell>
          <cell r="W28">
            <v>166872.46</v>
          </cell>
          <cell r="X28">
            <v>165049.5</v>
          </cell>
          <cell r="Y28">
            <v>157778.5</v>
          </cell>
          <cell r="Z28">
            <v>30024</v>
          </cell>
          <cell r="AA28">
            <v>46412.13</v>
          </cell>
          <cell r="AB28">
            <v>18413.8</v>
          </cell>
          <cell r="AC28">
            <v>4580</v>
          </cell>
          <cell r="AD28">
            <v>0</v>
          </cell>
          <cell r="AE28">
            <v>70962.5</v>
          </cell>
          <cell r="AF28">
            <v>44788</v>
          </cell>
          <cell r="AG28">
            <v>40356.92</v>
          </cell>
          <cell r="AH28">
            <v>99782.69</v>
          </cell>
          <cell r="AI28">
            <v>105732.99</v>
          </cell>
          <cell r="AJ28">
            <v>84402.52</v>
          </cell>
          <cell r="AK28">
            <v>120274.1</v>
          </cell>
          <cell r="AL28">
            <v>0</v>
          </cell>
          <cell r="AM28">
            <v>0</v>
          </cell>
          <cell r="AN28" t="str">
            <v/>
          </cell>
          <cell r="AO28">
            <v>0</v>
          </cell>
          <cell r="AP28">
            <v>0</v>
          </cell>
          <cell r="AQ28">
            <v>0</v>
          </cell>
          <cell r="AR28">
            <v>90</v>
          </cell>
          <cell r="AS28">
            <v>0</v>
          </cell>
          <cell r="AT28" t="str">
            <v/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 t="str">
            <v/>
          </cell>
          <cell r="BK28">
            <v>1400</v>
          </cell>
          <cell r="BL28" t="str">
            <v>0</v>
          </cell>
          <cell r="BM28" t="str">
            <v>1</v>
          </cell>
          <cell r="BN28" t="str">
            <v/>
          </cell>
          <cell r="BO28" t="str">
            <v/>
          </cell>
        </row>
        <row r="29">
          <cell r="A29">
            <v>1</v>
          </cell>
          <cell r="B29">
            <v>1141030</v>
          </cell>
          <cell r="C29" t="str">
            <v>INV MATIERES PREMIERES</v>
          </cell>
          <cell r="D29" t="str">
            <v>SACS TOUJOURS @ ZERO</v>
          </cell>
          <cell r="E29" t="str">
            <v>N</v>
          </cell>
          <cell r="F29">
            <v>0</v>
          </cell>
          <cell r="G29">
            <v>0</v>
          </cell>
          <cell r="H29">
            <v>1122973</v>
          </cell>
          <cell r="I29">
            <v>18062908.48</v>
          </cell>
          <cell r="J29">
            <v>16939935.48</v>
          </cell>
          <cell r="K29">
            <v>0</v>
          </cell>
          <cell r="L29">
            <v>1993417.41</v>
          </cell>
          <cell r="M29">
            <v>2092940.05</v>
          </cell>
          <cell r="N29">
            <v>1333768</v>
          </cell>
          <cell r="O29">
            <v>1362818</v>
          </cell>
          <cell r="P29">
            <v>1326097.68</v>
          </cell>
          <cell r="Q29">
            <v>1238687</v>
          </cell>
          <cell r="R29">
            <v>1154578.96</v>
          </cell>
          <cell r="S29">
            <v>1104097.96</v>
          </cell>
          <cell r="T29">
            <v>1124506.96</v>
          </cell>
          <cell r="U29">
            <v>1144511</v>
          </cell>
          <cell r="V29">
            <v>1043217.75</v>
          </cell>
          <cell r="W29">
            <v>997018</v>
          </cell>
          <cell r="X29">
            <v>1122973</v>
          </cell>
          <cell r="Y29">
            <v>1023450.36</v>
          </cell>
          <cell r="Z29">
            <v>0</v>
          </cell>
          <cell r="AA29">
            <v>0</v>
          </cell>
          <cell r="AB29">
            <v>994505</v>
          </cell>
          <cell r="AC29">
            <v>977666.97</v>
          </cell>
          <cell r="AD29">
            <v>970000</v>
          </cell>
          <cell r="AE29">
            <v>830476.08</v>
          </cell>
          <cell r="AF29">
            <v>911465</v>
          </cell>
          <cell r="AG29">
            <v>1007830</v>
          </cell>
          <cell r="AH29">
            <v>956207</v>
          </cell>
          <cell r="AI29">
            <v>0</v>
          </cell>
          <cell r="AJ29">
            <v>1066201</v>
          </cell>
          <cell r="AK29">
            <v>1187138.8</v>
          </cell>
          <cell r="AL29">
            <v>0</v>
          </cell>
          <cell r="AM29">
            <v>0</v>
          </cell>
          <cell r="AN29" t="str">
            <v/>
          </cell>
          <cell r="AO29">
            <v>0</v>
          </cell>
          <cell r="AP29">
            <v>0</v>
          </cell>
          <cell r="AQ29">
            <v>0</v>
          </cell>
          <cell r="AR29">
            <v>90</v>
          </cell>
          <cell r="AS29">
            <v>0</v>
          </cell>
          <cell r="AT29" t="str">
            <v/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 t="str">
            <v/>
          </cell>
          <cell r="BK29">
            <v>1400</v>
          </cell>
          <cell r="BL29" t="str">
            <v>0</v>
          </cell>
          <cell r="BM29" t="str">
            <v>1</v>
          </cell>
          <cell r="BN29" t="str">
            <v/>
          </cell>
          <cell r="BO29" t="str">
            <v/>
          </cell>
        </row>
        <row r="30">
          <cell r="A30">
            <v>1</v>
          </cell>
          <cell r="B30">
            <v>1141040</v>
          </cell>
          <cell r="C30" t="str">
            <v>INV MATIERES PREMIERES</v>
          </cell>
          <cell r="D30" t="str">
            <v>SACS</v>
          </cell>
          <cell r="E30" t="str">
            <v>N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1037078</v>
          </cell>
          <cell r="AA30">
            <v>1048535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1046651.4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str">
            <v/>
          </cell>
          <cell r="AO30">
            <v>0</v>
          </cell>
          <cell r="AP30">
            <v>0</v>
          </cell>
          <cell r="AQ30">
            <v>0</v>
          </cell>
          <cell r="AR30">
            <v>90</v>
          </cell>
          <cell r="AS30">
            <v>0</v>
          </cell>
          <cell r="AT30" t="str">
            <v/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 t="str">
            <v/>
          </cell>
          <cell r="BK30">
            <v>1400</v>
          </cell>
          <cell r="BL30" t="str">
            <v>0</v>
          </cell>
          <cell r="BM30" t="str">
            <v>1</v>
          </cell>
          <cell r="BN30" t="str">
            <v/>
          </cell>
          <cell r="BO30" t="str">
            <v/>
          </cell>
        </row>
        <row r="31">
          <cell r="A31">
            <v>3</v>
          </cell>
          <cell r="B31">
            <v>1143000</v>
          </cell>
          <cell r="C31" t="str">
            <v>INV MATIERES PREMIERES</v>
          </cell>
          <cell r="D31" t="str">
            <v>CHIMIQUE</v>
          </cell>
          <cell r="E31" t="str">
            <v>N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str">
            <v/>
          </cell>
          <cell r="AO31">
            <v>0</v>
          </cell>
          <cell r="AP31">
            <v>0</v>
          </cell>
          <cell r="AQ31">
            <v>0</v>
          </cell>
          <cell r="AR31">
            <v>90</v>
          </cell>
          <cell r="AS31">
            <v>0</v>
          </cell>
          <cell r="AT31" t="str">
            <v/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 t="str">
            <v/>
          </cell>
          <cell r="BK31">
            <v>1400</v>
          </cell>
          <cell r="BL31" t="str">
            <v>0</v>
          </cell>
          <cell r="BM31" t="str">
            <v>1</v>
          </cell>
          <cell r="BN31" t="str">
            <v/>
          </cell>
          <cell r="BO31" t="str">
            <v/>
          </cell>
        </row>
        <row r="32">
          <cell r="A32">
            <v>1</v>
          </cell>
          <cell r="B32">
            <v>1151010</v>
          </cell>
          <cell r="C32" t="str">
            <v>INV PRODUITS FINIS</v>
          </cell>
          <cell r="D32" t="str">
            <v>PAPIER</v>
          </cell>
          <cell r="E32" t="str">
            <v>N</v>
          </cell>
          <cell r="F32">
            <v>0</v>
          </cell>
          <cell r="G32">
            <v>0</v>
          </cell>
          <cell r="H32">
            <v>433569.01</v>
          </cell>
          <cell r="I32">
            <v>6544580.5999999996</v>
          </cell>
          <cell r="J32">
            <v>6111011.5899999999</v>
          </cell>
          <cell r="K32">
            <v>0</v>
          </cell>
          <cell r="L32">
            <v>657653.18000000005</v>
          </cell>
          <cell r="M32">
            <v>433569.01</v>
          </cell>
          <cell r="N32">
            <v>516643</v>
          </cell>
          <cell r="O32">
            <v>442838.18</v>
          </cell>
          <cell r="P32">
            <v>510079.21</v>
          </cell>
          <cell r="Q32">
            <v>790651.55</v>
          </cell>
          <cell r="R32">
            <v>627971.80000000005</v>
          </cell>
          <cell r="S32">
            <v>570480.62</v>
          </cell>
          <cell r="T32">
            <v>686730.31</v>
          </cell>
          <cell r="U32">
            <v>701121.18</v>
          </cell>
          <cell r="V32">
            <v>586129.28</v>
          </cell>
          <cell r="W32">
            <v>455761</v>
          </cell>
          <cell r="X32">
            <v>433569.01</v>
          </cell>
          <cell r="Y32">
            <v>657653.18000000005</v>
          </cell>
          <cell r="Z32">
            <v>222316</v>
          </cell>
          <cell r="AA32">
            <v>132773</v>
          </cell>
          <cell r="AB32">
            <v>207522.79</v>
          </cell>
          <cell r="AC32">
            <v>154601</v>
          </cell>
          <cell r="AD32">
            <v>350195.6</v>
          </cell>
          <cell r="AE32">
            <v>308322</v>
          </cell>
          <cell r="AF32">
            <v>407983.91</v>
          </cell>
          <cell r="AG32">
            <v>403804</v>
          </cell>
          <cell r="AH32">
            <v>392948.66</v>
          </cell>
          <cell r="AI32">
            <v>346497</v>
          </cell>
          <cell r="AJ32">
            <v>364194.96</v>
          </cell>
          <cell r="AK32">
            <v>477767.65</v>
          </cell>
          <cell r="AL32">
            <v>0</v>
          </cell>
          <cell r="AM32">
            <v>0</v>
          </cell>
          <cell r="AN32" t="str">
            <v/>
          </cell>
          <cell r="AO32">
            <v>0</v>
          </cell>
          <cell r="AP32">
            <v>0</v>
          </cell>
          <cell r="AQ32">
            <v>0</v>
          </cell>
          <cell r="AR32">
            <v>70</v>
          </cell>
          <cell r="AS32">
            <v>0</v>
          </cell>
          <cell r="AT32" t="str">
            <v/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 t="str">
            <v/>
          </cell>
          <cell r="BK32">
            <v>1500</v>
          </cell>
          <cell r="BL32" t="str">
            <v>0</v>
          </cell>
          <cell r="BM32" t="str">
            <v>1</v>
          </cell>
          <cell r="BN32" t="str">
            <v/>
          </cell>
          <cell r="BO32" t="str">
            <v/>
          </cell>
        </row>
        <row r="33">
          <cell r="A33">
            <v>1</v>
          </cell>
          <cell r="B33">
            <v>1151020</v>
          </cell>
          <cell r="C33" t="str">
            <v>INV PRODUITS FINIS</v>
          </cell>
          <cell r="D33" t="str">
            <v>SERVIETTE</v>
          </cell>
          <cell r="E33" t="str">
            <v>N</v>
          </cell>
          <cell r="F33">
            <v>0</v>
          </cell>
          <cell r="G33">
            <v>0</v>
          </cell>
          <cell r="H33">
            <v>2596725.21</v>
          </cell>
          <cell r="I33">
            <v>37391744.670000002</v>
          </cell>
          <cell r="J33">
            <v>34795019.460000001</v>
          </cell>
          <cell r="K33">
            <v>0</v>
          </cell>
          <cell r="L33">
            <v>2377275.21</v>
          </cell>
          <cell r="M33">
            <v>2596725.21</v>
          </cell>
          <cell r="N33">
            <v>1918976</v>
          </cell>
          <cell r="O33">
            <v>2717706</v>
          </cell>
          <cell r="P33">
            <v>2918330</v>
          </cell>
          <cell r="Q33">
            <v>2487514</v>
          </cell>
          <cell r="R33">
            <v>2989547.34</v>
          </cell>
          <cell r="S33">
            <v>3110992.56</v>
          </cell>
          <cell r="T33">
            <v>3136462.44</v>
          </cell>
          <cell r="U33">
            <v>2578419.14</v>
          </cell>
          <cell r="V33">
            <v>2357533.62</v>
          </cell>
          <cell r="W33">
            <v>2533964.02</v>
          </cell>
          <cell r="X33">
            <v>2596725.21</v>
          </cell>
          <cell r="Y33">
            <v>2377275.21</v>
          </cell>
          <cell r="Z33">
            <v>951471</v>
          </cell>
          <cell r="AA33">
            <v>1034830</v>
          </cell>
          <cell r="AB33">
            <v>1144709.3400000001</v>
          </cell>
          <cell r="AC33">
            <v>1422055</v>
          </cell>
          <cell r="AD33">
            <v>1567857</v>
          </cell>
          <cell r="AE33">
            <v>1369745</v>
          </cell>
          <cell r="AF33">
            <v>1287550</v>
          </cell>
          <cell r="AG33">
            <v>1375797</v>
          </cell>
          <cell r="AH33">
            <v>1180812</v>
          </cell>
          <cell r="AI33">
            <v>1471696.77</v>
          </cell>
          <cell r="AJ33">
            <v>1942651</v>
          </cell>
          <cell r="AK33">
            <v>1795484</v>
          </cell>
          <cell r="AL33">
            <v>0</v>
          </cell>
          <cell r="AM33">
            <v>0</v>
          </cell>
          <cell r="AN33" t="str">
            <v/>
          </cell>
          <cell r="AO33">
            <v>0</v>
          </cell>
          <cell r="AP33">
            <v>0</v>
          </cell>
          <cell r="AQ33">
            <v>0</v>
          </cell>
          <cell r="AR33">
            <v>70</v>
          </cell>
          <cell r="AS33">
            <v>0</v>
          </cell>
          <cell r="AT33" t="str">
            <v/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 t="str">
            <v/>
          </cell>
          <cell r="BK33">
            <v>1500</v>
          </cell>
          <cell r="BL33" t="str">
            <v>0</v>
          </cell>
          <cell r="BM33" t="str">
            <v>1</v>
          </cell>
          <cell r="BN33" t="str">
            <v/>
          </cell>
          <cell r="BO33" t="str">
            <v/>
          </cell>
        </row>
        <row r="34">
          <cell r="A34">
            <v>1</v>
          </cell>
          <cell r="B34">
            <v>1151030</v>
          </cell>
          <cell r="C34" t="str">
            <v>INV PRODUITS FINIS</v>
          </cell>
          <cell r="D34" t="str">
            <v>SACS</v>
          </cell>
          <cell r="E34" t="str">
            <v>N</v>
          </cell>
          <cell r="F34">
            <v>0</v>
          </cell>
          <cell r="G34">
            <v>0</v>
          </cell>
          <cell r="H34">
            <v>1517291.14</v>
          </cell>
          <cell r="I34">
            <v>18354852.75</v>
          </cell>
          <cell r="J34">
            <v>16837561.609999999</v>
          </cell>
          <cell r="K34">
            <v>0</v>
          </cell>
          <cell r="L34">
            <v>3005471.8</v>
          </cell>
          <cell r="M34">
            <v>2994369.52</v>
          </cell>
          <cell r="N34">
            <v>1313447</v>
          </cell>
          <cell r="O34">
            <v>1358324</v>
          </cell>
          <cell r="P34">
            <v>1258447</v>
          </cell>
          <cell r="Q34">
            <v>1311359</v>
          </cell>
          <cell r="R34">
            <v>1312900</v>
          </cell>
          <cell r="S34">
            <v>1333736</v>
          </cell>
          <cell r="T34">
            <v>1344788</v>
          </cell>
          <cell r="U34">
            <v>1360793</v>
          </cell>
          <cell r="V34">
            <v>1299011.8600000001</v>
          </cell>
          <cell r="W34">
            <v>1398127.76</v>
          </cell>
          <cell r="X34">
            <v>1517291.14</v>
          </cell>
          <cell r="Y34">
            <v>1528393.42</v>
          </cell>
          <cell r="Z34">
            <v>969344</v>
          </cell>
          <cell r="AA34">
            <v>1152517</v>
          </cell>
          <cell r="AB34">
            <v>1216925</v>
          </cell>
          <cell r="AC34">
            <v>1046301</v>
          </cell>
          <cell r="AD34">
            <v>921754.93</v>
          </cell>
          <cell r="AE34">
            <v>910544</v>
          </cell>
          <cell r="AF34">
            <v>868005</v>
          </cell>
          <cell r="AG34">
            <v>923833.67</v>
          </cell>
          <cell r="AH34">
            <v>995130</v>
          </cell>
          <cell r="AI34">
            <v>1031823</v>
          </cell>
          <cell r="AJ34">
            <v>1171781</v>
          </cell>
          <cell r="AK34">
            <v>1221135</v>
          </cell>
          <cell r="AL34">
            <v>0</v>
          </cell>
          <cell r="AM34">
            <v>0</v>
          </cell>
          <cell r="AN34" t="str">
            <v/>
          </cell>
          <cell r="AO34">
            <v>0</v>
          </cell>
          <cell r="AP34">
            <v>0</v>
          </cell>
          <cell r="AQ34">
            <v>0</v>
          </cell>
          <cell r="AR34">
            <v>70</v>
          </cell>
          <cell r="AS34">
            <v>0</v>
          </cell>
          <cell r="AT34" t="str">
            <v/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 t="str">
            <v/>
          </cell>
          <cell r="BK34">
            <v>1500</v>
          </cell>
          <cell r="BL34" t="str">
            <v>0</v>
          </cell>
          <cell r="BM34" t="str">
            <v>1</v>
          </cell>
          <cell r="BN34" t="str">
            <v/>
          </cell>
          <cell r="BO34" t="str">
            <v/>
          </cell>
        </row>
        <row r="35">
          <cell r="A35">
            <v>1</v>
          </cell>
          <cell r="B35">
            <v>1151035</v>
          </cell>
          <cell r="C35" t="str">
            <v>INV PRODUITS FINIS</v>
          </cell>
          <cell r="D35" t="str">
            <v>WIP SACS</v>
          </cell>
          <cell r="E35" t="str">
            <v>N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5</v>
          </cell>
          <cell r="AN35" t="str">
            <v/>
          </cell>
          <cell r="AO35">
            <v>0</v>
          </cell>
          <cell r="AP35">
            <v>0</v>
          </cell>
          <cell r="AQ35">
            <v>0</v>
          </cell>
          <cell r="AR35">
            <v>70</v>
          </cell>
          <cell r="AS35">
            <v>0</v>
          </cell>
          <cell r="AT35" t="str">
            <v/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 t="str">
            <v/>
          </cell>
          <cell r="BK35">
            <v>1500</v>
          </cell>
          <cell r="BL35" t="str">
            <v>0</v>
          </cell>
          <cell r="BM35" t="str">
            <v>1</v>
          </cell>
          <cell r="BN35" t="str">
            <v/>
          </cell>
          <cell r="BO35" t="str">
            <v/>
          </cell>
        </row>
        <row r="36">
          <cell r="A36">
            <v>1</v>
          </cell>
          <cell r="B36">
            <v>1151040</v>
          </cell>
          <cell r="C36" t="str">
            <v>PROVISION DÉSUÉTUDE</v>
          </cell>
          <cell r="D36" t="str">
            <v>SACS</v>
          </cell>
          <cell r="E36" t="str">
            <v>N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-40000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str">
            <v/>
          </cell>
          <cell r="AO36">
            <v>0</v>
          </cell>
          <cell r="AP36">
            <v>0</v>
          </cell>
          <cell r="AQ36">
            <v>0</v>
          </cell>
          <cell r="AR36">
            <v>70</v>
          </cell>
          <cell r="AS36">
            <v>0</v>
          </cell>
          <cell r="AT36" t="str">
            <v/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 t="str">
            <v/>
          </cell>
          <cell r="BK36">
            <v>1500</v>
          </cell>
          <cell r="BL36" t="str">
            <v>0</v>
          </cell>
          <cell r="BM36" t="str">
            <v>1</v>
          </cell>
          <cell r="BN36" t="str">
            <v/>
          </cell>
          <cell r="BO36" t="str">
            <v/>
          </cell>
        </row>
        <row r="37">
          <cell r="A37">
            <v>1</v>
          </cell>
          <cell r="B37">
            <v>1151045</v>
          </cell>
          <cell r="C37" t="str">
            <v>INV PRODUITS FINIS</v>
          </cell>
          <cell r="D37" t="str">
            <v>WIP BOITES</v>
          </cell>
          <cell r="E37" t="str">
            <v>N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5</v>
          </cell>
          <cell r="AN37" t="str">
            <v/>
          </cell>
          <cell r="AO37">
            <v>0</v>
          </cell>
          <cell r="AP37">
            <v>0</v>
          </cell>
          <cell r="AQ37">
            <v>0</v>
          </cell>
          <cell r="AR37">
            <v>70</v>
          </cell>
          <cell r="AS37">
            <v>0</v>
          </cell>
          <cell r="AT37" t="str">
            <v/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 t="str">
            <v/>
          </cell>
          <cell r="BK37">
            <v>1500</v>
          </cell>
          <cell r="BL37" t="str">
            <v>0</v>
          </cell>
          <cell r="BM37" t="str">
            <v>1</v>
          </cell>
          <cell r="BN37" t="str">
            <v/>
          </cell>
          <cell r="BO37" t="str">
            <v/>
          </cell>
        </row>
        <row r="38">
          <cell r="A38">
            <v>1</v>
          </cell>
          <cell r="B38">
            <v>1155000</v>
          </cell>
          <cell r="C38" t="str">
            <v>INV PRODUITS FINIS</v>
          </cell>
          <cell r="D38" t="str">
            <v>COUNTER ROLLS</v>
          </cell>
          <cell r="E38" t="str">
            <v>N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str">
            <v/>
          </cell>
          <cell r="AO38">
            <v>0</v>
          </cell>
          <cell r="AP38">
            <v>0</v>
          </cell>
          <cell r="AQ38">
            <v>0</v>
          </cell>
          <cell r="AR38">
            <v>70</v>
          </cell>
          <cell r="AS38">
            <v>0</v>
          </cell>
          <cell r="AT38" t="str">
            <v/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 t="str">
            <v/>
          </cell>
          <cell r="BK38">
            <v>1500</v>
          </cell>
          <cell r="BL38" t="str">
            <v>0</v>
          </cell>
          <cell r="BM38" t="str">
            <v>1</v>
          </cell>
          <cell r="BN38" t="str">
            <v/>
          </cell>
          <cell r="BO38" t="str">
            <v/>
          </cell>
        </row>
        <row r="39">
          <cell r="A39">
            <v>1</v>
          </cell>
          <cell r="B39">
            <v>1155900</v>
          </cell>
          <cell r="C39" t="str">
            <v>INV PRODUITS FINIS</v>
          </cell>
          <cell r="D39" t="str">
            <v>TISSUE</v>
          </cell>
          <cell r="E39" t="str">
            <v>N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str">
            <v/>
          </cell>
          <cell r="AO39">
            <v>0</v>
          </cell>
          <cell r="AP39">
            <v>0</v>
          </cell>
          <cell r="AQ39">
            <v>0</v>
          </cell>
          <cell r="AR39">
            <v>70</v>
          </cell>
          <cell r="AS39">
            <v>0</v>
          </cell>
          <cell r="AT39" t="str">
            <v/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 t="str">
            <v/>
          </cell>
          <cell r="BK39">
            <v>1500</v>
          </cell>
          <cell r="BL39" t="str">
            <v>0</v>
          </cell>
          <cell r="BM39" t="str">
            <v>1</v>
          </cell>
          <cell r="BN39" t="str">
            <v/>
          </cell>
          <cell r="BO39" t="str">
            <v/>
          </cell>
        </row>
        <row r="40">
          <cell r="A40">
            <v>1</v>
          </cell>
          <cell r="B40">
            <v>1159000</v>
          </cell>
          <cell r="C40" t="str">
            <v>INV PRODUITS FINIS</v>
          </cell>
          <cell r="D40" t="str">
            <v>PERIOD COST RESERVE</v>
          </cell>
          <cell r="E40" t="str">
            <v>N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str">
            <v/>
          </cell>
          <cell r="AO40">
            <v>0</v>
          </cell>
          <cell r="AP40">
            <v>0</v>
          </cell>
          <cell r="AQ40">
            <v>0</v>
          </cell>
          <cell r="AR40">
            <v>70</v>
          </cell>
          <cell r="AS40">
            <v>0</v>
          </cell>
          <cell r="AT40" t="str">
            <v/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 t="str">
            <v/>
          </cell>
          <cell r="BK40">
            <v>1500</v>
          </cell>
          <cell r="BL40" t="str">
            <v>0</v>
          </cell>
          <cell r="BM40" t="str">
            <v>1</v>
          </cell>
          <cell r="BN40" t="str">
            <v/>
          </cell>
          <cell r="BO40" t="str">
            <v/>
          </cell>
        </row>
        <row r="41">
          <cell r="A41">
            <v>1</v>
          </cell>
          <cell r="B41">
            <v>1159010</v>
          </cell>
          <cell r="C41" t="str">
            <v>INV PRODUITS FINIS</v>
          </cell>
          <cell r="D41" t="str">
            <v>SLOW MOVING</v>
          </cell>
          <cell r="E41" t="str">
            <v>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 t="str">
            <v/>
          </cell>
          <cell r="AO41">
            <v>0</v>
          </cell>
          <cell r="AP41">
            <v>0</v>
          </cell>
          <cell r="AQ41">
            <v>0</v>
          </cell>
          <cell r="AR41">
            <v>70</v>
          </cell>
          <cell r="AS41">
            <v>0</v>
          </cell>
          <cell r="AT41" t="str">
            <v/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 t="str">
            <v/>
          </cell>
          <cell r="BK41">
            <v>1500</v>
          </cell>
          <cell r="BL41" t="str">
            <v>0</v>
          </cell>
          <cell r="BM41" t="str">
            <v>1</v>
          </cell>
          <cell r="BN41" t="str">
            <v/>
          </cell>
          <cell r="BO41" t="str">
            <v/>
          </cell>
        </row>
        <row r="42">
          <cell r="A42">
            <v>1</v>
          </cell>
          <cell r="B42">
            <v>1161000</v>
          </cell>
          <cell r="C42" t="str">
            <v>INV PIECES DE RECHANGES</v>
          </cell>
          <cell r="D42" t="str">
            <v>MAGASIN</v>
          </cell>
          <cell r="E42" t="str">
            <v>N</v>
          </cell>
          <cell r="F42">
            <v>0</v>
          </cell>
          <cell r="G42">
            <v>0</v>
          </cell>
          <cell r="H42">
            <v>431595.32</v>
          </cell>
          <cell r="I42">
            <v>957052.47</v>
          </cell>
          <cell r="J42">
            <v>1002870.39</v>
          </cell>
          <cell r="K42">
            <v>0</v>
          </cell>
          <cell r="L42">
            <v>186667.12</v>
          </cell>
          <cell r="M42">
            <v>194872.58</v>
          </cell>
          <cell r="N42">
            <v>435931.01</v>
          </cell>
          <cell r="O42">
            <v>452849.62</v>
          </cell>
          <cell r="P42">
            <v>455835.16</v>
          </cell>
          <cell r="Q42">
            <v>474848.14</v>
          </cell>
          <cell r="R42">
            <v>479644.09</v>
          </cell>
          <cell r="S42">
            <v>482357.7</v>
          </cell>
          <cell r="T42">
            <v>468980.67</v>
          </cell>
          <cell r="U42">
            <v>478197.25</v>
          </cell>
          <cell r="V42">
            <v>480486.31</v>
          </cell>
          <cell r="W42">
            <v>501316.39</v>
          </cell>
          <cell r="X42">
            <v>431595.32</v>
          </cell>
          <cell r="Y42">
            <v>423389.86</v>
          </cell>
          <cell r="Z42">
            <v>380796.35</v>
          </cell>
          <cell r="AA42">
            <v>388586.38</v>
          </cell>
          <cell r="AB42">
            <v>398623.3</v>
          </cell>
          <cell r="AC42">
            <v>394835.24</v>
          </cell>
          <cell r="AD42">
            <v>381727.56</v>
          </cell>
          <cell r="AE42">
            <v>417946.86</v>
          </cell>
          <cell r="AF42">
            <v>435890.71</v>
          </cell>
          <cell r="AG42">
            <v>415792.52</v>
          </cell>
          <cell r="AH42">
            <v>427996.41</v>
          </cell>
          <cell r="AI42">
            <v>439411.33</v>
          </cell>
          <cell r="AJ42">
            <v>465924</v>
          </cell>
          <cell r="AK42">
            <v>477413.24</v>
          </cell>
          <cell r="AL42">
            <v>0</v>
          </cell>
          <cell r="AM42">
            <v>0</v>
          </cell>
          <cell r="AN42" t="str">
            <v/>
          </cell>
          <cell r="AO42">
            <v>0</v>
          </cell>
          <cell r="AP42">
            <v>0</v>
          </cell>
          <cell r="AQ42">
            <v>0</v>
          </cell>
          <cell r="AR42">
            <v>100</v>
          </cell>
          <cell r="AS42">
            <v>0</v>
          </cell>
          <cell r="AT42" t="str">
            <v/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 t="str">
            <v/>
          </cell>
          <cell r="BK42">
            <v>1600</v>
          </cell>
          <cell r="BL42" t="str">
            <v>0</v>
          </cell>
          <cell r="BM42" t="str">
            <v>1</v>
          </cell>
          <cell r="BN42" t="str">
            <v/>
          </cell>
          <cell r="BO42" t="str">
            <v/>
          </cell>
        </row>
        <row r="43">
          <cell r="A43">
            <v>1</v>
          </cell>
          <cell r="B43">
            <v>1162000</v>
          </cell>
          <cell r="C43" t="str">
            <v>INV PIECES DE RECHANGES</v>
          </cell>
          <cell r="D43" t="str">
            <v>SKID</v>
          </cell>
          <cell r="E43" t="str">
            <v>N</v>
          </cell>
          <cell r="F43">
            <v>0</v>
          </cell>
          <cell r="G43">
            <v>0</v>
          </cell>
          <cell r="H43">
            <v>522091.28</v>
          </cell>
          <cell r="I43">
            <v>0</v>
          </cell>
          <cell r="J43">
            <v>15000</v>
          </cell>
          <cell r="K43">
            <v>0</v>
          </cell>
          <cell r="L43">
            <v>0</v>
          </cell>
          <cell r="M43">
            <v>0</v>
          </cell>
          <cell r="N43">
            <v>537091.28</v>
          </cell>
          <cell r="O43">
            <v>522091.28</v>
          </cell>
          <cell r="P43">
            <v>522091.28</v>
          </cell>
          <cell r="Q43">
            <v>522091.28</v>
          </cell>
          <cell r="R43">
            <v>522091.28</v>
          </cell>
          <cell r="S43">
            <v>522091.28</v>
          </cell>
          <cell r="T43">
            <v>522091.28</v>
          </cell>
          <cell r="U43">
            <v>522091.28</v>
          </cell>
          <cell r="V43">
            <v>522091.28</v>
          </cell>
          <cell r="W43">
            <v>522091.28</v>
          </cell>
          <cell r="X43">
            <v>522091.28</v>
          </cell>
          <cell r="Y43">
            <v>522091.28</v>
          </cell>
          <cell r="Z43">
            <v>519481.28</v>
          </cell>
          <cell r="AA43">
            <v>528603.68000000005</v>
          </cell>
          <cell r="AB43">
            <v>528603.68000000005</v>
          </cell>
          <cell r="AC43">
            <v>528603.68000000005</v>
          </cell>
          <cell r="AD43">
            <v>537091.28</v>
          </cell>
          <cell r="AE43">
            <v>537091.28</v>
          </cell>
          <cell r="AF43">
            <v>537091.28</v>
          </cell>
          <cell r="AG43">
            <v>537091.28</v>
          </cell>
          <cell r="AH43">
            <v>537091.28</v>
          </cell>
          <cell r="AI43">
            <v>537091.28</v>
          </cell>
          <cell r="AJ43">
            <v>537091.28</v>
          </cell>
          <cell r="AK43">
            <v>537091.28</v>
          </cell>
          <cell r="AL43">
            <v>0</v>
          </cell>
          <cell r="AM43">
            <v>0</v>
          </cell>
          <cell r="AN43" t="str">
            <v/>
          </cell>
          <cell r="AO43">
            <v>0</v>
          </cell>
          <cell r="AP43">
            <v>0</v>
          </cell>
          <cell r="AQ43">
            <v>0</v>
          </cell>
          <cell r="AR43">
            <v>100</v>
          </cell>
          <cell r="AS43">
            <v>0</v>
          </cell>
          <cell r="AT43" t="str">
            <v/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 t="str">
            <v/>
          </cell>
          <cell r="BK43">
            <v>1600</v>
          </cell>
          <cell r="BL43" t="str">
            <v>0</v>
          </cell>
          <cell r="BM43" t="str">
            <v>1</v>
          </cell>
          <cell r="BN43" t="str">
            <v/>
          </cell>
          <cell r="BO43" t="str">
            <v/>
          </cell>
        </row>
        <row r="44">
          <cell r="A44">
            <v>1</v>
          </cell>
          <cell r="B44">
            <v>1162015</v>
          </cell>
          <cell r="C44" t="str">
            <v>INV PIECES DE RECHANGES</v>
          </cell>
          <cell r="D44" t="str">
            <v>PROVISION SKID</v>
          </cell>
          <cell r="E44" t="str">
            <v>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5</v>
          </cell>
          <cell r="AN44" t="str">
            <v/>
          </cell>
          <cell r="AO44">
            <v>0</v>
          </cell>
          <cell r="AP44">
            <v>0</v>
          </cell>
          <cell r="AQ44">
            <v>0</v>
          </cell>
          <cell r="AR44">
            <v>100</v>
          </cell>
          <cell r="AS44">
            <v>0</v>
          </cell>
          <cell r="AT44" t="str">
            <v/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 t="str">
            <v/>
          </cell>
          <cell r="BK44">
            <v>1600</v>
          </cell>
          <cell r="BL44" t="str">
            <v>0</v>
          </cell>
          <cell r="BM44" t="str">
            <v>1</v>
          </cell>
          <cell r="BN44" t="str">
            <v/>
          </cell>
          <cell r="BO44" t="str">
            <v/>
          </cell>
        </row>
        <row r="45">
          <cell r="A45">
            <v>1</v>
          </cell>
          <cell r="B45">
            <v>1162020</v>
          </cell>
          <cell r="C45" t="str">
            <v>INV PIECES DE RECHANGES</v>
          </cell>
          <cell r="D45" t="str">
            <v>LOCATION SKID</v>
          </cell>
          <cell r="E45" t="str">
            <v>N</v>
          </cell>
          <cell r="F45">
            <v>0</v>
          </cell>
          <cell r="G45">
            <v>0</v>
          </cell>
          <cell r="H45">
            <v>0.04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0.04</v>
          </cell>
          <cell r="N45">
            <v>0.04</v>
          </cell>
          <cell r="O45">
            <v>0.04</v>
          </cell>
          <cell r="P45">
            <v>0.04</v>
          </cell>
          <cell r="Q45">
            <v>0.04</v>
          </cell>
          <cell r="R45">
            <v>0.04</v>
          </cell>
          <cell r="S45">
            <v>0.04</v>
          </cell>
          <cell r="T45">
            <v>0.04</v>
          </cell>
          <cell r="U45">
            <v>0.04</v>
          </cell>
          <cell r="V45">
            <v>0.04</v>
          </cell>
          <cell r="W45">
            <v>0.04</v>
          </cell>
          <cell r="X45">
            <v>0.04</v>
          </cell>
          <cell r="Y45">
            <v>0</v>
          </cell>
          <cell r="Z45">
            <v>0.04</v>
          </cell>
          <cell r="AA45">
            <v>0.04</v>
          </cell>
          <cell r="AB45">
            <v>0.04</v>
          </cell>
          <cell r="AC45">
            <v>0.04</v>
          </cell>
          <cell r="AD45">
            <v>0.04</v>
          </cell>
          <cell r="AE45">
            <v>0.04</v>
          </cell>
          <cell r="AF45">
            <v>0.04</v>
          </cell>
          <cell r="AG45">
            <v>0.04</v>
          </cell>
          <cell r="AH45">
            <v>0.04</v>
          </cell>
          <cell r="AI45">
            <v>0.04</v>
          </cell>
          <cell r="AJ45">
            <v>0.04</v>
          </cell>
          <cell r="AK45">
            <v>0.04</v>
          </cell>
          <cell r="AL45">
            <v>0</v>
          </cell>
          <cell r="AM45">
            <v>0</v>
          </cell>
          <cell r="AN45" t="str">
            <v/>
          </cell>
          <cell r="AO45">
            <v>0</v>
          </cell>
          <cell r="AP45">
            <v>0</v>
          </cell>
          <cell r="AQ45">
            <v>0</v>
          </cell>
          <cell r="AR45">
            <v>100</v>
          </cell>
          <cell r="AS45">
            <v>0</v>
          </cell>
          <cell r="AT45" t="str">
            <v/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 t="str">
            <v/>
          </cell>
          <cell r="BK45">
            <v>1600</v>
          </cell>
          <cell r="BL45" t="str">
            <v>0</v>
          </cell>
          <cell r="BM45" t="str">
            <v>1</v>
          </cell>
          <cell r="BN45" t="str">
            <v/>
          </cell>
          <cell r="BO45" t="str">
            <v/>
          </cell>
        </row>
        <row r="46">
          <cell r="A46">
            <v>1</v>
          </cell>
          <cell r="B46">
            <v>1163000</v>
          </cell>
          <cell r="C46" t="str">
            <v>INV PIECES DE RECHANGES</v>
          </cell>
          <cell r="D46" t="str">
            <v>MANDRINS</v>
          </cell>
          <cell r="E46" t="str">
            <v>N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str">
            <v/>
          </cell>
          <cell r="AO46">
            <v>0</v>
          </cell>
          <cell r="AP46">
            <v>0</v>
          </cell>
          <cell r="AQ46">
            <v>0</v>
          </cell>
          <cell r="AR46">
            <v>100</v>
          </cell>
          <cell r="AS46">
            <v>0</v>
          </cell>
          <cell r="AT46" t="str">
            <v/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 t="str">
            <v/>
          </cell>
          <cell r="BK46">
            <v>1600</v>
          </cell>
          <cell r="BL46" t="str">
            <v>0</v>
          </cell>
          <cell r="BM46" t="str">
            <v>1</v>
          </cell>
          <cell r="BN46" t="str">
            <v/>
          </cell>
          <cell r="BO46" t="str">
            <v/>
          </cell>
        </row>
        <row r="47">
          <cell r="A47">
            <v>1</v>
          </cell>
          <cell r="B47">
            <v>1164000</v>
          </cell>
          <cell r="C47" t="str">
            <v>INV PIECES DE RECHANGES</v>
          </cell>
          <cell r="D47" t="str">
            <v>CONTAINERS</v>
          </cell>
          <cell r="E47" t="str">
            <v>N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250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str">
            <v/>
          </cell>
          <cell r="AO47">
            <v>0</v>
          </cell>
          <cell r="AP47">
            <v>0</v>
          </cell>
          <cell r="AQ47">
            <v>0</v>
          </cell>
          <cell r="AR47">
            <v>100</v>
          </cell>
          <cell r="AS47">
            <v>0</v>
          </cell>
          <cell r="AT47" t="str">
            <v/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 t="str">
            <v/>
          </cell>
          <cell r="BK47">
            <v>1600</v>
          </cell>
          <cell r="BL47" t="str">
            <v>0</v>
          </cell>
          <cell r="BM47" t="str">
            <v>1</v>
          </cell>
          <cell r="BN47" t="str">
            <v/>
          </cell>
          <cell r="BO47" t="str">
            <v/>
          </cell>
        </row>
        <row r="48">
          <cell r="A48">
            <v>1</v>
          </cell>
          <cell r="B48">
            <v>1171000</v>
          </cell>
          <cell r="C48" t="str">
            <v>PAYE D'AVANCE</v>
          </cell>
          <cell r="D48" t="str">
            <v>TAXES</v>
          </cell>
          <cell r="E48" t="str">
            <v>N</v>
          </cell>
          <cell r="F48">
            <v>0</v>
          </cell>
          <cell r="G48">
            <v>0</v>
          </cell>
          <cell r="H48">
            <v>30362.27</v>
          </cell>
          <cell r="I48">
            <v>187799.65</v>
          </cell>
          <cell r="J48">
            <v>167061.51</v>
          </cell>
          <cell r="K48">
            <v>0</v>
          </cell>
          <cell r="L48">
            <v>0</v>
          </cell>
          <cell r="M48">
            <v>15770.69</v>
          </cell>
          <cell r="N48">
            <v>-6146.56</v>
          </cell>
          <cell r="O48">
            <v>146464.17000000001</v>
          </cell>
          <cell r="P48">
            <v>130693.48</v>
          </cell>
          <cell r="Q48">
            <v>114922.79</v>
          </cell>
          <cell r="R48">
            <v>99152.1</v>
          </cell>
          <cell r="S48">
            <v>84985.43</v>
          </cell>
          <cell r="T48">
            <v>70818.759999999995</v>
          </cell>
          <cell r="U48">
            <v>76070.320000000007</v>
          </cell>
          <cell r="V48">
            <v>61903.65</v>
          </cell>
          <cell r="W48">
            <v>46132.959999999999</v>
          </cell>
          <cell r="X48">
            <v>30362.27</v>
          </cell>
          <cell r="Y48">
            <v>14591.58</v>
          </cell>
          <cell r="Z48">
            <v>-6952.67</v>
          </cell>
          <cell r="AA48">
            <v>154048.65</v>
          </cell>
          <cell r="AB48">
            <v>137618.09</v>
          </cell>
          <cell r="AC48">
            <v>121187.53</v>
          </cell>
          <cell r="AD48">
            <v>104756.97</v>
          </cell>
          <cell r="AE48">
            <v>88326.41</v>
          </cell>
          <cell r="AF48">
            <v>73535.3</v>
          </cell>
          <cell r="AG48">
            <v>76352.990000000005</v>
          </cell>
          <cell r="AH48">
            <v>60431.05</v>
          </cell>
          <cell r="AI48">
            <v>43846.29</v>
          </cell>
          <cell r="AJ48">
            <v>27451.16</v>
          </cell>
          <cell r="AK48">
            <v>9624.1299999999992</v>
          </cell>
          <cell r="AL48">
            <v>0</v>
          </cell>
          <cell r="AM48">
            <v>0</v>
          </cell>
          <cell r="AN48" t="str">
            <v/>
          </cell>
          <cell r="AO48">
            <v>0</v>
          </cell>
          <cell r="AP48">
            <v>0</v>
          </cell>
          <cell r="AQ48">
            <v>0</v>
          </cell>
          <cell r="AR48">
            <v>120</v>
          </cell>
          <cell r="AS48">
            <v>0</v>
          </cell>
          <cell r="AT48" t="str">
            <v/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 t="str">
            <v/>
          </cell>
          <cell r="BK48">
            <v>1600</v>
          </cell>
          <cell r="BL48" t="str">
            <v/>
          </cell>
          <cell r="BM48" t="str">
            <v>1</v>
          </cell>
          <cell r="BN48" t="str">
            <v/>
          </cell>
          <cell r="BO48" t="str">
            <v/>
          </cell>
        </row>
        <row r="49">
          <cell r="A49">
            <v>1</v>
          </cell>
          <cell r="B49">
            <v>1172000</v>
          </cell>
          <cell r="C49" t="str">
            <v>PAYE D'AVANCE</v>
          </cell>
          <cell r="D49" t="str">
            <v>ASSURANCES</v>
          </cell>
          <cell r="E49" t="str">
            <v>N</v>
          </cell>
          <cell r="F49">
            <v>0</v>
          </cell>
          <cell r="G49">
            <v>0</v>
          </cell>
          <cell r="H49">
            <v>45472.09</v>
          </cell>
          <cell r="I49">
            <v>238372.38</v>
          </cell>
          <cell r="J49">
            <v>157900.29</v>
          </cell>
          <cell r="K49">
            <v>0</v>
          </cell>
          <cell r="L49">
            <v>0</v>
          </cell>
          <cell r="M49">
            <v>6496</v>
          </cell>
          <cell r="N49">
            <v>-41833.33</v>
          </cell>
          <cell r="O49">
            <v>27718.84</v>
          </cell>
          <cell r="P49">
            <v>25254.73</v>
          </cell>
          <cell r="Q49">
            <v>17850.259999999998</v>
          </cell>
          <cell r="R49">
            <v>11016.93</v>
          </cell>
          <cell r="S49">
            <v>4183.6000000000004</v>
          </cell>
          <cell r="T49">
            <v>-2649.73</v>
          </cell>
          <cell r="U49">
            <v>-9483.06</v>
          </cell>
          <cell r="V49">
            <v>58464.09</v>
          </cell>
          <cell r="W49">
            <v>51968.09</v>
          </cell>
          <cell r="X49">
            <v>45472.09</v>
          </cell>
          <cell r="Y49">
            <v>38976.089999999997</v>
          </cell>
          <cell r="Z49">
            <v>33159.589999999997</v>
          </cell>
          <cell r="AA49">
            <v>25340.560000000001</v>
          </cell>
          <cell r="AB49">
            <v>17521.53</v>
          </cell>
          <cell r="AC49">
            <v>9702.5</v>
          </cell>
          <cell r="AD49">
            <v>1883.47</v>
          </cell>
          <cell r="AE49">
            <v>-5253.06</v>
          </cell>
          <cell r="AF49">
            <v>-6086.39</v>
          </cell>
          <cell r="AG49">
            <v>-20919.72</v>
          </cell>
          <cell r="AH49">
            <v>-29890.19</v>
          </cell>
          <cell r="AI49">
            <v>-44723.519999999997</v>
          </cell>
          <cell r="AJ49">
            <v>-59556.85</v>
          </cell>
          <cell r="AK49">
            <v>-35000</v>
          </cell>
          <cell r="AL49">
            <v>0</v>
          </cell>
          <cell r="AM49">
            <v>0</v>
          </cell>
          <cell r="AN49" t="str">
            <v/>
          </cell>
          <cell r="AO49">
            <v>0</v>
          </cell>
          <cell r="AP49">
            <v>0</v>
          </cell>
          <cell r="AQ49">
            <v>0</v>
          </cell>
          <cell r="AR49">
            <v>120</v>
          </cell>
          <cell r="AS49">
            <v>0</v>
          </cell>
          <cell r="AT49" t="str">
            <v/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 t="str">
            <v/>
          </cell>
          <cell r="BK49">
            <v>1600</v>
          </cell>
          <cell r="BL49" t="str">
            <v/>
          </cell>
          <cell r="BM49" t="str">
            <v>1</v>
          </cell>
          <cell r="BN49" t="str">
            <v/>
          </cell>
          <cell r="BO49" t="str">
            <v/>
          </cell>
        </row>
        <row r="50">
          <cell r="A50">
            <v>1</v>
          </cell>
          <cell r="B50">
            <v>1173000</v>
          </cell>
          <cell r="C50" t="str">
            <v>PAYE D'AVANCE</v>
          </cell>
          <cell r="D50" t="str">
            <v>C.S.S.T.</v>
          </cell>
          <cell r="E50" t="str">
            <v>N</v>
          </cell>
          <cell r="F50">
            <v>0</v>
          </cell>
          <cell r="G50">
            <v>0</v>
          </cell>
          <cell r="H50">
            <v>251956.02</v>
          </cell>
          <cell r="I50">
            <v>306750.13</v>
          </cell>
          <cell r="J50">
            <v>54793.37</v>
          </cell>
          <cell r="K50">
            <v>0</v>
          </cell>
          <cell r="L50">
            <v>0</v>
          </cell>
          <cell r="M50">
            <v>0</v>
          </cell>
          <cell r="N50">
            <v>-0.74</v>
          </cell>
          <cell r="O50">
            <v>-0.74</v>
          </cell>
          <cell r="P50">
            <v>-54794.11</v>
          </cell>
          <cell r="Q50">
            <v>-54794.11</v>
          </cell>
          <cell r="R50">
            <v>-54794.11</v>
          </cell>
          <cell r="S50">
            <v>152384.76999999999</v>
          </cell>
          <cell r="T50">
            <v>152384.76999999999</v>
          </cell>
          <cell r="U50">
            <v>152384.76999999999</v>
          </cell>
          <cell r="V50">
            <v>251956.02</v>
          </cell>
          <cell r="W50">
            <v>251956.02</v>
          </cell>
          <cell r="X50">
            <v>251956.02</v>
          </cell>
          <cell r="Y50">
            <v>251956.02</v>
          </cell>
          <cell r="Z50">
            <v>-25000.74</v>
          </cell>
          <cell r="AA50">
            <v>-50000.74</v>
          </cell>
          <cell r="AB50">
            <v>-75000.740000000005</v>
          </cell>
          <cell r="AC50">
            <v>-100000.74</v>
          </cell>
          <cell r="AD50">
            <v>-125000.74</v>
          </cell>
          <cell r="AE50">
            <v>-125000.74</v>
          </cell>
          <cell r="AF50">
            <v>-125000.74</v>
          </cell>
          <cell r="AG50">
            <v>-125000.74</v>
          </cell>
          <cell r="AH50">
            <v>-125000.74</v>
          </cell>
          <cell r="AI50">
            <v>-125000.74</v>
          </cell>
          <cell r="AJ50">
            <v>-125000.74</v>
          </cell>
          <cell r="AK50">
            <v>-0.74</v>
          </cell>
          <cell r="AL50">
            <v>0</v>
          </cell>
          <cell r="AM50">
            <v>0</v>
          </cell>
          <cell r="AN50" t="str">
            <v/>
          </cell>
          <cell r="AO50">
            <v>0</v>
          </cell>
          <cell r="AP50">
            <v>0</v>
          </cell>
          <cell r="AQ50">
            <v>0</v>
          </cell>
          <cell r="AR50">
            <v>120</v>
          </cell>
          <cell r="AS50">
            <v>0</v>
          </cell>
          <cell r="AT50" t="str">
            <v/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 t="str">
            <v/>
          </cell>
          <cell r="BK50">
            <v>1600</v>
          </cell>
          <cell r="BL50" t="str">
            <v/>
          </cell>
          <cell r="BM50" t="str">
            <v>1</v>
          </cell>
          <cell r="BN50" t="str">
            <v/>
          </cell>
          <cell r="BO50" t="str">
            <v/>
          </cell>
        </row>
        <row r="51">
          <cell r="A51">
            <v>1</v>
          </cell>
          <cell r="B51">
            <v>1174000</v>
          </cell>
          <cell r="C51" t="str">
            <v>PAYE D'AVANCE</v>
          </cell>
          <cell r="D51" t="str">
            <v>RÉAMÉNAGEMENT SACS</v>
          </cell>
          <cell r="E51" t="str">
            <v>N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 t="str">
            <v/>
          </cell>
          <cell r="AO51">
            <v>0</v>
          </cell>
          <cell r="AP51">
            <v>0</v>
          </cell>
          <cell r="AQ51">
            <v>0</v>
          </cell>
          <cell r="AR51">
            <v>120</v>
          </cell>
          <cell r="AS51">
            <v>0</v>
          </cell>
          <cell r="AT51" t="str">
            <v/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 t="str">
            <v/>
          </cell>
          <cell r="BK51">
            <v>1600</v>
          </cell>
          <cell r="BL51" t="str">
            <v>0</v>
          </cell>
          <cell r="BM51" t="str">
            <v>1</v>
          </cell>
          <cell r="BN51" t="str">
            <v/>
          </cell>
          <cell r="BO51" t="str">
            <v/>
          </cell>
        </row>
        <row r="52">
          <cell r="A52">
            <v>1</v>
          </cell>
          <cell r="B52">
            <v>1262220</v>
          </cell>
          <cell r="C52" t="str">
            <v>INFORMATIQUE</v>
          </cell>
          <cell r="D52" t="str">
            <v>MISOMEX</v>
          </cell>
          <cell r="E52" t="str">
            <v>N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5897</v>
          </cell>
          <cell r="AA52">
            <v>5897</v>
          </cell>
          <cell r="AB52">
            <v>5897</v>
          </cell>
          <cell r="AC52">
            <v>5897</v>
          </cell>
          <cell r="AD52">
            <v>5897</v>
          </cell>
          <cell r="AE52">
            <v>5897</v>
          </cell>
          <cell r="AF52">
            <v>5897</v>
          </cell>
          <cell r="AG52">
            <v>5897</v>
          </cell>
          <cell r="AH52">
            <v>5897</v>
          </cell>
          <cell r="AI52">
            <v>5897</v>
          </cell>
          <cell r="AJ52">
            <v>5897</v>
          </cell>
          <cell r="AK52">
            <v>0</v>
          </cell>
          <cell r="AL52">
            <v>0</v>
          </cell>
          <cell r="AM52">
            <v>0</v>
          </cell>
          <cell r="AN52" t="str">
            <v/>
          </cell>
          <cell r="AO52">
            <v>0</v>
          </cell>
          <cell r="AP52">
            <v>0</v>
          </cell>
          <cell r="AQ52">
            <v>0</v>
          </cell>
          <cell r="AR52">
            <v>310</v>
          </cell>
          <cell r="AS52">
            <v>0</v>
          </cell>
          <cell r="AT52" t="str">
            <v/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36</v>
          </cell>
          <cell r="BJ52" t="str">
            <v/>
          </cell>
          <cell r="BK52">
            <v>1700</v>
          </cell>
          <cell r="BL52" t="str">
            <v>1</v>
          </cell>
          <cell r="BM52" t="str">
            <v>1</v>
          </cell>
          <cell r="BN52" t="str">
            <v/>
          </cell>
          <cell r="BO52" t="str">
            <v/>
          </cell>
        </row>
        <row r="53">
          <cell r="A53">
            <v>1</v>
          </cell>
          <cell r="B53">
            <v>1262270</v>
          </cell>
          <cell r="C53" t="str">
            <v>INFORMATIQUE</v>
          </cell>
          <cell r="D53" t="str">
            <v>PC PERSONNEL</v>
          </cell>
          <cell r="E53" t="str">
            <v>N</v>
          </cell>
          <cell r="F53">
            <v>0</v>
          </cell>
          <cell r="G53">
            <v>0</v>
          </cell>
          <cell r="H53">
            <v>105955.58</v>
          </cell>
          <cell r="I53">
            <v>12569.5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96036.08</v>
          </cell>
          <cell r="O53">
            <v>96036.08</v>
          </cell>
          <cell r="P53">
            <v>96036.08</v>
          </cell>
          <cell r="Q53">
            <v>96036.08</v>
          </cell>
          <cell r="R53">
            <v>98196.08</v>
          </cell>
          <cell r="S53">
            <v>98196.08</v>
          </cell>
          <cell r="T53">
            <v>98196.08</v>
          </cell>
          <cell r="U53">
            <v>98551.08</v>
          </cell>
          <cell r="V53">
            <v>101956.58</v>
          </cell>
          <cell r="W53">
            <v>105955.58</v>
          </cell>
          <cell r="X53">
            <v>105955.58</v>
          </cell>
          <cell r="Y53">
            <v>105955.58</v>
          </cell>
          <cell r="Z53">
            <v>80724.350000000006</v>
          </cell>
          <cell r="AA53">
            <v>80724.350000000006</v>
          </cell>
          <cell r="AB53">
            <v>80724.350000000006</v>
          </cell>
          <cell r="AC53">
            <v>83108.850000000006</v>
          </cell>
          <cell r="AD53">
            <v>87241.58</v>
          </cell>
          <cell r="AE53">
            <v>89807.08</v>
          </cell>
          <cell r="AF53">
            <v>89807.08</v>
          </cell>
          <cell r="AG53">
            <v>91787.08</v>
          </cell>
          <cell r="AH53">
            <v>91787.08</v>
          </cell>
          <cell r="AI53">
            <v>91787.08</v>
          </cell>
          <cell r="AJ53">
            <v>91787.08</v>
          </cell>
          <cell r="AK53">
            <v>93386.08</v>
          </cell>
          <cell r="AL53">
            <v>0</v>
          </cell>
          <cell r="AM53">
            <v>0</v>
          </cell>
          <cell r="AN53" t="str">
            <v/>
          </cell>
          <cell r="AO53">
            <v>0</v>
          </cell>
          <cell r="AP53">
            <v>0</v>
          </cell>
          <cell r="AQ53">
            <v>0</v>
          </cell>
          <cell r="AR53">
            <v>310</v>
          </cell>
          <cell r="AS53">
            <v>0</v>
          </cell>
          <cell r="AT53" t="str">
            <v/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36</v>
          </cell>
          <cell r="BJ53" t="str">
            <v/>
          </cell>
          <cell r="BK53">
            <v>1700</v>
          </cell>
          <cell r="BL53" t="str">
            <v>1</v>
          </cell>
          <cell r="BM53" t="str">
            <v>1</v>
          </cell>
          <cell r="BN53" t="str">
            <v/>
          </cell>
          <cell r="BO53" t="str">
            <v/>
          </cell>
        </row>
        <row r="54">
          <cell r="A54">
            <v>1</v>
          </cell>
          <cell r="B54">
            <v>1262500</v>
          </cell>
          <cell r="C54" t="str">
            <v>INFORMATIQUE</v>
          </cell>
          <cell r="D54" t="str">
            <v>LOGICIEL INFORMATIQUE</v>
          </cell>
          <cell r="E54" t="str">
            <v>N</v>
          </cell>
          <cell r="F54">
            <v>0</v>
          </cell>
          <cell r="G54">
            <v>0</v>
          </cell>
          <cell r="H54">
            <v>12127.7</v>
          </cell>
          <cell r="I54">
            <v>9647</v>
          </cell>
          <cell r="J54">
            <v>2600</v>
          </cell>
          <cell r="K54">
            <v>0</v>
          </cell>
          <cell r="L54">
            <v>0</v>
          </cell>
          <cell r="M54">
            <v>0</v>
          </cell>
          <cell r="N54">
            <v>5080.7</v>
          </cell>
          <cell r="O54">
            <v>5080.7</v>
          </cell>
          <cell r="P54">
            <v>5080.7</v>
          </cell>
          <cell r="Q54">
            <v>5080.7</v>
          </cell>
          <cell r="R54">
            <v>5080.7</v>
          </cell>
          <cell r="S54">
            <v>5080.7</v>
          </cell>
          <cell r="T54">
            <v>5080.7</v>
          </cell>
          <cell r="U54">
            <v>9099.7000000000007</v>
          </cell>
          <cell r="V54">
            <v>12127.7</v>
          </cell>
          <cell r="W54">
            <v>12127.7</v>
          </cell>
          <cell r="X54">
            <v>12127.7</v>
          </cell>
          <cell r="Y54">
            <v>12127.7</v>
          </cell>
          <cell r="Z54">
            <v>2214</v>
          </cell>
          <cell r="AA54">
            <v>3199.6</v>
          </cell>
          <cell r="AB54">
            <v>4669.2</v>
          </cell>
          <cell r="AC54">
            <v>4669.2</v>
          </cell>
          <cell r="AD54">
            <v>4669.2</v>
          </cell>
          <cell r="AE54">
            <v>20046.759999999998</v>
          </cell>
          <cell r="AF54">
            <v>27737.1</v>
          </cell>
          <cell r="AG54">
            <v>28148.6</v>
          </cell>
          <cell r="AH54">
            <v>5080.7</v>
          </cell>
          <cell r="AI54">
            <v>5080.7</v>
          </cell>
          <cell r="AJ54">
            <v>5080.7</v>
          </cell>
          <cell r="AK54">
            <v>5080.7</v>
          </cell>
          <cell r="AL54">
            <v>0</v>
          </cell>
          <cell r="AM54">
            <v>0</v>
          </cell>
          <cell r="AN54" t="str">
            <v/>
          </cell>
          <cell r="AO54">
            <v>0</v>
          </cell>
          <cell r="AP54">
            <v>0</v>
          </cell>
          <cell r="AQ54">
            <v>0</v>
          </cell>
          <cell r="AR54">
            <v>310</v>
          </cell>
          <cell r="AS54">
            <v>0</v>
          </cell>
          <cell r="AT54" t="str">
            <v/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36</v>
          </cell>
          <cell r="BJ54" t="str">
            <v/>
          </cell>
          <cell r="BK54">
            <v>1700</v>
          </cell>
          <cell r="BL54" t="str">
            <v>1</v>
          </cell>
          <cell r="BM54" t="str">
            <v>1</v>
          </cell>
          <cell r="BN54" t="str">
            <v/>
          </cell>
          <cell r="BO54" t="str">
            <v/>
          </cell>
        </row>
        <row r="55">
          <cell r="A55">
            <v>1</v>
          </cell>
          <cell r="B55">
            <v>1269940</v>
          </cell>
          <cell r="C55" t="str">
            <v>INFORMATIQUE</v>
          </cell>
          <cell r="D55" t="str">
            <v>ANCIEN ACTIF PW</v>
          </cell>
          <cell r="E55" t="str">
            <v>N</v>
          </cell>
          <cell r="F55">
            <v>0</v>
          </cell>
          <cell r="G55">
            <v>0</v>
          </cell>
          <cell r="H55">
            <v>46532.78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46532.78</v>
          </cell>
          <cell r="O55">
            <v>46532.78</v>
          </cell>
          <cell r="P55">
            <v>46532.78</v>
          </cell>
          <cell r="Q55">
            <v>46532.78</v>
          </cell>
          <cell r="R55">
            <v>46532.78</v>
          </cell>
          <cell r="S55">
            <v>46532.78</v>
          </cell>
          <cell r="T55">
            <v>46532.78</v>
          </cell>
          <cell r="U55">
            <v>46532.78</v>
          </cell>
          <cell r="V55">
            <v>46532.78</v>
          </cell>
          <cell r="W55">
            <v>46532.78</v>
          </cell>
          <cell r="X55">
            <v>46532.78</v>
          </cell>
          <cell r="Y55">
            <v>46532.78</v>
          </cell>
          <cell r="Z55">
            <v>46532.78</v>
          </cell>
          <cell r="AA55">
            <v>46532.78</v>
          </cell>
          <cell r="AB55">
            <v>46532.78</v>
          </cell>
          <cell r="AC55">
            <v>46532.78</v>
          </cell>
          <cell r="AD55">
            <v>46532.78</v>
          </cell>
          <cell r="AE55">
            <v>46532.78</v>
          </cell>
          <cell r="AF55">
            <v>46532.78</v>
          </cell>
          <cell r="AG55">
            <v>46532.78</v>
          </cell>
          <cell r="AH55">
            <v>46532.78</v>
          </cell>
          <cell r="AI55">
            <v>46532.78</v>
          </cell>
          <cell r="AJ55">
            <v>46532.78</v>
          </cell>
          <cell r="AK55">
            <v>46532.78</v>
          </cell>
          <cell r="AL55">
            <v>0</v>
          </cell>
          <cell r="AM55">
            <v>0</v>
          </cell>
          <cell r="AN55" t="str">
            <v/>
          </cell>
          <cell r="AO55">
            <v>0</v>
          </cell>
          <cell r="AP55">
            <v>0</v>
          </cell>
          <cell r="AQ55">
            <v>0</v>
          </cell>
          <cell r="AR55">
            <v>310</v>
          </cell>
          <cell r="AS55">
            <v>0</v>
          </cell>
          <cell r="AT55" t="str">
            <v/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36</v>
          </cell>
          <cell r="BJ55" t="str">
            <v/>
          </cell>
          <cell r="BK55">
            <v>1700</v>
          </cell>
          <cell r="BL55" t="str">
            <v>1</v>
          </cell>
          <cell r="BM55" t="str">
            <v>1</v>
          </cell>
          <cell r="BN55" t="str">
            <v/>
          </cell>
          <cell r="BO55" t="str">
            <v/>
          </cell>
        </row>
        <row r="56">
          <cell r="A56">
            <v>1</v>
          </cell>
          <cell r="B56">
            <v>1279990</v>
          </cell>
          <cell r="C56" t="str">
            <v>MATERIEL INFORMATIQUE</v>
          </cell>
          <cell r="D56" t="str">
            <v>AMORTISSEMENT CUMULEE</v>
          </cell>
          <cell r="E56" t="str">
            <v>N</v>
          </cell>
          <cell r="F56">
            <v>0</v>
          </cell>
          <cell r="G56">
            <v>0</v>
          </cell>
          <cell r="H56">
            <v>241742.79</v>
          </cell>
          <cell r="I56">
            <v>7530.63</v>
          </cell>
          <cell r="J56">
            <v>89458.53</v>
          </cell>
          <cell r="K56">
            <v>0</v>
          </cell>
          <cell r="L56">
            <v>0</v>
          </cell>
          <cell r="M56">
            <v>7907.88</v>
          </cell>
          <cell r="N56">
            <v>167100.35999999999</v>
          </cell>
          <cell r="O56">
            <v>174434.49</v>
          </cell>
          <cell r="P56">
            <v>181768.62</v>
          </cell>
          <cell r="Q56">
            <v>189129.35</v>
          </cell>
          <cell r="R56">
            <v>196490.08</v>
          </cell>
          <cell r="S56">
            <v>203858.19</v>
          </cell>
          <cell r="T56">
            <v>211315.92</v>
          </cell>
          <cell r="U56">
            <v>218773.65</v>
          </cell>
          <cell r="V56">
            <v>226304.28</v>
          </cell>
          <cell r="W56">
            <v>233834.91</v>
          </cell>
          <cell r="X56">
            <v>241742.79</v>
          </cell>
          <cell r="Y56">
            <v>249650.67</v>
          </cell>
          <cell r="Z56">
            <v>105161.04</v>
          </cell>
          <cell r="AA56">
            <v>105561.85</v>
          </cell>
          <cell r="AB56">
            <v>109627.19</v>
          </cell>
          <cell r="AC56">
            <v>114181.44</v>
          </cell>
          <cell r="AD56">
            <v>119122.83</v>
          </cell>
          <cell r="AE56">
            <v>124100.78</v>
          </cell>
          <cell r="AF56">
            <v>129088.83</v>
          </cell>
          <cell r="AG56">
            <v>134156.04</v>
          </cell>
          <cell r="AH56">
            <v>140029.29</v>
          </cell>
          <cell r="AI56">
            <v>146501.09</v>
          </cell>
          <cell r="AJ56">
            <v>153212.16</v>
          </cell>
          <cell r="AK56">
            <v>159814.89000000001</v>
          </cell>
          <cell r="AL56">
            <v>0</v>
          </cell>
          <cell r="AM56">
            <v>0</v>
          </cell>
          <cell r="AN56" t="str">
            <v/>
          </cell>
          <cell r="AO56">
            <v>0</v>
          </cell>
          <cell r="AP56">
            <v>0</v>
          </cell>
          <cell r="AQ56">
            <v>0</v>
          </cell>
          <cell r="AR56">
            <v>311</v>
          </cell>
          <cell r="AS56">
            <v>0</v>
          </cell>
          <cell r="AT56" t="str">
            <v/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 t="str">
            <v/>
          </cell>
          <cell r="BK56">
            <v>1800</v>
          </cell>
          <cell r="BL56" t="str">
            <v>0</v>
          </cell>
          <cell r="BM56" t="str">
            <v>1</v>
          </cell>
          <cell r="BN56" t="str">
            <v/>
          </cell>
          <cell r="BO56" t="str">
            <v/>
          </cell>
        </row>
        <row r="57">
          <cell r="A57">
            <v>1</v>
          </cell>
          <cell r="B57">
            <v>1301000</v>
          </cell>
          <cell r="C57" t="str">
            <v>TERRAIN</v>
          </cell>
          <cell r="D57" t="str">
            <v/>
          </cell>
          <cell r="E57" t="str">
            <v>N</v>
          </cell>
          <cell r="F57">
            <v>0</v>
          </cell>
          <cell r="G57">
            <v>0</v>
          </cell>
          <cell r="H57">
            <v>47053.77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47053.77</v>
          </cell>
          <cell r="O57">
            <v>47053.77</v>
          </cell>
          <cell r="P57">
            <v>47053.77</v>
          </cell>
          <cell r="Q57">
            <v>47053.77</v>
          </cell>
          <cell r="R57">
            <v>47053.77</v>
          </cell>
          <cell r="S57">
            <v>47053.77</v>
          </cell>
          <cell r="T57">
            <v>47053.77</v>
          </cell>
          <cell r="U57">
            <v>47053.77</v>
          </cell>
          <cell r="V57">
            <v>47053.77</v>
          </cell>
          <cell r="W57">
            <v>47053.77</v>
          </cell>
          <cell r="X57">
            <v>47053.77</v>
          </cell>
          <cell r="Y57">
            <v>47053.77</v>
          </cell>
          <cell r="Z57">
            <v>47053.77</v>
          </cell>
          <cell r="AA57">
            <v>47053.77</v>
          </cell>
          <cell r="AB57">
            <v>47053.77</v>
          </cell>
          <cell r="AC57">
            <v>47053.77</v>
          </cell>
          <cell r="AD57">
            <v>47053.77</v>
          </cell>
          <cell r="AE57">
            <v>47053.77</v>
          </cell>
          <cell r="AF57">
            <v>47053.77</v>
          </cell>
          <cell r="AG57">
            <v>47053.77</v>
          </cell>
          <cell r="AH57">
            <v>47053.77</v>
          </cell>
          <cell r="AI57">
            <v>47053.77</v>
          </cell>
          <cell r="AJ57">
            <v>47053.77</v>
          </cell>
          <cell r="AK57">
            <v>47053.77</v>
          </cell>
          <cell r="AL57">
            <v>0</v>
          </cell>
          <cell r="AM57">
            <v>0</v>
          </cell>
          <cell r="AN57" t="str">
            <v/>
          </cell>
          <cell r="AO57">
            <v>0</v>
          </cell>
          <cell r="AP57">
            <v>0</v>
          </cell>
          <cell r="AQ57">
            <v>0</v>
          </cell>
          <cell r="AR57">
            <v>260</v>
          </cell>
          <cell r="AS57">
            <v>0</v>
          </cell>
          <cell r="AT57" t="str">
            <v/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 t="str">
            <v/>
          </cell>
          <cell r="BK57">
            <v>1700</v>
          </cell>
          <cell r="BL57" t="str">
            <v/>
          </cell>
          <cell r="BM57" t="str">
            <v>1</v>
          </cell>
          <cell r="BN57" t="str">
            <v/>
          </cell>
          <cell r="BO57" t="str">
            <v/>
          </cell>
        </row>
        <row r="58">
          <cell r="A58">
            <v>1</v>
          </cell>
          <cell r="B58">
            <v>1312000</v>
          </cell>
          <cell r="C58" t="str">
            <v>BATIMENTS</v>
          </cell>
          <cell r="D58" t="str">
            <v>FUMOIR</v>
          </cell>
          <cell r="E58" t="str">
            <v>N</v>
          </cell>
          <cell r="F58">
            <v>0</v>
          </cell>
          <cell r="G58">
            <v>0</v>
          </cell>
          <cell r="H58">
            <v>30225.87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30225.87</v>
          </cell>
          <cell r="O58">
            <v>30225.87</v>
          </cell>
          <cell r="P58">
            <v>30225.87</v>
          </cell>
          <cell r="Q58">
            <v>30225.87</v>
          </cell>
          <cell r="R58">
            <v>30225.87</v>
          </cell>
          <cell r="S58">
            <v>30225.87</v>
          </cell>
          <cell r="T58">
            <v>30225.87</v>
          </cell>
          <cell r="U58">
            <v>30225.87</v>
          </cell>
          <cell r="V58">
            <v>30225.87</v>
          </cell>
          <cell r="W58">
            <v>30225.87</v>
          </cell>
          <cell r="X58">
            <v>30225.87</v>
          </cell>
          <cell r="Y58">
            <v>30225.87</v>
          </cell>
          <cell r="Z58">
            <v>30225.87</v>
          </cell>
          <cell r="AA58">
            <v>30225.87</v>
          </cell>
          <cell r="AB58">
            <v>30225.87</v>
          </cell>
          <cell r="AC58">
            <v>30225.87</v>
          </cell>
          <cell r="AD58">
            <v>30225.87</v>
          </cell>
          <cell r="AE58">
            <v>30225.87</v>
          </cell>
          <cell r="AF58">
            <v>30225.87</v>
          </cell>
          <cell r="AG58">
            <v>30225.87</v>
          </cell>
          <cell r="AH58">
            <v>30225.87</v>
          </cell>
          <cell r="AI58">
            <v>30225.87</v>
          </cell>
          <cell r="AJ58">
            <v>30225.87</v>
          </cell>
          <cell r="AK58">
            <v>30225.87</v>
          </cell>
          <cell r="AL58">
            <v>0</v>
          </cell>
          <cell r="AM58">
            <v>0</v>
          </cell>
          <cell r="AN58" t="str">
            <v/>
          </cell>
          <cell r="AO58">
            <v>0</v>
          </cell>
          <cell r="AP58">
            <v>0</v>
          </cell>
          <cell r="AQ58">
            <v>0</v>
          </cell>
          <cell r="AR58">
            <v>280</v>
          </cell>
          <cell r="AS58">
            <v>0</v>
          </cell>
          <cell r="AT58" t="str">
            <v/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396</v>
          </cell>
          <cell r="BJ58" t="str">
            <v/>
          </cell>
          <cell r="BK58">
            <v>1700</v>
          </cell>
          <cell r="BL58" t="str">
            <v>1</v>
          </cell>
          <cell r="BM58" t="str">
            <v>1</v>
          </cell>
          <cell r="BN58" t="str">
            <v/>
          </cell>
          <cell r="BO58" t="str">
            <v/>
          </cell>
        </row>
        <row r="59">
          <cell r="A59">
            <v>1</v>
          </cell>
          <cell r="B59">
            <v>1319000</v>
          </cell>
          <cell r="C59" t="str">
            <v>BATIMENTS</v>
          </cell>
          <cell r="D59" t="str">
            <v>BATISSE PW</v>
          </cell>
          <cell r="E59" t="str">
            <v>N</v>
          </cell>
          <cell r="F59">
            <v>0</v>
          </cell>
          <cell r="G59">
            <v>0</v>
          </cell>
          <cell r="H59">
            <v>2699905.51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2699905.51</v>
          </cell>
          <cell r="O59">
            <v>2699905.51</v>
          </cell>
          <cell r="P59">
            <v>2699905.51</v>
          </cell>
          <cell r="Q59">
            <v>2699905.51</v>
          </cell>
          <cell r="R59">
            <v>2699905.51</v>
          </cell>
          <cell r="S59">
            <v>2699905.51</v>
          </cell>
          <cell r="T59">
            <v>2699905.51</v>
          </cell>
          <cell r="U59">
            <v>2699905.51</v>
          </cell>
          <cell r="V59">
            <v>2699905.51</v>
          </cell>
          <cell r="W59">
            <v>2699905.51</v>
          </cell>
          <cell r="X59">
            <v>2699905.51</v>
          </cell>
          <cell r="Y59">
            <v>2699905.51</v>
          </cell>
          <cell r="Z59">
            <v>2699905.51</v>
          </cell>
          <cell r="AA59">
            <v>2699905.51</v>
          </cell>
          <cell r="AB59">
            <v>2699905.51</v>
          </cell>
          <cell r="AC59">
            <v>2699905.51</v>
          </cell>
          <cell r="AD59">
            <v>2699905.51</v>
          </cell>
          <cell r="AE59">
            <v>2699905.51</v>
          </cell>
          <cell r="AF59">
            <v>2699905.51</v>
          </cell>
          <cell r="AG59">
            <v>2699905.51</v>
          </cell>
          <cell r="AH59">
            <v>2699905.51</v>
          </cell>
          <cell r="AI59">
            <v>2699905.51</v>
          </cell>
          <cell r="AJ59">
            <v>2699905.51</v>
          </cell>
          <cell r="AK59">
            <v>2699905.51</v>
          </cell>
          <cell r="AL59">
            <v>0</v>
          </cell>
          <cell r="AM59">
            <v>0</v>
          </cell>
          <cell r="AN59" t="str">
            <v/>
          </cell>
          <cell r="AO59">
            <v>0</v>
          </cell>
          <cell r="AP59">
            <v>0</v>
          </cell>
          <cell r="AQ59">
            <v>0</v>
          </cell>
          <cell r="AR59">
            <v>280</v>
          </cell>
          <cell r="AS59">
            <v>0</v>
          </cell>
          <cell r="AT59" t="str">
            <v/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396</v>
          </cell>
          <cell r="BJ59" t="str">
            <v/>
          </cell>
          <cell r="BK59">
            <v>1700</v>
          </cell>
          <cell r="BL59" t="str">
            <v>1</v>
          </cell>
          <cell r="BM59" t="str">
            <v>1</v>
          </cell>
          <cell r="BN59" t="str">
            <v/>
          </cell>
          <cell r="BO59" t="str">
            <v/>
          </cell>
        </row>
        <row r="60">
          <cell r="A60">
            <v>1</v>
          </cell>
          <cell r="B60">
            <v>1329990</v>
          </cell>
          <cell r="C60" t="str">
            <v>BATIMENTS</v>
          </cell>
          <cell r="D60" t="str">
            <v>AMORTISSEMENT CUMULEE</v>
          </cell>
          <cell r="E60" t="str">
            <v>N</v>
          </cell>
          <cell r="F60">
            <v>0</v>
          </cell>
          <cell r="G60">
            <v>0</v>
          </cell>
          <cell r="H60">
            <v>806713.68</v>
          </cell>
          <cell r="I60">
            <v>11755.83</v>
          </cell>
          <cell r="J60">
            <v>141226.45000000001</v>
          </cell>
          <cell r="K60">
            <v>0</v>
          </cell>
          <cell r="L60">
            <v>0</v>
          </cell>
          <cell r="M60">
            <v>12450.05</v>
          </cell>
          <cell r="N60">
            <v>688955.18</v>
          </cell>
          <cell r="O60">
            <v>700669.18</v>
          </cell>
          <cell r="P60">
            <v>712315.54</v>
          </cell>
          <cell r="Q60">
            <v>723965.11</v>
          </cell>
          <cell r="R60">
            <v>735661.22</v>
          </cell>
          <cell r="S60">
            <v>747358.03</v>
          </cell>
          <cell r="T60">
            <v>759054.84</v>
          </cell>
          <cell r="U60">
            <v>770751.97</v>
          </cell>
          <cell r="V60">
            <v>782507.8</v>
          </cell>
          <cell r="W60">
            <v>794263.63</v>
          </cell>
          <cell r="X60">
            <v>806713.68</v>
          </cell>
          <cell r="Y60">
            <v>819163.73</v>
          </cell>
          <cell r="Z60">
            <v>551474.9</v>
          </cell>
          <cell r="AA60">
            <v>562862.94999999995</v>
          </cell>
          <cell r="AB60">
            <v>574251</v>
          </cell>
          <cell r="AC60">
            <v>585639.05000000005</v>
          </cell>
          <cell r="AD60">
            <v>597027.1</v>
          </cell>
          <cell r="AE60">
            <v>608455.15</v>
          </cell>
          <cell r="AF60">
            <v>619893.96</v>
          </cell>
          <cell r="AG60">
            <v>631332.77</v>
          </cell>
          <cell r="AH60">
            <v>642771.57999999996</v>
          </cell>
          <cell r="AI60">
            <v>654246.14</v>
          </cell>
          <cell r="AJ60">
            <v>665744.6</v>
          </cell>
          <cell r="AK60">
            <v>677243.06</v>
          </cell>
          <cell r="AL60">
            <v>0</v>
          </cell>
          <cell r="AM60">
            <v>0</v>
          </cell>
          <cell r="AN60" t="str">
            <v/>
          </cell>
          <cell r="AO60">
            <v>0</v>
          </cell>
          <cell r="AP60">
            <v>0</v>
          </cell>
          <cell r="AQ60">
            <v>0</v>
          </cell>
          <cell r="AR60">
            <v>281</v>
          </cell>
          <cell r="AS60">
            <v>0</v>
          </cell>
          <cell r="AT60" t="str">
            <v/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 t="str">
            <v/>
          </cell>
          <cell r="BK60">
            <v>1800</v>
          </cell>
          <cell r="BL60" t="str">
            <v>0</v>
          </cell>
          <cell r="BM60" t="str">
            <v>1</v>
          </cell>
          <cell r="BN60" t="str">
            <v/>
          </cell>
          <cell r="BO60" t="str">
            <v/>
          </cell>
        </row>
        <row r="61">
          <cell r="A61">
            <v>2</v>
          </cell>
          <cell r="B61">
            <v>1330001</v>
          </cell>
          <cell r="C61" t="str">
            <v>BRUN 100 TONNES</v>
          </cell>
          <cell r="D61" t="str">
            <v>STOCK PREP INGENERIE</v>
          </cell>
          <cell r="E61" t="str">
            <v>N</v>
          </cell>
          <cell r="F61">
            <v>0</v>
          </cell>
          <cell r="G61">
            <v>0</v>
          </cell>
          <cell r="H61">
            <v>460492.02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460492.02</v>
          </cell>
          <cell r="O61">
            <v>460492.02</v>
          </cell>
          <cell r="P61">
            <v>460492.02</v>
          </cell>
          <cell r="Q61">
            <v>460492.02</v>
          </cell>
          <cell r="R61">
            <v>460492.02</v>
          </cell>
          <cell r="S61">
            <v>460492.02</v>
          </cell>
          <cell r="T61">
            <v>460492.02</v>
          </cell>
          <cell r="U61">
            <v>460492.02</v>
          </cell>
          <cell r="V61">
            <v>460492.02</v>
          </cell>
          <cell r="W61">
            <v>460492.02</v>
          </cell>
          <cell r="X61">
            <v>460492.02</v>
          </cell>
          <cell r="Y61">
            <v>460492.02</v>
          </cell>
          <cell r="Z61">
            <v>460492.02</v>
          </cell>
          <cell r="AA61">
            <v>460492.02</v>
          </cell>
          <cell r="AB61">
            <v>460492.02</v>
          </cell>
          <cell r="AC61">
            <v>460492.02</v>
          </cell>
          <cell r="AD61">
            <v>460492.02</v>
          </cell>
          <cell r="AE61">
            <v>460492.02</v>
          </cell>
          <cell r="AF61">
            <v>460492.02</v>
          </cell>
          <cell r="AG61">
            <v>460492.02</v>
          </cell>
          <cell r="AH61">
            <v>460492.02</v>
          </cell>
          <cell r="AI61">
            <v>460492.02</v>
          </cell>
          <cell r="AJ61">
            <v>460492.02</v>
          </cell>
          <cell r="AK61">
            <v>460492.02</v>
          </cell>
          <cell r="AL61">
            <v>0</v>
          </cell>
          <cell r="AM61">
            <v>1</v>
          </cell>
          <cell r="AN61" t="str">
            <v/>
          </cell>
          <cell r="AO61">
            <v>0</v>
          </cell>
          <cell r="AP61">
            <v>0</v>
          </cell>
          <cell r="AQ61">
            <v>0</v>
          </cell>
          <cell r="AR61">
            <v>290</v>
          </cell>
          <cell r="AS61">
            <v>0</v>
          </cell>
          <cell r="AT61" t="str">
            <v/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240</v>
          </cell>
          <cell r="BJ61" t="str">
            <v/>
          </cell>
          <cell r="BK61">
            <v>1700</v>
          </cell>
          <cell r="BL61" t="str">
            <v>1</v>
          </cell>
          <cell r="BM61" t="str">
            <v>1</v>
          </cell>
          <cell r="BN61" t="str">
            <v/>
          </cell>
          <cell r="BO61" t="str">
            <v/>
          </cell>
        </row>
        <row r="62">
          <cell r="A62">
            <v>1</v>
          </cell>
          <cell r="B62">
            <v>1330654</v>
          </cell>
          <cell r="C62" t="str">
            <v>COMPLIANCE ENVIRO</v>
          </cell>
          <cell r="D62" t="str">
            <v/>
          </cell>
          <cell r="E62" t="str">
            <v>N</v>
          </cell>
          <cell r="F62">
            <v>0</v>
          </cell>
          <cell r="G62">
            <v>0</v>
          </cell>
          <cell r="H62">
            <v>120989.35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120989.35</v>
          </cell>
          <cell r="O62">
            <v>120989.35</v>
          </cell>
          <cell r="P62">
            <v>120989.35</v>
          </cell>
          <cell r="Q62">
            <v>120989.35</v>
          </cell>
          <cell r="R62">
            <v>120989.35</v>
          </cell>
          <cell r="S62">
            <v>120989.35</v>
          </cell>
          <cell r="T62">
            <v>120989.35</v>
          </cell>
          <cell r="U62">
            <v>120989.35</v>
          </cell>
          <cell r="V62">
            <v>120989.35</v>
          </cell>
          <cell r="W62">
            <v>120989.35</v>
          </cell>
          <cell r="X62">
            <v>120989.35</v>
          </cell>
          <cell r="Y62">
            <v>120989.35</v>
          </cell>
          <cell r="Z62">
            <v>120989.35</v>
          </cell>
          <cell r="AA62">
            <v>120989.35</v>
          </cell>
          <cell r="AB62">
            <v>120989.35</v>
          </cell>
          <cell r="AC62">
            <v>120989.35</v>
          </cell>
          <cell r="AD62">
            <v>120989.35</v>
          </cell>
          <cell r="AE62">
            <v>120989.35</v>
          </cell>
          <cell r="AF62">
            <v>120989.35</v>
          </cell>
          <cell r="AG62">
            <v>120989.35</v>
          </cell>
          <cell r="AH62">
            <v>120989.35</v>
          </cell>
          <cell r="AI62">
            <v>120989.35</v>
          </cell>
          <cell r="AJ62">
            <v>120989.35</v>
          </cell>
          <cell r="AK62">
            <v>120989.35</v>
          </cell>
          <cell r="AL62">
            <v>0</v>
          </cell>
          <cell r="AM62">
            <v>4</v>
          </cell>
          <cell r="AN62" t="str">
            <v/>
          </cell>
          <cell r="AO62">
            <v>0</v>
          </cell>
          <cell r="AP62">
            <v>0</v>
          </cell>
          <cell r="AQ62">
            <v>0</v>
          </cell>
          <cell r="AR62">
            <v>290</v>
          </cell>
          <cell r="AS62">
            <v>0</v>
          </cell>
          <cell r="AT62" t="str">
            <v/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240</v>
          </cell>
          <cell r="BJ62" t="str">
            <v/>
          </cell>
          <cell r="BK62">
            <v>1700</v>
          </cell>
          <cell r="BL62" t="str">
            <v>1</v>
          </cell>
          <cell r="BM62" t="str">
            <v>1</v>
          </cell>
          <cell r="BN62" t="str">
            <v/>
          </cell>
          <cell r="BO62" t="str">
            <v/>
          </cell>
        </row>
        <row r="63">
          <cell r="A63">
            <v>1</v>
          </cell>
          <cell r="B63">
            <v>1330784</v>
          </cell>
          <cell r="C63" t="str">
            <v>ENVIRO GENERAL</v>
          </cell>
          <cell r="D63" t="str">
            <v/>
          </cell>
          <cell r="E63" t="str">
            <v>N</v>
          </cell>
          <cell r="F63">
            <v>0</v>
          </cell>
          <cell r="G63">
            <v>0</v>
          </cell>
          <cell r="H63">
            <v>136965.91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136965.91</v>
          </cell>
          <cell r="O63">
            <v>136965.91</v>
          </cell>
          <cell r="P63">
            <v>136965.91</v>
          </cell>
          <cell r="Q63">
            <v>136965.91</v>
          </cell>
          <cell r="R63">
            <v>136965.91</v>
          </cell>
          <cell r="S63">
            <v>136965.91</v>
          </cell>
          <cell r="T63">
            <v>136965.91</v>
          </cell>
          <cell r="U63">
            <v>136965.91</v>
          </cell>
          <cell r="V63">
            <v>136965.91</v>
          </cell>
          <cell r="W63">
            <v>136965.91</v>
          </cell>
          <cell r="X63">
            <v>136965.91</v>
          </cell>
          <cell r="Y63">
            <v>136965.91</v>
          </cell>
          <cell r="Z63">
            <v>136965.91</v>
          </cell>
          <cell r="AA63">
            <v>136965.91</v>
          </cell>
          <cell r="AB63">
            <v>136965.91</v>
          </cell>
          <cell r="AC63">
            <v>136965.91</v>
          </cell>
          <cell r="AD63">
            <v>136965.91</v>
          </cell>
          <cell r="AE63">
            <v>136965.91</v>
          </cell>
          <cell r="AF63">
            <v>136965.91</v>
          </cell>
          <cell r="AG63">
            <v>136965.91</v>
          </cell>
          <cell r="AH63">
            <v>136965.91</v>
          </cell>
          <cell r="AI63">
            <v>136965.91</v>
          </cell>
          <cell r="AJ63">
            <v>136965.91</v>
          </cell>
          <cell r="AK63">
            <v>136965.91</v>
          </cell>
          <cell r="AL63">
            <v>0</v>
          </cell>
          <cell r="AM63">
            <v>4</v>
          </cell>
          <cell r="AN63" t="str">
            <v/>
          </cell>
          <cell r="AO63">
            <v>0</v>
          </cell>
          <cell r="AP63">
            <v>0</v>
          </cell>
          <cell r="AQ63">
            <v>0</v>
          </cell>
          <cell r="AR63">
            <v>290</v>
          </cell>
          <cell r="AS63">
            <v>0</v>
          </cell>
          <cell r="AT63" t="str">
            <v/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240</v>
          </cell>
          <cell r="BJ63" t="str">
            <v/>
          </cell>
          <cell r="BK63">
            <v>1700</v>
          </cell>
          <cell r="BL63" t="str">
            <v>1</v>
          </cell>
          <cell r="BM63" t="str">
            <v>1</v>
          </cell>
          <cell r="BN63" t="str">
            <v/>
          </cell>
          <cell r="BO63" t="str">
            <v/>
          </cell>
        </row>
        <row r="64">
          <cell r="A64">
            <v>1</v>
          </cell>
          <cell r="B64">
            <v>1331984</v>
          </cell>
          <cell r="C64" t="str">
            <v>PW  NORME ENVIRO</v>
          </cell>
          <cell r="D64" t="str">
            <v/>
          </cell>
          <cell r="E64" t="str">
            <v>N</v>
          </cell>
          <cell r="F64">
            <v>0</v>
          </cell>
          <cell r="G64">
            <v>0</v>
          </cell>
          <cell r="H64">
            <v>263240.34999999998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263240.34999999998</v>
          </cell>
          <cell r="O64">
            <v>263240.34999999998</v>
          </cell>
          <cell r="P64">
            <v>263240.34999999998</v>
          </cell>
          <cell r="Q64">
            <v>263240.34999999998</v>
          </cell>
          <cell r="R64">
            <v>263240.34999999998</v>
          </cell>
          <cell r="S64">
            <v>263240.34999999998</v>
          </cell>
          <cell r="T64">
            <v>263240.34999999998</v>
          </cell>
          <cell r="U64">
            <v>263240.34999999998</v>
          </cell>
          <cell r="V64">
            <v>263240.34999999998</v>
          </cell>
          <cell r="W64">
            <v>263240.34999999998</v>
          </cell>
          <cell r="X64">
            <v>263240.34999999998</v>
          </cell>
          <cell r="Y64">
            <v>263240.34999999998</v>
          </cell>
          <cell r="Z64">
            <v>263240.34999999998</v>
          </cell>
          <cell r="AA64">
            <v>263240.34999999998</v>
          </cell>
          <cell r="AB64">
            <v>263240.34999999998</v>
          </cell>
          <cell r="AC64">
            <v>263240.34999999998</v>
          </cell>
          <cell r="AD64">
            <v>263240.34999999998</v>
          </cell>
          <cell r="AE64">
            <v>263240.34999999998</v>
          </cell>
          <cell r="AF64">
            <v>263240.34999999998</v>
          </cell>
          <cell r="AG64">
            <v>263240.34999999998</v>
          </cell>
          <cell r="AH64">
            <v>263240.34999999998</v>
          </cell>
          <cell r="AI64">
            <v>263240.34999999998</v>
          </cell>
          <cell r="AJ64">
            <v>263240.34999999998</v>
          </cell>
          <cell r="AK64">
            <v>263240.34999999998</v>
          </cell>
          <cell r="AL64">
            <v>0</v>
          </cell>
          <cell r="AM64">
            <v>4</v>
          </cell>
          <cell r="AN64" t="str">
            <v/>
          </cell>
          <cell r="AO64">
            <v>0</v>
          </cell>
          <cell r="AP64">
            <v>0</v>
          </cell>
          <cell r="AQ64">
            <v>0</v>
          </cell>
          <cell r="AR64">
            <v>290</v>
          </cell>
          <cell r="AS64">
            <v>0</v>
          </cell>
          <cell r="AT64" t="str">
            <v/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240</v>
          </cell>
          <cell r="BJ64" t="str">
            <v/>
          </cell>
          <cell r="BK64">
            <v>1700</v>
          </cell>
          <cell r="BL64" t="str">
            <v>1</v>
          </cell>
          <cell r="BM64" t="str">
            <v>1</v>
          </cell>
          <cell r="BN64" t="str">
            <v/>
          </cell>
          <cell r="BO64" t="str">
            <v/>
          </cell>
        </row>
        <row r="65">
          <cell r="A65">
            <v>1</v>
          </cell>
          <cell r="B65">
            <v>1332000</v>
          </cell>
          <cell r="C65" t="str">
            <v>VENTILATION CAROUSSEL</v>
          </cell>
          <cell r="D65" t="str">
            <v/>
          </cell>
          <cell r="E65" t="str">
            <v>N</v>
          </cell>
          <cell r="F65">
            <v>0</v>
          </cell>
          <cell r="G65">
            <v>0</v>
          </cell>
          <cell r="H65">
            <v>3650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3650</v>
          </cell>
          <cell r="O65">
            <v>3650</v>
          </cell>
          <cell r="P65">
            <v>3650</v>
          </cell>
          <cell r="Q65">
            <v>3650</v>
          </cell>
          <cell r="R65">
            <v>3650</v>
          </cell>
          <cell r="S65">
            <v>3650</v>
          </cell>
          <cell r="T65">
            <v>3650</v>
          </cell>
          <cell r="U65">
            <v>3650</v>
          </cell>
          <cell r="V65">
            <v>3650</v>
          </cell>
          <cell r="W65">
            <v>3650</v>
          </cell>
          <cell r="X65">
            <v>3650</v>
          </cell>
          <cell r="Y65">
            <v>3650</v>
          </cell>
          <cell r="Z65">
            <v>3650</v>
          </cell>
          <cell r="AA65">
            <v>3650</v>
          </cell>
          <cell r="AB65">
            <v>3650</v>
          </cell>
          <cell r="AC65">
            <v>3650</v>
          </cell>
          <cell r="AD65">
            <v>3650</v>
          </cell>
          <cell r="AE65">
            <v>3650</v>
          </cell>
          <cell r="AF65">
            <v>3650</v>
          </cell>
          <cell r="AG65">
            <v>3650</v>
          </cell>
          <cell r="AH65">
            <v>3650</v>
          </cell>
          <cell r="AI65">
            <v>3650</v>
          </cell>
          <cell r="AJ65">
            <v>3650</v>
          </cell>
          <cell r="AK65">
            <v>3650</v>
          </cell>
          <cell r="AL65">
            <v>0</v>
          </cell>
          <cell r="AM65">
            <v>0</v>
          </cell>
          <cell r="AN65" t="str">
            <v/>
          </cell>
          <cell r="AO65">
            <v>0</v>
          </cell>
          <cell r="AP65">
            <v>0</v>
          </cell>
          <cell r="AQ65">
            <v>0</v>
          </cell>
          <cell r="AR65">
            <v>290</v>
          </cell>
          <cell r="AS65">
            <v>0</v>
          </cell>
          <cell r="AT65" t="str">
            <v/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240</v>
          </cell>
          <cell r="BJ65" t="str">
            <v/>
          </cell>
          <cell r="BK65">
            <v>1700</v>
          </cell>
          <cell r="BL65" t="str">
            <v>1</v>
          </cell>
          <cell r="BM65" t="str">
            <v>1</v>
          </cell>
          <cell r="BN65" t="str">
            <v/>
          </cell>
          <cell r="BO65" t="str">
            <v/>
          </cell>
        </row>
        <row r="66">
          <cell r="A66">
            <v>1</v>
          </cell>
          <cell r="B66">
            <v>1332013</v>
          </cell>
          <cell r="C66" t="str">
            <v>BRETING ROLL</v>
          </cell>
          <cell r="D66" t="str">
            <v/>
          </cell>
          <cell r="E66" t="str">
            <v>N</v>
          </cell>
          <cell r="F66">
            <v>0</v>
          </cell>
          <cell r="G66">
            <v>0</v>
          </cell>
          <cell r="H66">
            <v>85269.77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85269.77</v>
          </cell>
          <cell r="O66">
            <v>85269.77</v>
          </cell>
          <cell r="P66">
            <v>85269.77</v>
          </cell>
          <cell r="Q66">
            <v>85269.77</v>
          </cell>
          <cell r="R66">
            <v>85269.77</v>
          </cell>
          <cell r="S66">
            <v>85269.77</v>
          </cell>
          <cell r="T66">
            <v>85269.77</v>
          </cell>
          <cell r="U66">
            <v>85269.77</v>
          </cell>
          <cell r="V66">
            <v>85269.77</v>
          </cell>
          <cell r="W66">
            <v>85269.77</v>
          </cell>
          <cell r="X66">
            <v>85269.77</v>
          </cell>
          <cell r="Y66">
            <v>85269.77</v>
          </cell>
          <cell r="Z66">
            <v>85269.77</v>
          </cell>
          <cell r="AA66">
            <v>85269.77</v>
          </cell>
          <cell r="AB66">
            <v>85269.77</v>
          </cell>
          <cell r="AC66">
            <v>85269.77</v>
          </cell>
          <cell r="AD66">
            <v>85269.77</v>
          </cell>
          <cell r="AE66">
            <v>85269.77</v>
          </cell>
          <cell r="AF66">
            <v>85269.77</v>
          </cell>
          <cell r="AG66">
            <v>85269.77</v>
          </cell>
          <cell r="AH66">
            <v>85269.77</v>
          </cell>
          <cell r="AI66">
            <v>85269.77</v>
          </cell>
          <cell r="AJ66">
            <v>85269.77</v>
          </cell>
          <cell r="AK66">
            <v>85269.77</v>
          </cell>
          <cell r="AL66">
            <v>0</v>
          </cell>
          <cell r="AM66">
            <v>3</v>
          </cell>
          <cell r="AN66" t="str">
            <v/>
          </cell>
          <cell r="AO66">
            <v>0</v>
          </cell>
          <cell r="AP66">
            <v>0</v>
          </cell>
          <cell r="AQ66">
            <v>0</v>
          </cell>
          <cell r="AR66">
            <v>290</v>
          </cell>
          <cell r="AS66">
            <v>0</v>
          </cell>
          <cell r="AT66" t="str">
            <v/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240</v>
          </cell>
          <cell r="BJ66" t="str">
            <v/>
          </cell>
          <cell r="BK66">
            <v>1700</v>
          </cell>
          <cell r="BL66" t="str">
            <v>1</v>
          </cell>
          <cell r="BM66" t="str">
            <v>1</v>
          </cell>
          <cell r="BN66" t="str">
            <v/>
          </cell>
          <cell r="BO66" t="str">
            <v/>
          </cell>
        </row>
        <row r="67">
          <cell r="A67">
            <v>1</v>
          </cell>
          <cell r="B67">
            <v>1332044</v>
          </cell>
          <cell r="C67" t="str">
            <v>TRAITEMENT SECONDAIRE</v>
          </cell>
          <cell r="D67" t="str">
            <v/>
          </cell>
          <cell r="E67" t="str">
            <v>N</v>
          </cell>
          <cell r="F67">
            <v>0</v>
          </cell>
          <cell r="G67">
            <v>0</v>
          </cell>
          <cell r="H67">
            <v>1722725.32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1722725.32</v>
          </cell>
          <cell r="O67">
            <v>1722725.32</v>
          </cell>
          <cell r="P67">
            <v>1722725.32</v>
          </cell>
          <cell r="Q67">
            <v>1722725.32</v>
          </cell>
          <cell r="R67">
            <v>1722725.32</v>
          </cell>
          <cell r="S67">
            <v>1722725.32</v>
          </cell>
          <cell r="T67">
            <v>1722725.32</v>
          </cell>
          <cell r="U67">
            <v>1722725.32</v>
          </cell>
          <cell r="V67">
            <v>1722725.32</v>
          </cell>
          <cell r="W67">
            <v>1722725.32</v>
          </cell>
          <cell r="X67">
            <v>1722725.32</v>
          </cell>
          <cell r="Y67">
            <v>1722725.32</v>
          </cell>
          <cell r="Z67">
            <v>1722725.32</v>
          </cell>
          <cell r="AA67">
            <v>1722725.32</v>
          </cell>
          <cell r="AB67">
            <v>1722725.32</v>
          </cell>
          <cell r="AC67">
            <v>1722725.32</v>
          </cell>
          <cell r="AD67">
            <v>1722725.32</v>
          </cell>
          <cell r="AE67">
            <v>1722725.32</v>
          </cell>
          <cell r="AF67">
            <v>1722725.32</v>
          </cell>
          <cell r="AG67">
            <v>1722725.32</v>
          </cell>
          <cell r="AH67">
            <v>1722725.32</v>
          </cell>
          <cell r="AI67">
            <v>1722725.32</v>
          </cell>
          <cell r="AJ67">
            <v>1722725.32</v>
          </cell>
          <cell r="AK67">
            <v>1722725.32</v>
          </cell>
          <cell r="AL67">
            <v>0</v>
          </cell>
          <cell r="AM67">
            <v>4</v>
          </cell>
          <cell r="AN67" t="str">
            <v/>
          </cell>
          <cell r="AO67">
            <v>0</v>
          </cell>
          <cell r="AP67">
            <v>0</v>
          </cell>
          <cell r="AQ67">
            <v>0</v>
          </cell>
          <cell r="AR67">
            <v>290</v>
          </cell>
          <cell r="AS67">
            <v>0</v>
          </cell>
          <cell r="AT67" t="str">
            <v/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240</v>
          </cell>
          <cell r="BJ67" t="str">
            <v/>
          </cell>
          <cell r="BK67">
            <v>1700</v>
          </cell>
          <cell r="BL67" t="str">
            <v>1</v>
          </cell>
          <cell r="BM67" t="str">
            <v>1</v>
          </cell>
          <cell r="BN67" t="str">
            <v/>
          </cell>
          <cell r="BO67" t="str">
            <v/>
          </cell>
        </row>
        <row r="68">
          <cell r="A68">
            <v>1</v>
          </cell>
          <cell r="B68">
            <v>1332103</v>
          </cell>
          <cell r="C68" t="str">
            <v>PALAN</v>
          </cell>
          <cell r="D68" t="str">
            <v/>
          </cell>
          <cell r="E68" t="str">
            <v>N</v>
          </cell>
          <cell r="F68">
            <v>0</v>
          </cell>
          <cell r="G68">
            <v>0</v>
          </cell>
          <cell r="H68">
            <v>6360.5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6360.5</v>
          </cell>
          <cell r="O68">
            <v>6360.5</v>
          </cell>
          <cell r="P68">
            <v>6360.5</v>
          </cell>
          <cell r="Q68">
            <v>6360.5</v>
          </cell>
          <cell r="R68">
            <v>6360.5</v>
          </cell>
          <cell r="S68">
            <v>6360.5</v>
          </cell>
          <cell r="T68">
            <v>6360.5</v>
          </cell>
          <cell r="U68">
            <v>6360.5</v>
          </cell>
          <cell r="V68">
            <v>6360.5</v>
          </cell>
          <cell r="W68">
            <v>6360.5</v>
          </cell>
          <cell r="X68">
            <v>6360.5</v>
          </cell>
          <cell r="Y68">
            <v>6360.5</v>
          </cell>
          <cell r="Z68">
            <v>6360.5</v>
          </cell>
          <cell r="AA68">
            <v>6360.5</v>
          </cell>
          <cell r="AB68">
            <v>6360.5</v>
          </cell>
          <cell r="AC68">
            <v>6360.5</v>
          </cell>
          <cell r="AD68">
            <v>6360.5</v>
          </cell>
          <cell r="AE68">
            <v>6360.5</v>
          </cell>
          <cell r="AF68">
            <v>6360.5</v>
          </cell>
          <cell r="AG68">
            <v>6360.5</v>
          </cell>
          <cell r="AH68">
            <v>6360.5</v>
          </cell>
          <cell r="AI68">
            <v>6360.5</v>
          </cell>
          <cell r="AJ68">
            <v>6360.5</v>
          </cell>
          <cell r="AK68">
            <v>6360.5</v>
          </cell>
          <cell r="AL68">
            <v>0</v>
          </cell>
          <cell r="AM68">
            <v>3</v>
          </cell>
          <cell r="AN68" t="str">
            <v/>
          </cell>
          <cell r="AO68">
            <v>0</v>
          </cell>
          <cell r="AP68">
            <v>0</v>
          </cell>
          <cell r="AQ68">
            <v>0</v>
          </cell>
          <cell r="AR68">
            <v>290</v>
          </cell>
          <cell r="AS68">
            <v>0</v>
          </cell>
          <cell r="AT68" t="str">
            <v/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240</v>
          </cell>
          <cell r="BJ68" t="str">
            <v/>
          </cell>
          <cell r="BK68">
            <v>1700</v>
          </cell>
          <cell r="BL68" t="str">
            <v>1</v>
          </cell>
          <cell r="BM68" t="str">
            <v>1</v>
          </cell>
          <cell r="BN68" t="str">
            <v/>
          </cell>
          <cell r="BO68" t="str">
            <v/>
          </cell>
        </row>
        <row r="69">
          <cell r="A69">
            <v>1</v>
          </cell>
          <cell r="B69">
            <v>1332150</v>
          </cell>
          <cell r="C69" t="str">
            <v>PERCEUSE MAGNETIQUE</v>
          </cell>
          <cell r="D69" t="str">
            <v/>
          </cell>
          <cell r="E69" t="str">
            <v>N</v>
          </cell>
          <cell r="F69">
            <v>0</v>
          </cell>
          <cell r="G69">
            <v>0</v>
          </cell>
          <cell r="H69">
            <v>2965.43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2965.43</v>
          </cell>
          <cell r="O69">
            <v>2965.43</v>
          </cell>
          <cell r="P69">
            <v>2965.43</v>
          </cell>
          <cell r="Q69">
            <v>2965.43</v>
          </cell>
          <cell r="R69">
            <v>2965.43</v>
          </cell>
          <cell r="S69">
            <v>2965.43</v>
          </cell>
          <cell r="T69">
            <v>2965.43</v>
          </cell>
          <cell r="U69">
            <v>2965.43</v>
          </cell>
          <cell r="V69">
            <v>2965.43</v>
          </cell>
          <cell r="W69">
            <v>2965.43</v>
          </cell>
          <cell r="X69">
            <v>2965.43</v>
          </cell>
          <cell r="Y69">
            <v>2965.43</v>
          </cell>
          <cell r="Z69">
            <v>2965.43</v>
          </cell>
          <cell r="AA69">
            <v>2965.43</v>
          </cell>
          <cell r="AB69">
            <v>2965.43</v>
          </cell>
          <cell r="AC69">
            <v>2965.43</v>
          </cell>
          <cell r="AD69">
            <v>2965.43</v>
          </cell>
          <cell r="AE69">
            <v>2965.43</v>
          </cell>
          <cell r="AF69">
            <v>2965.43</v>
          </cell>
          <cell r="AG69">
            <v>2965.43</v>
          </cell>
          <cell r="AH69">
            <v>2965.43</v>
          </cell>
          <cell r="AI69">
            <v>2965.43</v>
          </cell>
          <cell r="AJ69">
            <v>2965.43</v>
          </cell>
          <cell r="AK69">
            <v>2965.43</v>
          </cell>
          <cell r="AL69">
            <v>0</v>
          </cell>
          <cell r="AM69">
            <v>0</v>
          </cell>
          <cell r="AN69" t="str">
            <v/>
          </cell>
          <cell r="AO69">
            <v>0</v>
          </cell>
          <cell r="AP69">
            <v>0</v>
          </cell>
          <cell r="AQ69">
            <v>0</v>
          </cell>
          <cell r="AR69">
            <v>290</v>
          </cell>
          <cell r="AS69">
            <v>0</v>
          </cell>
          <cell r="AT69" t="str">
            <v/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240</v>
          </cell>
          <cell r="BJ69" t="str">
            <v/>
          </cell>
          <cell r="BK69">
            <v>1700</v>
          </cell>
          <cell r="BL69" t="str">
            <v>1</v>
          </cell>
          <cell r="BM69" t="str">
            <v>1</v>
          </cell>
          <cell r="BN69" t="str">
            <v/>
          </cell>
          <cell r="BO69" t="str">
            <v/>
          </cell>
        </row>
        <row r="70">
          <cell r="A70">
            <v>1</v>
          </cell>
          <cell r="B70">
            <v>1332183</v>
          </cell>
          <cell r="C70" t="str">
            <v>FOLDING ROLLS</v>
          </cell>
          <cell r="D70" t="str">
            <v/>
          </cell>
          <cell r="E70" t="str">
            <v>N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97940.1</v>
          </cell>
          <cell r="AA70">
            <v>97940.1</v>
          </cell>
          <cell r="AB70">
            <v>97940.1</v>
          </cell>
          <cell r="AC70">
            <v>97940.1</v>
          </cell>
          <cell r="AD70">
            <v>97940.1</v>
          </cell>
          <cell r="AE70">
            <v>97940.1</v>
          </cell>
          <cell r="AF70">
            <v>97940.1</v>
          </cell>
          <cell r="AG70">
            <v>97940.1</v>
          </cell>
          <cell r="AH70">
            <v>97940.1</v>
          </cell>
          <cell r="AI70">
            <v>97940.1</v>
          </cell>
          <cell r="AJ70">
            <v>97940.1</v>
          </cell>
          <cell r="AK70">
            <v>0</v>
          </cell>
          <cell r="AL70">
            <v>0</v>
          </cell>
          <cell r="AM70">
            <v>3</v>
          </cell>
          <cell r="AN70" t="str">
            <v/>
          </cell>
          <cell r="AO70">
            <v>0</v>
          </cell>
          <cell r="AP70">
            <v>0</v>
          </cell>
          <cell r="AQ70">
            <v>0</v>
          </cell>
          <cell r="AR70">
            <v>290</v>
          </cell>
          <cell r="AS70">
            <v>0</v>
          </cell>
          <cell r="AT70" t="str">
            <v/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240</v>
          </cell>
          <cell r="BJ70" t="str">
            <v/>
          </cell>
          <cell r="BK70">
            <v>1700</v>
          </cell>
          <cell r="BL70" t="str">
            <v>1</v>
          </cell>
          <cell r="BM70" t="str">
            <v>1</v>
          </cell>
          <cell r="BN70" t="str">
            <v/>
          </cell>
          <cell r="BO70" t="str">
            <v/>
          </cell>
        </row>
        <row r="71">
          <cell r="A71">
            <v>1</v>
          </cell>
          <cell r="B71">
            <v>1332214</v>
          </cell>
          <cell r="C71" t="str">
            <v>BALANCE LAB</v>
          </cell>
          <cell r="D71" t="str">
            <v/>
          </cell>
          <cell r="E71" t="str">
            <v>N</v>
          </cell>
          <cell r="F71">
            <v>0</v>
          </cell>
          <cell r="G71">
            <v>0</v>
          </cell>
          <cell r="H71">
            <v>2825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2825</v>
          </cell>
          <cell r="O71">
            <v>2825</v>
          </cell>
          <cell r="P71">
            <v>2825</v>
          </cell>
          <cell r="Q71">
            <v>2825</v>
          </cell>
          <cell r="R71">
            <v>2825</v>
          </cell>
          <cell r="S71">
            <v>2825</v>
          </cell>
          <cell r="T71">
            <v>2825</v>
          </cell>
          <cell r="U71">
            <v>2825</v>
          </cell>
          <cell r="V71">
            <v>2825</v>
          </cell>
          <cell r="W71">
            <v>2825</v>
          </cell>
          <cell r="X71">
            <v>2825</v>
          </cell>
          <cell r="Y71">
            <v>2825</v>
          </cell>
          <cell r="Z71">
            <v>2825</v>
          </cell>
          <cell r="AA71">
            <v>2825</v>
          </cell>
          <cell r="AB71">
            <v>2825</v>
          </cell>
          <cell r="AC71">
            <v>2825</v>
          </cell>
          <cell r="AD71">
            <v>2825</v>
          </cell>
          <cell r="AE71">
            <v>2825</v>
          </cell>
          <cell r="AF71">
            <v>2825</v>
          </cell>
          <cell r="AG71">
            <v>2825</v>
          </cell>
          <cell r="AH71">
            <v>2825</v>
          </cell>
          <cell r="AI71">
            <v>2825</v>
          </cell>
          <cell r="AJ71">
            <v>2825</v>
          </cell>
          <cell r="AK71">
            <v>2825</v>
          </cell>
          <cell r="AL71">
            <v>0</v>
          </cell>
          <cell r="AM71">
            <v>4</v>
          </cell>
          <cell r="AN71" t="str">
            <v/>
          </cell>
          <cell r="AO71">
            <v>0</v>
          </cell>
          <cell r="AP71">
            <v>0</v>
          </cell>
          <cell r="AQ71">
            <v>0</v>
          </cell>
          <cell r="AR71">
            <v>290</v>
          </cell>
          <cell r="AS71">
            <v>0</v>
          </cell>
          <cell r="AT71" t="str">
            <v/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240</v>
          </cell>
          <cell r="BJ71" t="str">
            <v/>
          </cell>
          <cell r="BK71">
            <v>1700</v>
          </cell>
          <cell r="BL71" t="str">
            <v>1</v>
          </cell>
          <cell r="BM71" t="str">
            <v>1</v>
          </cell>
          <cell r="BN71" t="str">
            <v/>
          </cell>
          <cell r="BO71" t="str">
            <v/>
          </cell>
        </row>
        <row r="72">
          <cell r="A72">
            <v>1</v>
          </cell>
          <cell r="B72">
            <v>1332231</v>
          </cell>
          <cell r="C72" t="str">
            <v>2 JACKS BOITES</v>
          </cell>
          <cell r="D72" t="str">
            <v/>
          </cell>
          <cell r="E72" t="str">
            <v>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15149.1</v>
          </cell>
          <cell r="AA72">
            <v>15149.1</v>
          </cell>
          <cell r="AB72">
            <v>15149.1</v>
          </cell>
          <cell r="AC72">
            <v>15149.1</v>
          </cell>
          <cell r="AD72">
            <v>15149.1</v>
          </cell>
          <cell r="AE72">
            <v>15149.1</v>
          </cell>
          <cell r="AF72">
            <v>15149.1</v>
          </cell>
          <cell r="AG72">
            <v>15149.1</v>
          </cell>
          <cell r="AH72">
            <v>15149.1</v>
          </cell>
          <cell r="AI72">
            <v>15149.1</v>
          </cell>
          <cell r="AJ72">
            <v>15149.1</v>
          </cell>
          <cell r="AK72">
            <v>0</v>
          </cell>
          <cell r="AL72">
            <v>0</v>
          </cell>
          <cell r="AM72">
            <v>1</v>
          </cell>
          <cell r="AN72" t="str">
            <v/>
          </cell>
          <cell r="AO72">
            <v>0</v>
          </cell>
          <cell r="AP72">
            <v>0</v>
          </cell>
          <cell r="AQ72">
            <v>0</v>
          </cell>
          <cell r="AR72">
            <v>290</v>
          </cell>
          <cell r="AS72">
            <v>0</v>
          </cell>
          <cell r="AT72" t="str">
            <v/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240</v>
          </cell>
          <cell r="BJ72" t="str">
            <v/>
          </cell>
          <cell r="BK72">
            <v>1700</v>
          </cell>
          <cell r="BL72" t="str">
            <v>1</v>
          </cell>
          <cell r="BM72" t="str">
            <v>1</v>
          </cell>
          <cell r="BN72" t="str">
            <v/>
          </cell>
          <cell r="BO72" t="str">
            <v/>
          </cell>
        </row>
        <row r="73">
          <cell r="A73">
            <v>1</v>
          </cell>
          <cell r="B73">
            <v>1332240</v>
          </cell>
          <cell r="C73" t="str">
            <v>MACTRON</v>
          </cell>
          <cell r="D73" t="str">
            <v/>
          </cell>
          <cell r="E73" t="str">
            <v>N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26706.39</v>
          </cell>
          <cell r="AA73">
            <v>26706.39</v>
          </cell>
          <cell r="AB73">
            <v>26706.39</v>
          </cell>
          <cell r="AC73">
            <v>26706.39</v>
          </cell>
          <cell r="AD73">
            <v>26706.39</v>
          </cell>
          <cell r="AE73">
            <v>26706.39</v>
          </cell>
          <cell r="AF73">
            <v>26706.39</v>
          </cell>
          <cell r="AG73">
            <v>26706.39</v>
          </cell>
          <cell r="AH73">
            <v>26706.39</v>
          </cell>
          <cell r="AI73">
            <v>26706.39</v>
          </cell>
          <cell r="AJ73">
            <v>26706.39</v>
          </cell>
          <cell r="AK73">
            <v>0</v>
          </cell>
          <cell r="AL73">
            <v>0</v>
          </cell>
          <cell r="AM73">
            <v>0</v>
          </cell>
          <cell r="AN73" t="str">
            <v/>
          </cell>
          <cell r="AO73">
            <v>0</v>
          </cell>
          <cell r="AP73">
            <v>0</v>
          </cell>
          <cell r="AQ73">
            <v>0</v>
          </cell>
          <cell r="AR73">
            <v>290</v>
          </cell>
          <cell r="AS73">
            <v>0</v>
          </cell>
          <cell r="AT73" t="str">
            <v/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240</v>
          </cell>
          <cell r="BJ73" t="str">
            <v/>
          </cell>
          <cell r="BK73">
            <v>1700</v>
          </cell>
          <cell r="BL73" t="str">
            <v>1</v>
          </cell>
          <cell r="BM73" t="str">
            <v>1</v>
          </cell>
          <cell r="BN73" t="str">
            <v/>
          </cell>
          <cell r="BO73" t="str">
            <v/>
          </cell>
        </row>
        <row r="74">
          <cell r="A74">
            <v>1</v>
          </cell>
          <cell r="B74">
            <v>1332260</v>
          </cell>
          <cell r="C74" t="str">
            <v>DENSIOMETRE</v>
          </cell>
          <cell r="D74" t="str">
            <v/>
          </cell>
          <cell r="E74" t="str">
            <v>N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2580</v>
          </cell>
          <cell r="AA74">
            <v>2580</v>
          </cell>
          <cell r="AB74">
            <v>2580</v>
          </cell>
          <cell r="AC74">
            <v>2580</v>
          </cell>
          <cell r="AD74">
            <v>2580</v>
          </cell>
          <cell r="AE74">
            <v>2580</v>
          </cell>
          <cell r="AF74">
            <v>2580</v>
          </cell>
          <cell r="AG74">
            <v>2580</v>
          </cell>
          <cell r="AH74">
            <v>2580</v>
          </cell>
          <cell r="AI74">
            <v>2580</v>
          </cell>
          <cell r="AJ74">
            <v>2580</v>
          </cell>
          <cell r="AK74">
            <v>0</v>
          </cell>
          <cell r="AL74">
            <v>0</v>
          </cell>
          <cell r="AM74">
            <v>0</v>
          </cell>
          <cell r="AN74" t="str">
            <v/>
          </cell>
          <cell r="AO74">
            <v>0</v>
          </cell>
          <cell r="AP74">
            <v>0</v>
          </cell>
          <cell r="AQ74">
            <v>0</v>
          </cell>
          <cell r="AR74">
            <v>290</v>
          </cell>
          <cell r="AS74">
            <v>0</v>
          </cell>
          <cell r="AT74" t="str">
            <v/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240</v>
          </cell>
          <cell r="BJ74" t="str">
            <v/>
          </cell>
          <cell r="BK74">
            <v>1700</v>
          </cell>
          <cell r="BL74" t="str">
            <v>1</v>
          </cell>
          <cell r="BM74" t="str">
            <v>1</v>
          </cell>
          <cell r="BN74" t="str">
            <v/>
          </cell>
          <cell r="BO74" t="str">
            <v/>
          </cell>
        </row>
        <row r="75">
          <cell r="A75">
            <v>1</v>
          </cell>
          <cell r="B75">
            <v>1332284</v>
          </cell>
          <cell r="C75" t="str">
            <v>PRESSE ASPIRANTES</v>
          </cell>
          <cell r="D75" t="str">
            <v/>
          </cell>
          <cell r="E75" t="str">
            <v>N</v>
          </cell>
          <cell r="F75">
            <v>0</v>
          </cell>
          <cell r="G75">
            <v>0</v>
          </cell>
          <cell r="H75">
            <v>456278.16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456278.16</v>
          </cell>
          <cell r="O75">
            <v>456278.16</v>
          </cell>
          <cell r="P75">
            <v>456278.16</v>
          </cell>
          <cell r="Q75">
            <v>456278.16</v>
          </cell>
          <cell r="R75">
            <v>456278.16</v>
          </cell>
          <cell r="S75">
            <v>456278.16</v>
          </cell>
          <cell r="T75">
            <v>456278.16</v>
          </cell>
          <cell r="U75">
            <v>456278.16</v>
          </cell>
          <cell r="V75">
            <v>456278.16</v>
          </cell>
          <cell r="W75">
            <v>456278.16</v>
          </cell>
          <cell r="X75">
            <v>456278.16</v>
          </cell>
          <cell r="Y75">
            <v>456278.16</v>
          </cell>
          <cell r="Z75">
            <v>456278.16</v>
          </cell>
          <cell r="AA75">
            <v>456278.16</v>
          </cell>
          <cell r="AB75">
            <v>456278.16</v>
          </cell>
          <cell r="AC75">
            <v>456278.16</v>
          </cell>
          <cell r="AD75">
            <v>456278.16</v>
          </cell>
          <cell r="AE75">
            <v>456278.16</v>
          </cell>
          <cell r="AF75">
            <v>456278.16</v>
          </cell>
          <cell r="AG75">
            <v>456278.16</v>
          </cell>
          <cell r="AH75">
            <v>456278.16</v>
          </cell>
          <cell r="AI75">
            <v>456278.16</v>
          </cell>
          <cell r="AJ75">
            <v>456278.16</v>
          </cell>
          <cell r="AK75">
            <v>456278.16</v>
          </cell>
          <cell r="AL75">
            <v>0</v>
          </cell>
          <cell r="AM75">
            <v>4</v>
          </cell>
          <cell r="AN75" t="str">
            <v/>
          </cell>
          <cell r="AO75">
            <v>0</v>
          </cell>
          <cell r="AP75">
            <v>0</v>
          </cell>
          <cell r="AQ75">
            <v>0</v>
          </cell>
          <cell r="AR75">
            <v>290</v>
          </cell>
          <cell r="AS75">
            <v>0</v>
          </cell>
          <cell r="AT75" t="str">
            <v/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240</v>
          </cell>
          <cell r="BJ75" t="str">
            <v/>
          </cell>
          <cell r="BK75">
            <v>1700</v>
          </cell>
          <cell r="BL75" t="str">
            <v>1</v>
          </cell>
          <cell r="BM75" t="str">
            <v>1</v>
          </cell>
          <cell r="BN75" t="str">
            <v/>
          </cell>
          <cell r="BO75" t="str">
            <v/>
          </cell>
        </row>
        <row r="76">
          <cell r="A76">
            <v>1</v>
          </cell>
          <cell r="B76">
            <v>1332300</v>
          </cell>
          <cell r="C76" t="str">
            <v>THERMOMETRE</v>
          </cell>
          <cell r="D76" t="str">
            <v/>
          </cell>
          <cell r="E76" t="str">
            <v>N</v>
          </cell>
          <cell r="F76">
            <v>0</v>
          </cell>
          <cell r="G76">
            <v>0</v>
          </cell>
          <cell r="H76">
            <v>1614.35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1614.35</v>
          </cell>
          <cell r="O76">
            <v>1614.35</v>
          </cell>
          <cell r="P76">
            <v>1614.35</v>
          </cell>
          <cell r="Q76">
            <v>1614.35</v>
          </cell>
          <cell r="R76">
            <v>1614.35</v>
          </cell>
          <cell r="S76">
            <v>1614.35</v>
          </cell>
          <cell r="T76">
            <v>1614.35</v>
          </cell>
          <cell r="U76">
            <v>1614.35</v>
          </cell>
          <cell r="V76">
            <v>1614.35</v>
          </cell>
          <cell r="W76">
            <v>1614.35</v>
          </cell>
          <cell r="X76">
            <v>1614.35</v>
          </cell>
          <cell r="Y76">
            <v>1614.35</v>
          </cell>
          <cell r="Z76">
            <v>1614.35</v>
          </cell>
          <cell r="AA76">
            <v>1614.35</v>
          </cell>
          <cell r="AB76">
            <v>1614.35</v>
          </cell>
          <cell r="AC76">
            <v>1614.35</v>
          </cell>
          <cell r="AD76">
            <v>1614.35</v>
          </cell>
          <cell r="AE76">
            <v>1614.35</v>
          </cell>
          <cell r="AF76">
            <v>1614.35</v>
          </cell>
          <cell r="AG76">
            <v>1614.35</v>
          </cell>
          <cell r="AH76">
            <v>1614.35</v>
          </cell>
          <cell r="AI76">
            <v>1614.35</v>
          </cell>
          <cell r="AJ76">
            <v>1614.35</v>
          </cell>
          <cell r="AK76">
            <v>1614.35</v>
          </cell>
          <cell r="AL76">
            <v>0</v>
          </cell>
          <cell r="AM76">
            <v>0</v>
          </cell>
          <cell r="AN76" t="str">
            <v/>
          </cell>
          <cell r="AO76">
            <v>0</v>
          </cell>
          <cell r="AP76">
            <v>0</v>
          </cell>
          <cell r="AQ76">
            <v>0</v>
          </cell>
          <cell r="AR76">
            <v>290</v>
          </cell>
          <cell r="AS76">
            <v>0</v>
          </cell>
          <cell r="AT76" t="str">
            <v/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240</v>
          </cell>
          <cell r="BJ76" t="str">
            <v/>
          </cell>
          <cell r="BK76">
            <v>1700</v>
          </cell>
          <cell r="BL76" t="str">
            <v>1</v>
          </cell>
          <cell r="BM76" t="str">
            <v>1</v>
          </cell>
          <cell r="BN76" t="str">
            <v/>
          </cell>
          <cell r="BO76" t="str">
            <v/>
          </cell>
        </row>
        <row r="77">
          <cell r="A77">
            <v>1</v>
          </cell>
          <cell r="B77">
            <v>1332310</v>
          </cell>
          <cell r="C77" t="str">
            <v>HOT MELT SYSTEME</v>
          </cell>
          <cell r="D77" t="str">
            <v/>
          </cell>
          <cell r="E77" t="str">
            <v>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17636.79</v>
          </cell>
          <cell r="AA77">
            <v>17636.79</v>
          </cell>
          <cell r="AB77">
            <v>17636.79</v>
          </cell>
          <cell r="AC77">
            <v>17636.79</v>
          </cell>
          <cell r="AD77">
            <v>17636.79</v>
          </cell>
          <cell r="AE77">
            <v>17636.79</v>
          </cell>
          <cell r="AF77">
            <v>17636.79</v>
          </cell>
          <cell r="AG77">
            <v>17636.79</v>
          </cell>
          <cell r="AH77">
            <v>17636.79</v>
          </cell>
          <cell r="AI77">
            <v>17636.79</v>
          </cell>
          <cell r="AJ77">
            <v>17636.79</v>
          </cell>
          <cell r="AK77">
            <v>0</v>
          </cell>
          <cell r="AL77">
            <v>0</v>
          </cell>
          <cell r="AM77">
            <v>0</v>
          </cell>
          <cell r="AN77" t="str">
            <v/>
          </cell>
          <cell r="AO77">
            <v>0</v>
          </cell>
          <cell r="AP77">
            <v>0</v>
          </cell>
          <cell r="AQ77">
            <v>0</v>
          </cell>
          <cell r="AR77">
            <v>290</v>
          </cell>
          <cell r="AS77">
            <v>0</v>
          </cell>
          <cell r="AT77" t="str">
            <v/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240</v>
          </cell>
          <cell r="BJ77" t="str">
            <v/>
          </cell>
          <cell r="BK77">
            <v>1700</v>
          </cell>
          <cell r="BL77" t="str">
            <v>1</v>
          </cell>
          <cell r="BM77" t="str">
            <v>1</v>
          </cell>
          <cell r="BN77" t="str">
            <v/>
          </cell>
          <cell r="BO77" t="str">
            <v/>
          </cell>
        </row>
        <row r="78">
          <cell r="A78">
            <v>1</v>
          </cell>
          <cell r="B78">
            <v>1332324</v>
          </cell>
          <cell r="C78" t="str">
            <v>BALER</v>
          </cell>
          <cell r="D78" t="str">
            <v/>
          </cell>
          <cell r="E78" t="str">
            <v>N</v>
          </cell>
          <cell r="F78">
            <v>0</v>
          </cell>
          <cell r="G78">
            <v>0</v>
          </cell>
          <cell r="H78">
            <v>14263.2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14263.2</v>
          </cell>
          <cell r="O78">
            <v>14263.2</v>
          </cell>
          <cell r="P78">
            <v>14263.2</v>
          </cell>
          <cell r="Q78">
            <v>14263.2</v>
          </cell>
          <cell r="R78">
            <v>14263.2</v>
          </cell>
          <cell r="S78">
            <v>14263.2</v>
          </cell>
          <cell r="T78">
            <v>14263.2</v>
          </cell>
          <cell r="U78">
            <v>14263.2</v>
          </cell>
          <cell r="V78">
            <v>14263.2</v>
          </cell>
          <cell r="W78">
            <v>14263.2</v>
          </cell>
          <cell r="X78">
            <v>14263.2</v>
          </cell>
          <cell r="Y78">
            <v>14263.2</v>
          </cell>
          <cell r="Z78">
            <v>14263.2</v>
          </cell>
          <cell r="AA78">
            <v>14263.2</v>
          </cell>
          <cell r="AB78">
            <v>14263.2</v>
          </cell>
          <cell r="AC78">
            <v>14263.2</v>
          </cell>
          <cell r="AD78">
            <v>14263.2</v>
          </cell>
          <cell r="AE78">
            <v>14263.2</v>
          </cell>
          <cell r="AF78">
            <v>14263.2</v>
          </cell>
          <cell r="AG78">
            <v>14263.2</v>
          </cell>
          <cell r="AH78">
            <v>14263.2</v>
          </cell>
          <cell r="AI78">
            <v>14263.2</v>
          </cell>
          <cell r="AJ78">
            <v>14263.2</v>
          </cell>
          <cell r="AK78">
            <v>14263.2</v>
          </cell>
          <cell r="AL78">
            <v>0</v>
          </cell>
          <cell r="AM78">
            <v>4</v>
          </cell>
          <cell r="AN78" t="str">
            <v/>
          </cell>
          <cell r="AO78">
            <v>0</v>
          </cell>
          <cell r="AP78">
            <v>0</v>
          </cell>
          <cell r="AQ78">
            <v>0</v>
          </cell>
          <cell r="AR78">
            <v>290</v>
          </cell>
          <cell r="AS78">
            <v>0</v>
          </cell>
          <cell r="AT78" t="str">
            <v/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240</v>
          </cell>
          <cell r="BJ78" t="str">
            <v/>
          </cell>
          <cell r="BK78">
            <v>1700</v>
          </cell>
          <cell r="BL78" t="str">
            <v>1</v>
          </cell>
          <cell r="BM78" t="str">
            <v>1</v>
          </cell>
          <cell r="BN78" t="str">
            <v/>
          </cell>
          <cell r="BO78" t="str">
            <v/>
          </cell>
        </row>
        <row r="79">
          <cell r="A79">
            <v>1</v>
          </cell>
          <cell r="B79">
            <v>1332330</v>
          </cell>
          <cell r="C79" t="str">
            <v>TENSIOMETRE</v>
          </cell>
          <cell r="D79" t="str">
            <v/>
          </cell>
          <cell r="E79" t="str">
            <v>N</v>
          </cell>
          <cell r="F79">
            <v>0</v>
          </cell>
          <cell r="G79">
            <v>0</v>
          </cell>
          <cell r="H79">
            <v>3000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3000</v>
          </cell>
          <cell r="O79">
            <v>3000</v>
          </cell>
          <cell r="P79">
            <v>3000</v>
          </cell>
          <cell r="Q79">
            <v>3000</v>
          </cell>
          <cell r="R79">
            <v>3000</v>
          </cell>
          <cell r="S79">
            <v>3000</v>
          </cell>
          <cell r="T79">
            <v>3000</v>
          </cell>
          <cell r="U79">
            <v>3000</v>
          </cell>
          <cell r="V79">
            <v>3000</v>
          </cell>
          <cell r="W79">
            <v>3000</v>
          </cell>
          <cell r="X79">
            <v>3000</v>
          </cell>
          <cell r="Y79">
            <v>3000</v>
          </cell>
          <cell r="Z79">
            <v>3000</v>
          </cell>
          <cell r="AA79">
            <v>3000</v>
          </cell>
          <cell r="AB79">
            <v>3000</v>
          </cell>
          <cell r="AC79">
            <v>3000</v>
          </cell>
          <cell r="AD79">
            <v>3000</v>
          </cell>
          <cell r="AE79">
            <v>3000</v>
          </cell>
          <cell r="AF79">
            <v>3000</v>
          </cell>
          <cell r="AG79">
            <v>3000</v>
          </cell>
          <cell r="AH79">
            <v>3000</v>
          </cell>
          <cell r="AI79">
            <v>3000</v>
          </cell>
          <cell r="AJ79">
            <v>3000</v>
          </cell>
          <cell r="AK79">
            <v>3000</v>
          </cell>
          <cell r="AL79">
            <v>0</v>
          </cell>
          <cell r="AM79">
            <v>0</v>
          </cell>
          <cell r="AN79" t="str">
            <v/>
          </cell>
          <cell r="AO79">
            <v>0</v>
          </cell>
          <cell r="AP79">
            <v>0</v>
          </cell>
          <cell r="AQ79">
            <v>0</v>
          </cell>
          <cell r="AR79">
            <v>290</v>
          </cell>
          <cell r="AS79">
            <v>0</v>
          </cell>
          <cell r="AT79" t="str">
            <v/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240</v>
          </cell>
          <cell r="BJ79" t="str">
            <v/>
          </cell>
          <cell r="BK79">
            <v>1700</v>
          </cell>
          <cell r="BL79" t="str">
            <v>1</v>
          </cell>
          <cell r="BM79" t="str">
            <v>1</v>
          </cell>
          <cell r="BN79" t="str">
            <v/>
          </cell>
          <cell r="BO79" t="str">
            <v/>
          </cell>
        </row>
        <row r="80">
          <cell r="A80">
            <v>1</v>
          </cell>
          <cell r="B80">
            <v>1332344</v>
          </cell>
          <cell r="C80" t="str">
            <v>OIL SPILL</v>
          </cell>
          <cell r="D80" t="str">
            <v/>
          </cell>
          <cell r="E80" t="str">
            <v>N</v>
          </cell>
          <cell r="F80">
            <v>0</v>
          </cell>
          <cell r="G80">
            <v>0</v>
          </cell>
          <cell r="H80">
            <v>8383.2199999999993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8383.2199999999993</v>
          </cell>
          <cell r="O80">
            <v>8383.2199999999993</v>
          </cell>
          <cell r="P80">
            <v>8383.2199999999993</v>
          </cell>
          <cell r="Q80">
            <v>8383.2199999999993</v>
          </cell>
          <cell r="R80">
            <v>8383.2199999999993</v>
          </cell>
          <cell r="S80">
            <v>8383.2199999999993</v>
          </cell>
          <cell r="T80">
            <v>8383.2199999999993</v>
          </cell>
          <cell r="U80">
            <v>8383.2199999999993</v>
          </cell>
          <cell r="V80">
            <v>8383.2199999999993</v>
          </cell>
          <cell r="W80">
            <v>8383.2199999999993</v>
          </cell>
          <cell r="X80">
            <v>8383.2199999999993</v>
          </cell>
          <cell r="Y80">
            <v>8383.2199999999993</v>
          </cell>
          <cell r="Z80">
            <v>8383.2199999999993</v>
          </cell>
          <cell r="AA80">
            <v>8383.2199999999993</v>
          </cell>
          <cell r="AB80">
            <v>8383.2199999999993</v>
          </cell>
          <cell r="AC80">
            <v>8383.2199999999993</v>
          </cell>
          <cell r="AD80">
            <v>8383.2199999999993</v>
          </cell>
          <cell r="AE80">
            <v>8383.2199999999993</v>
          </cell>
          <cell r="AF80">
            <v>8383.2199999999993</v>
          </cell>
          <cell r="AG80">
            <v>8383.2199999999993</v>
          </cell>
          <cell r="AH80">
            <v>8383.2199999999993</v>
          </cell>
          <cell r="AI80">
            <v>8383.2199999999993</v>
          </cell>
          <cell r="AJ80">
            <v>8383.2199999999993</v>
          </cell>
          <cell r="AK80">
            <v>8383.2199999999993</v>
          </cell>
          <cell r="AL80">
            <v>0</v>
          </cell>
          <cell r="AM80">
            <v>4</v>
          </cell>
          <cell r="AN80" t="str">
            <v/>
          </cell>
          <cell r="AO80">
            <v>0</v>
          </cell>
          <cell r="AP80">
            <v>0</v>
          </cell>
          <cell r="AQ80">
            <v>0</v>
          </cell>
          <cell r="AR80">
            <v>290</v>
          </cell>
          <cell r="AS80">
            <v>0</v>
          </cell>
          <cell r="AT80" t="str">
            <v/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240</v>
          </cell>
          <cell r="BJ80" t="str">
            <v/>
          </cell>
          <cell r="BK80">
            <v>1700</v>
          </cell>
          <cell r="BL80" t="str">
            <v>1</v>
          </cell>
          <cell r="BM80" t="str">
            <v>1</v>
          </cell>
          <cell r="BN80" t="str">
            <v/>
          </cell>
          <cell r="BO80" t="str">
            <v/>
          </cell>
        </row>
        <row r="81">
          <cell r="A81">
            <v>2</v>
          </cell>
          <cell r="B81">
            <v>1339411</v>
          </cell>
          <cell r="C81" t="str">
            <v>VIEUX ACTIF BOITES PW</v>
          </cell>
          <cell r="D81" t="str">
            <v/>
          </cell>
          <cell r="E81" t="str">
            <v>N</v>
          </cell>
          <cell r="F81">
            <v>0</v>
          </cell>
          <cell r="G81">
            <v>0</v>
          </cell>
          <cell r="H81">
            <v>0</v>
          </cell>
          <cell r="I81">
            <v>10.49</v>
          </cell>
          <cell r="J81">
            <v>20.98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634882.49</v>
          </cell>
          <cell r="AA81">
            <v>634882.49</v>
          </cell>
          <cell r="AB81">
            <v>634882.49</v>
          </cell>
          <cell r="AC81">
            <v>634882.49</v>
          </cell>
          <cell r="AD81">
            <v>634882.49</v>
          </cell>
          <cell r="AE81">
            <v>634882.49</v>
          </cell>
          <cell r="AF81">
            <v>634882.49</v>
          </cell>
          <cell r="AG81">
            <v>634882.49</v>
          </cell>
          <cell r="AH81">
            <v>634882.49</v>
          </cell>
          <cell r="AI81">
            <v>634882.49</v>
          </cell>
          <cell r="AJ81">
            <v>634882.49</v>
          </cell>
          <cell r="AK81">
            <v>10.49</v>
          </cell>
          <cell r="AL81">
            <v>0</v>
          </cell>
          <cell r="AM81">
            <v>1</v>
          </cell>
          <cell r="AN81" t="str">
            <v/>
          </cell>
          <cell r="AO81">
            <v>0</v>
          </cell>
          <cell r="AP81">
            <v>0</v>
          </cell>
          <cell r="AQ81">
            <v>0</v>
          </cell>
          <cell r="AR81">
            <v>290</v>
          </cell>
          <cell r="AS81">
            <v>0</v>
          </cell>
          <cell r="AT81" t="str">
            <v/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240</v>
          </cell>
          <cell r="BJ81" t="str">
            <v/>
          </cell>
          <cell r="BK81">
            <v>1700</v>
          </cell>
          <cell r="BL81" t="str">
            <v>1</v>
          </cell>
          <cell r="BM81" t="str">
            <v>1</v>
          </cell>
          <cell r="BN81" t="str">
            <v/>
          </cell>
          <cell r="BO81" t="str">
            <v/>
          </cell>
        </row>
        <row r="82">
          <cell r="A82">
            <v>1</v>
          </cell>
          <cell r="B82">
            <v>1339433</v>
          </cell>
          <cell r="C82" t="str">
            <v>VIEUX ACTIF TOWEL PW</v>
          </cell>
          <cell r="D82" t="str">
            <v/>
          </cell>
          <cell r="E82" t="str">
            <v>N</v>
          </cell>
          <cell r="F82">
            <v>0</v>
          </cell>
          <cell r="G82">
            <v>0</v>
          </cell>
          <cell r="H82">
            <v>1031826.3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1031826.3</v>
          </cell>
          <cell r="O82">
            <v>1031826.3</v>
          </cell>
          <cell r="P82">
            <v>1031826.3</v>
          </cell>
          <cell r="Q82">
            <v>1031826.3</v>
          </cell>
          <cell r="R82">
            <v>1031826.3</v>
          </cell>
          <cell r="S82">
            <v>1031826.3</v>
          </cell>
          <cell r="T82">
            <v>1031826.3</v>
          </cell>
          <cell r="U82">
            <v>1031826.3</v>
          </cell>
          <cell r="V82">
            <v>1031826.3</v>
          </cell>
          <cell r="W82">
            <v>1031826.3</v>
          </cell>
          <cell r="X82">
            <v>1031826.3</v>
          </cell>
          <cell r="Y82">
            <v>1031826.3</v>
          </cell>
          <cell r="Z82">
            <v>1031826.3</v>
          </cell>
          <cell r="AA82">
            <v>1031826.3</v>
          </cell>
          <cell r="AB82">
            <v>1031826.3</v>
          </cell>
          <cell r="AC82">
            <v>1031826.3</v>
          </cell>
          <cell r="AD82">
            <v>1031826.3</v>
          </cell>
          <cell r="AE82">
            <v>1031826.3</v>
          </cell>
          <cell r="AF82">
            <v>1031826.3</v>
          </cell>
          <cell r="AG82">
            <v>1031826.3</v>
          </cell>
          <cell r="AH82">
            <v>1031826.3</v>
          </cell>
          <cell r="AI82">
            <v>1031826.3</v>
          </cell>
          <cell r="AJ82">
            <v>1031826.3</v>
          </cell>
          <cell r="AK82">
            <v>1031826.3</v>
          </cell>
          <cell r="AL82">
            <v>0</v>
          </cell>
          <cell r="AM82">
            <v>3</v>
          </cell>
          <cell r="AN82" t="str">
            <v/>
          </cell>
          <cell r="AO82">
            <v>0</v>
          </cell>
          <cell r="AP82">
            <v>0</v>
          </cell>
          <cell r="AQ82">
            <v>0</v>
          </cell>
          <cell r="AR82">
            <v>290</v>
          </cell>
          <cell r="AS82">
            <v>0</v>
          </cell>
          <cell r="AT82" t="str">
            <v/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240</v>
          </cell>
          <cell r="BJ82" t="str">
            <v/>
          </cell>
          <cell r="BK82">
            <v>1700</v>
          </cell>
          <cell r="BL82" t="str">
            <v>1</v>
          </cell>
          <cell r="BM82" t="str">
            <v>1</v>
          </cell>
          <cell r="BN82" t="str">
            <v/>
          </cell>
          <cell r="BO82" t="str">
            <v/>
          </cell>
        </row>
        <row r="83">
          <cell r="A83">
            <v>1</v>
          </cell>
          <cell r="B83">
            <v>1339444</v>
          </cell>
          <cell r="C83" t="str">
            <v>MC PAPIER PW</v>
          </cell>
          <cell r="D83" t="str">
            <v/>
          </cell>
          <cell r="E83" t="str">
            <v>N</v>
          </cell>
          <cell r="F83">
            <v>0</v>
          </cell>
          <cell r="G83">
            <v>0</v>
          </cell>
          <cell r="H83">
            <v>7156613.1299999999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7156613.1299999999</v>
          </cell>
          <cell r="O83">
            <v>7156613.1299999999</v>
          </cell>
          <cell r="P83">
            <v>7156613.1299999999</v>
          </cell>
          <cell r="Q83">
            <v>7156613.1299999999</v>
          </cell>
          <cell r="R83">
            <v>7156613.1299999999</v>
          </cell>
          <cell r="S83">
            <v>7156613.1299999999</v>
          </cell>
          <cell r="T83">
            <v>7156613.1299999999</v>
          </cell>
          <cell r="U83">
            <v>7156613.1299999999</v>
          </cell>
          <cell r="V83">
            <v>7156613.1299999999</v>
          </cell>
          <cell r="W83">
            <v>7156613.1299999999</v>
          </cell>
          <cell r="X83">
            <v>7156613.1299999999</v>
          </cell>
          <cell r="Y83">
            <v>7156613.1299999999</v>
          </cell>
          <cell r="Z83">
            <v>7156613.1299999999</v>
          </cell>
          <cell r="AA83">
            <v>7156613.1299999999</v>
          </cell>
          <cell r="AB83">
            <v>7156613.1299999999</v>
          </cell>
          <cell r="AC83">
            <v>7156613.1299999999</v>
          </cell>
          <cell r="AD83">
            <v>7156613.1299999999</v>
          </cell>
          <cell r="AE83">
            <v>7156613.1299999999</v>
          </cell>
          <cell r="AF83">
            <v>7156613.1299999999</v>
          </cell>
          <cell r="AG83">
            <v>7156613.1299999999</v>
          </cell>
          <cell r="AH83">
            <v>7156613.1299999999</v>
          </cell>
          <cell r="AI83">
            <v>7156613.1299999999</v>
          </cell>
          <cell r="AJ83">
            <v>7156613.1299999999</v>
          </cell>
          <cell r="AK83">
            <v>7156613.1299999999</v>
          </cell>
          <cell r="AL83">
            <v>0</v>
          </cell>
          <cell r="AM83">
            <v>4</v>
          </cell>
          <cell r="AN83" t="str">
            <v/>
          </cell>
          <cell r="AO83">
            <v>0</v>
          </cell>
          <cell r="AP83">
            <v>0</v>
          </cell>
          <cell r="AQ83">
            <v>0</v>
          </cell>
          <cell r="AR83">
            <v>290</v>
          </cell>
          <cell r="AS83">
            <v>0</v>
          </cell>
          <cell r="AT83" t="str">
            <v/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240</v>
          </cell>
          <cell r="BJ83" t="str">
            <v/>
          </cell>
          <cell r="BK83">
            <v>1700</v>
          </cell>
          <cell r="BL83" t="str">
            <v>1</v>
          </cell>
          <cell r="BM83" t="str">
            <v>1</v>
          </cell>
          <cell r="BN83" t="str">
            <v/>
          </cell>
          <cell r="BO83" t="str">
            <v/>
          </cell>
        </row>
        <row r="84">
          <cell r="A84">
            <v>1</v>
          </cell>
          <cell r="B84">
            <v>1339940</v>
          </cell>
          <cell r="C84" t="str">
            <v>VIEUX ACTIF DIVERS PW</v>
          </cell>
          <cell r="D84" t="str">
            <v/>
          </cell>
          <cell r="E84" t="str">
            <v>N</v>
          </cell>
          <cell r="F84">
            <v>0</v>
          </cell>
          <cell r="G84">
            <v>0</v>
          </cell>
          <cell r="H84">
            <v>978631.16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978631.16</v>
          </cell>
          <cell r="O84">
            <v>978631.16</v>
          </cell>
          <cell r="P84">
            <v>978631.16</v>
          </cell>
          <cell r="Q84">
            <v>978631.16</v>
          </cell>
          <cell r="R84">
            <v>978631.16</v>
          </cell>
          <cell r="S84">
            <v>978631.16</v>
          </cell>
          <cell r="T84">
            <v>978631.16</v>
          </cell>
          <cell r="U84">
            <v>978631.16</v>
          </cell>
          <cell r="V84">
            <v>978631.16</v>
          </cell>
          <cell r="W84">
            <v>978631.16</v>
          </cell>
          <cell r="X84">
            <v>978631.16</v>
          </cell>
          <cell r="Y84">
            <v>978631.16</v>
          </cell>
          <cell r="Z84">
            <v>978631.16</v>
          </cell>
          <cell r="AA84">
            <v>978631.16</v>
          </cell>
          <cell r="AB84">
            <v>978631.16</v>
          </cell>
          <cell r="AC84">
            <v>978631.16</v>
          </cell>
          <cell r="AD84">
            <v>978631.16</v>
          </cell>
          <cell r="AE84">
            <v>978631.16</v>
          </cell>
          <cell r="AF84">
            <v>978631.16</v>
          </cell>
          <cell r="AG84">
            <v>978631.16</v>
          </cell>
          <cell r="AH84">
            <v>978631.16</v>
          </cell>
          <cell r="AI84">
            <v>978631.16</v>
          </cell>
          <cell r="AJ84">
            <v>978631.16</v>
          </cell>
          <cell r="AK84">
            <v>978631.16</v>
          </cell>
          <cell r="AL84">
            <v>0</v>
          </cell>
          <cell r="AM84">
            <v>0</v>
          </cell>
          <cell r="AN84" t="str">
            <v/>
          </cell>
          <cell r="AO84">
            <v>0</v>
          </cell>
          <cell r="AP84">
            <v>0</v>
          </cell>
          <cell r="AQ84">
            <v>0</v>
          </cell>
          <cell r="AR84">
            <v>290</v>
          </cell>
          <cell r="AS84">
            <v>0</v>
          </cell>
          <cell r="AT84" t="str">
            <v/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240</v>
          </cell>
          <cell r="BJ84" t="str">
            <v/>
          </cell>
          <cell r="BK84">
            <v>1700</v>
          </cell>
          <cell r="BL84" t="str">
            <v>1</v>
          </cell>
          <cell r="BM84" t="str">
            <v>1</v>
          </cell>
          <cell r="BN84" t="str">
            <v/>
          </cell>
          <cell r="BO84" t="str">
            <v/>
          </cell>
        </row>
        <row r="85">
          <cell r="A85">
            <v>1</v>
          </cell>
          <cell r="B85">
            <v>1349990</v>
          </cell>
          <cell r="C85" t="str">
            <v>MATERIEL ET OUTILLAGE</v>
          </cell>
          <cell r="D85" t="str">
            <v>AMORTISSEMENT CUMULEE</v>
          </cell>
          <cell r="E85" t="str">
            <v>N</v>
          </cell>
          <cell r="F85">
            <v>0</v>
          </cell>
          <cell r="G85">
            <v>0</v>
          </cell>
          <cell r="H85">
            <v>10708516.210000001</v>
          </cell>
          <cell r="I85">
            <v>243374.72</v>
          </cell>
          <cell r="J85">
            <v>2996574.13</v>
          </cell>
          <cell r="K85">
            <v>0</v>
          </cell>
          <cell r="L85">
            <v>0</v>
          </cell>
          <cell r="M85">
            <v>248159.47</v>
          </cell>
          <cell r="N85">
            <v>8217335.1100000003</v>
          </cell>
          <cell r="O85">
            <v>8479484.9600000009</v>
          </cell>
          <cell r="P85">
            <v>8741634.8100000005</v>
          </cell>
          <cell r="Q85">
            <v>9003784.6600000001</v>
          </cell>
          <cell r="R85">
            <v>9248659.9399999995</v>
          </cell>
          <cell r="S85">
            <v>9489806.4299999997</v>
          </cell>
          <cell r="T85">
            <v>9731392.3699999992</v>
          </cell>
          <cell r="U85">
            <v>9973607.3000000007</v>
          </cell>
          <cell r="V85">
            <v>10216982.02</v>
          </cell>
          <cell r="W85">
            <v>10460356.74</v>
          </cell>
          <cell r="X85">
            <v>10708516.210000001</v>
          </cell>
          <cell r="Y85">
            <v>10956675.68</v>
          </cell>
          <cell r="Z85">
            <v>5766971.46</v>
          </cell>
          <cell r="AA85">
            <v>6020604.0999999996</v>
          </cell>
          <cell r="AB85">
            <v>6274831.4699999997</v>
          </cell>
          <cell r="AC85">
            <v>6529424.8600000003</v>
          </cell>
          <cell r="AD85">
            <v>6784835.71</v>
          </cell>
          <cell r="AE85">
            <v>7008542.3899999997</v>
          </cell>
          <cell r="AF85">
            <v>7266930.0700000003</v>
          </cell>
          <cell r="AG85">
            <v>7525568.5800000001</v>
          </cell>
          <cell r="AH85">
            <v>7784689.46</v>
          </cell>
          <cell r="AI85">
            <v>8043976.9900000002</v>
          </cell>
          <cell r="AJ85">
            <v>8303765.9400000004</v>
          </cell>
          <cell r="AK85">
            <v>7955316.7999999998</v>
          </cell>
          <cell r="AL85">
            <v>0</v>
          </cell>
          <cell r="AM85">
            <v>0</v>
          </cell>
          <cell r="AN85" t="str">
            <v/>
          </cell>
          <cell r="AO85">
            <v>0</v>
          </cell>
          <cell r="AP85">
            <v>0</v>
          </cell>
          <cell r="AQ85">
            <v>0</v>
          </cell>
          <cell r="AR85">
            <v>291</v>
          </cell>
          <cell r="AS85">
            <v>0</v>
          </cell>
          <cell r="AT85" t="str">
            <v/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 t="str">
            <v/>
          </cell>
          <cell r="BK85">
            <v>1800</v>
          </cell>
          <cell r="BL85" t="str">
            <v>0</v>
          </cell>
          <cell r="BM85" t="str">
            <v>1</v>
          </cell>
          <cell r="BN85" t="str">
            <v/>
          </cell>
          <cell r="BO85" t="str">
            <v/>
          </cell>
        </row>
        <row r="86">
          <cell r="A86">
            <v>1</v>
          </cell>
          <cell r="B86">
            <v>1352110</v>
          </cell>
          <cell r="C86" t="str">
            <v>MOBILIER</v>
          </cell>
          <cell r="D86" t="str">
            <v>BUREAU</v>
          </cell>
          <cell r="E86" t="str">
            <v>N</v>
          </cell>
          <cell r="F86">
            <v>0</v>
          </cell>
          <cell r="G86">
            <v>0</v>
          </cell>
          <cell r="H86">
            <v>28240.1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28240.1</v>
          </cell>
          <cell r="O86">
            <v>28240.1</v>
          </cell>
          <cell r="P86">
            <v>28240.1</v>
          </cell>
          <cell r="Q86">
            <v>28240.1</v>
          </cell>
          <cell r="R86">
            <v>28240.1</v>
          </cell>
          <cell r="S86">
            <v>28240.1</v>
          </cell>
          <cell r="T86">
            <v>28240.1</v>
          </cell>
          <cell r="U86">
            <v>28240.1</v>
          </cell>
          <cell r="V86">
            <v>28240.1</v>
          </cell>
          <cell r="W86">
            <v>28240.1</v>
          </cell>
          <cell r="X86">
            <v>28240.1</v>
          </cell>
          <cell r="Y86">
            <v>28240.1</v>
          </cell>
          <cell r="Z86">
            <v>27410.13</v>
          </cell>
          <cell r="AA86">
            <v>27410.13</v>
          </cell>
          <cell r="AB86">
            <v>28240.1</v>
          </cell>
          <cell r="AC86">
            <v>28240.1</v>
          </cell>
          <cell r="AD86">
            <v>28240.1</v>
          </cell>
          <cell r="AE86">
            <v>28240.1</v>
          </cell>
          <cell r="AF86">
            <v>28240.1</v>
          </cell>
          <cell r="AG86">
            <v>28240.1</v>
          </cell>
          <cell r="AH86">
            <v>28240.1</v>
          </cell>
          <cell r="AI86">
            <v>28240.1</v>
          </cell>
          <cell r="AJ86">
            <v>28240.1</v>
          </cell>
          <cell r="AK86">
            <v>28240.1</v>
          </cell>
          <cell r="AL86">
            <v>0</v>
          </cell>
          <cell r="AM86">
            <v>0</v>
          </cell>
          <cell r="AN86" t="str">
            <v/>
          </cell>
          <cell r="AO86">
            <v>0</v>
          </cell>
          <cell r="AP86">
            <v>0</v>
          </cell>
          <cell r="AQ86">
            <v>0</v>
          </cell>
          <cell r="AR86">
            <v>300</v>
          </cell>
          <cell r="AS86">
            <v>0</v>
          </cell>
          <cell r="AT86" t="str">
            <v/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120</v>
          </cell>
          <cell r="BJ86" t="str">
            <v/>
          </cell>
          <cell r="BK86">
            <v>1700</v>
          </cell>
          <cell r="BL86" t="str">
            <v>1</v>
          </cell>
          <cell r="BM86" t="str">
            <v>1</v>
          </cell>
          <cell r="BN86" t="str">
            <v/>
          </cell>
          <cell r="BO86" t="str">
            <v/>
          </cell>
        </row>
        <row r="87">
          <cell r="A87">
            <v>1</v>
          </cell>
          <cell r="B87">
            <v>1352290</v>
          </cell>
          <cell r="C87" t="str">
            <v>MOBILIER</v>
          </cell>
          <cell r="D87" t="str">
            <v>TELEPHONE</v>
          </cell>
          <cell r="E87" t="str">
            <v>N</v>
          </cell>
          <cell r="F87">
            <v>0</v>
          </cell>
          <cell r="G87">
            <v>0</v>
          </cell>
          <cell r="H87">
            <v>25100.14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25100.14</v>
          </cell>
          <cell r="O87">
            <v>25100.14</v>
          </cell>
          <cell r="P87">
            <v>25100.14</v>
          </cell>
          <cell r="Q87">
            <v>25100.14</v>
          </cell>
          <cell r="R87">
            <v>25100.14</v>
          </cell>
          <cell r="S87">
            <v>25100.14</v>
          </cell>
          <cell r="T87">
            <v>25100.14</v>
          </cell>
          <cell r="U87">
            <v>25100.14</v>
          </cell>
          <cell r="V87">
            <v>25100.14</v>
          </cell>
          <cell r="W87">
            <v>25100.14</v>
          </cell>
          <cell r="X87">
            <v>25100.14</v>
          </cell>
          <cell r="Y87">
            <v>25100.14</v>
          </cell>
          <cell r="Z87">
            <v>25100.14</v>
          </cell>
          <cell r="AA87">
            <v>25100.14</v>
          </cell>
          <cell r="AB87">
            <v>25100.14</v>
          </cell>
          <cell r="AC87">
            <v>25100.14</v>
          </cell>
          <cell r="AD87">
            <v>25100.14</v>
          </cell>
          <cell r="AE87">
            <v>25100.14</v>
          </cell>
          <cell r="AF87">
            <v>25100.14</v>
          </cell>
          <cell r="AG87">
            <v>25100.14</v>
          </cell>
          <cell r="AH87">
            <v>25100.14</v>
          </cell>
          <cell r="AI87">
            <v>25100.14</v>
          </cell>
          <cell r="AJ87">
            <v>25100.14</v>
          </cell>
          <cell r="AK87">
            <v>25100.14</v>
          </cell>
          <cell r="AL87">
            <v>0</v>
          </cell>
          <cell r="AM87">
            <v>0</v>
          </cell>
          <cell r="AN87" t="str">
            <v/>
          </cell>
          <cell r="AO87">
            <v>0</v>
          </cell>
          <cell r="AP87">
            <v>0</v>
          </cell>
          <cell r="AQ87">
            <v>0</v>
          </cell>
          <cell r="AR87">
            <v>300</v>
          </cell>
          <cell r="AS87">
            <v>0</v>
          </cell>
          <cell r="AT87" t="str">
            <v/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120</v>
          </cell>
          <cell r="BJ87" t="str">
            <v/>
          </cell>
          <cell r="BK87">
            <v>1700</v>
          </cell>
          <cell r="BL87" t="str">
            <v>1</v>
          </cell>
          <cell r="BM87" t="str">
            <v>1</v>
          </cell>
          <cell r="BN87" t="str">
            <v/>
          </cell>
          <cell r="BO87" t="str">
            <v/>
          </cell>
        </row>
        <row r="88">
          <cell r="A88">
            <v>1</v>
          </cell>
          <cell r="B88">
            <v>1359940</v>
          </cell>
          <cell r="C88" t="str">
            <v>MOBILIER</v>
          </cell>
          <cell r="D88" t="str">
            <v>VIEUX MOBILIER PW</v>
          </cell>
          <cell r="E88" t="str">
            <v>N</v>
          </cell>
          <cell r="F88">
            <v>0</v>
          </cell>
          <cell r="G88">
            <v>0</v>
          </cell>
          <cell r="H88">
            <v>130684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130684</v>
          </cell>
          <cell r="O88">
            <v>130684</v>
          </cell>
          <cell r="P88">
            <v>130684</v>
          </cell>
          <cell r="Q88">
            <v>130684</v>
          </cell>
          <cell r="R88">
            <v>130684</v>
          </cell>
          <cell r="S88">
            <v>130684</v>
          </cell>
          <cell r="T88">
            <v>130684</v>
          </cell>
          <cell r="U88">
            <v>130684</v>
          </cell>
          <cell r="V88">
            <v>130684</v>
          </cell>
          <cell r="W88">
            <v>130684</v>
          </cell>
          <cell r="X88">
            <v>130684</v>
          </cell>
          <cell r="Y88">
            <v>130684</v>
          </cell>
          <cell r="Z88">
            <v>130684</v>
          </cell>
          <cell r="AA88">
            <v>130684</v>
          </cell>
          <cell r="AB88">
            <v>130684</v>
          </cell>
          <cell r="AC88">
            <v>130684</v>
          </cell>
          <cell r="AD88">
            <v>130684</v>
          </cell>
          <cell r="AE88">
            <v>130684</v>
          </cell>
          <cell r="AF88">
            <v>130684</v>
          </cell>
          <cell r="AG88">
            <v>130684</v>
          </cell>
          <cell r="AH88">
            <v>130684</v>
          </cell>
          <cell r="AI88">
            <v>130684</v>
          </cell>
          <cell r="AJ88">
            <v>130684</v>
          </cell>
          <cell r="AK88">
            <v>130684</v>
          </cell>
          <cell r="AL88">
            <v>0</v>
          </cell>
          <cell r="AM88">
            <v>0</v>
          </cell>
          <cell r="AN88" t="str">
            <v/>
          </cell>
          <cell r="AO88">
            <v>0</v>
          </cell>
          <cell r="AP88">
            <v>0</v>
          </cell>
          <cell r="AQ88">
            <v>0</v>
          </cell>
          <cell r="AR88">
            <v>300</v>
          </cell>
          <cell r="AS88">
            <v>0</v>
          </cell>
          <cell r="AT88" t="str">
            <v/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120</v>
          </cell>
          <cell r="BJ88" t="str">
            <v/>
          </cell>
          <cell r="BK88">
            <v>1700</v>
          </cell>
          <cell r="BL88" t="str">
            <v>1</v>
          </cell>
          <cell r="BM88" t="str">
            <v>1</v>
          </cell>
          <cell r="BN88" t="str">
            <v/>
          </cell>
          <cell r="BO88" t="str">
            <v/>
          </cell>
        </row>
        <row r="89">
          <cell r="A89">
            <v>1</v>
          </cell>
          <cell r="B89">
            <v>1369990</v>
          </cell>
          <cell r="C89" t="str">
            <v>AMORTISSEMENT MOBILIER</v>
          </cell>
          <cell r="D89" t="str">
            <v>AMORTISSEMENT CUMULEE</v>
          </cell>
          <cell r="E89" t="str">
            <v>N</v>
          </cell>
          <cell r="F89">
            <v>0</v>
          </cell>
          <cell r="G89">
            <v>0</v>
          </cell>
          <cell r="H89">
            <v>112234.58</v>
          </cell>
          <cell r="I89">
            <v>1572.66</v>
          </cell>
          <cell r="J89">
            <v>18861.93</v>
          </cell>
          <cell r="K89">
            <v>0</v>
          </cell>
          <cell r="L89">
            <v>0</v>
          </cell>
          <cell r="M89">
            <v>1572.66</v>
          </cell>
          <cell r="N89">
            <v>96517.97</v>
          </cell>
          <cell r="O89">
            <v>98090.63</v>
          </cell>
          <cell r="P89">
            <v>99653.29</v>
          </cell>
          <cell r="Q89">
            <v>101225.96</v>
          </cell>
          <cell r="R89">
            <v>102798.62</v>
          </cell>
          <cell r="S89">
            <v>104371.28</v>
          </cell>
          <cell r="T89">
            <v>105943.94</v>
          </cell>
          <cell r="U89">
            <v>107516.6</v>
          </cell>
          <cell r="V89">
            <v>109089.26</v>
          </cell>
          <cell r="W89">
            <v>110661.92</v>
          </cell>
          <cell r="X89">
            <v>112234.58</v>
          </cell>
          <cell r="Y89">
            <v>113807.24</v>
          </cell>
          <cell r="Z89">
            <v>77768.350000000006</v>
          </cell>
          <cell r="AA89">
            <v>79294.97</v>
          </cell>
          <cell r="AB89">
            <v>80856.59</v>
          </cell>
          <cell r="AC89">
            <v>82418.38</v>
          </cell>
          <cell r="AD89">
            <v>83980.17</v>
          </cell>
          <cell r="AE89">
            <v>85541.96</v>
          </cell>
          <cell r="AF89">
            <v>87103.75</v>
          </cell>
          <cell r="AG89">
            <v>88665.54</v>
          </cell>
          <cell r="AH89">
            <v>90227.33</v>
          </cell>
          <cell r="AI89">
            <v>91799.99</v>
          </cell>
          <cell r="AJ89">
            <v>93372.65</v>
          </cell>
          <cell r="AK89">
            <v>94945.31</v>
          </cell>
          <cell r="AL89">
            <v>0</v>
          </cell>
          <cell r="AM89">
            <v>0</v>
          </cell>
          <cell r="AN89" t="str">
            <v/>
          </cell>
          <cell r="AO89">
            <v>0</v>
          </cell>
          <cell r="AP89">
            <v>0</v>
          </cell>
          <cell r="AQ89">
            <v>0</v>
          </cell>
          <cell r="AR89">
            <v>301</v>
          </cell>
          <cell r="AS89">
            <v>0</v>
          </cell>
          <cell r="AT89" t="str">
            <v/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 t="str">
            <v/>
          </cell>
          <cell r="BK89">
            <v>1800</v>
          </cell>
          <cell r="BL89" t="str">
            <v>0</v>
          </cell>
          <cell r="BM89" t="str">
            <v>1</v>
          </cell>
          <cell r="BN89" t="str">
            <v/>
          </cell>
          <cell r="BO89" t="str">
            <v/>
          </cell>
        </row>
        <row r="90">
          <cell r="A90">
            <v>1</v>
          </cell>
          <cell r="B90">
            <v>1371000</v>
          </cell>
          <cell r="C90" t="str">
            <v>MATERIEL ROULANT</v>
          </cell>
          <cell r="D90" t="str">
            <v/>
          </cell>
          <cell r="E90" t="str">
            <v>N</v>
          </cell>
          <cell r="F90">
            <v>0</v>
          </cell>
          <cell r="G90">
            <v>0</v>
          </cell>
          <cell r="H90">
            <v>71126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71126</v>
          </cell>
          <cell r="O90">
            <v>71126</v>
          </cell>
          <cell r="P90">
            <v>71126</v>
          </cell>
          <cell r="Q90">
            <v>71126</v>
          </cell>
          <cell r="R90">
            <v>71126</v>
          </cell>
          <cell r="S90">
            <v>71126</v>
          </cell>
          <cell r="T90">
            <v>71126</v>
          </cell>
          <cell r="U90">
            <v>71126</v>
          </cell>
          <cell r="V90">
            <v>71126</v>
          </cell>
          <cell r="W90">
            <v>71126</v>
          </cell>
          <cell r="X90">
            <v>71126</v>
          </cell>
          <cell r="Y90">
            <v>71126</v>
          </cell>
          <cell r="Z90">
            <v>71126</v>
          </cell>
          <cell r="AA90">
            <v>71126</v>
          </cell>
          <cell r="AB90">
            <v>71126</v>
          </cell>
          <cell r="AC90">
            <v>71126</v>
          </cell>
          <cell r="AD90">
            <v>71126</v>
          </cell>
          <cell r="AE90">
            <v>71126</v>
          </cell>
          <cell r="AF90">
            <v>71126</v>
          </cell>
          <cell r="AG90">
            <v>71126</v>
          </cell>
          <cell r="AH90">
            <v>71126</v>
          </cell>
          <cell r="AI90">
            <v>71126</v>
          </cell>
          <cell r="AJ90">
            <v>71126</v>
          </cell>
          <cell r="AK90">
            <v>71126</v>
          </cell>
          <cell r="AL90">
            <v>0</v>
          </cell>
          <cell r="AM90">
            <v>0</v>
          </cell>
          <cell r="AN90" t="str">
            <v/>
          </cell>
          <cell r="AO90">
            <v>0</v>
          </cell>
          <cell r="AP90">
            <v>0</v>
          </cell>
          <cell r="AQ90">
            <v>0</v>
          </cell>
          <cell r="AR90">
            <v>320</v>
          </cell>
          <cell r="AS90">
            <v>0</v>
          </cell>
          <cell r="AT90" t="str">
            <v/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60</v>
          </cell>
          <cell r="BJ90" t="str">
            <v/>
          </cell>
          <cell r="BK90">
            <v>1700</v>
          </cell>
          <cell r="BL90" t="str">
            <v>1</v>
          </cell>
          <cell r="BM90" t="str">
            <v>1</v>
          </cell>
          <cell r="BN90" t="str">
            <v/>
          </cell>
          <cell r="BO90" t="str">
            <v/>
          </cell>
        </row>
        <row r="91">
          <cell r="A91">
            <v>1</v>
          </cell>
          <cell r="B91">
            <v>1389990</v>
          </cell>
          <cell r="C91" t="str">
            <v>AMORT. MATERIEL ROULANT</v>
          </cell>
          <cell r="D91" t="str">
            <v>AMORTISSEMENT CUMULEE</v>
          </cell>
          <cell r="E91" t="str">
            <v>N</v>
          </cell>
          <cell r="F91">
            <v>0</v>
          </cell>
          <cell r="G91">
            <v>0</v>
          </cell>
          <cell r="H91">
            <v>154340.5</v>
          </cell>
          <cell r="I91">
            <v>4309.66</v>
          </cell>
          <cell r="J91">
            <v>51062.27</v>
          </cell>
          <cell r="K91">
            <v>0</v>
          </cell>
          <cell r="L91">
            <v>0</v>
          </cell>
          <cell r="M91">
            <v>5482.6</v>
          </cell>
          <cell r="N91">
            <v>111620.74</v>
          </cell>
          <cell r="O91">
            <v>115653.59</v>
          </cell>
          <cell r="P91">
            <v>119686.44</v>
          </cell>
          <cell r="Q91">
            <v>123719.29</v>
          </cell>
          <cell r="R91">
            <v>127752.14</v>
          </cell>
          <cell r="S91">
            <v>131784.99</v>
          </cell>
          <cell r="T91">
            <v>135928.92000000001</v>
          </cell>
          <cell r="U91">
            <v>140238.57999999999</v>
          </cell>
          <cell r="V91">
            <v>144548.24</v>
          </cell>
          <cell r="W91">
            <v>148857.9</v>
          </cell>
          <cell r="X91">
            <v>154340.5</v>
          </cell>
          <cell r="Y91">
            <v>159823.1</v>
          </cell>
          <cell r="Z91">
            <v>73618.19</v>
          </cell>
          <cell r="AA91">
            <v>75335.69</v>
          </cell>
          <cell r="AB91">
            <v>77053.19</v>
          </cell>
          <cell r="AC91">
            <v>79972.89</v>
          </cell>
          <cell r="AD91">
            <v>82889.64</v>
          </cell>
          <cell r="AE91">
            <v>85140.71</v>
          </cell>
          <cell r="AF91">
            <v>88522.89</v>
          </cell>
          <cell r="AG91">
            <v>91905.07</v>
          </cell>
          <cell r="AH91">
            <v>95287.25</v>
          </cell>
          <cell r="AI91">
            <v>99331.97</v>
          </cell>
          <cell r="AJ91">
            <v>103459.93</v>
          </cell>
          <cell r="AK91">
            <v>107587.89</v>
          </cell>
          <cell r="AL91">
            <v>0</v>
          </cell>
          <cell r="AM91">
            <v>0</v>
          </cell>
          <cell r="AN91" t="str">
            <v/>
          </cell>
          <cell r="AO91">
            <v>0</v>
          </cell>
          <cell r="AP91">
            <v>0</v>
          </cell>
          <cell r="AQ91">
            <v>0</v>
          </cell>
          <cell r="AR91">
            <v>321</v>
          </cell>
          <cell r="AS91">
            <v>0</v>
          </cell>
          <cell r="AT91" t="str">
            <v/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 t="str">
            <v/>
          </cell>
          <cell r="BK91">
            <v>1800</v>
          </cell>
          <cell r="BL91" t="str">
            <v>0</v>
          </cell>
          <cell r="BM91" t="str">
            <v>1</v>
          </cell>
          <cell r="BN91" t="str">
            <v/>
          </cell>
          <cell r="BO91" t="str">
            <v/>
          </cell>
        </row>
        <row r="92">
          <cell r="A92">
            <v>1</v>
          </cell>
          <cell r="B92">
            <v>2101010</v>
          </cell>
          <cell r="C92" t="str">
            <v>EMPRUNT BANCAIRE</v>
          </cell>
          <cell r="D92" t="str">
            <v>MARGE DE CREDIT CND</v>
          </cell>
          <cell r="E92" t="str">
            <v>N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str">
            <v/>
          </cell>
          <cell r="AO92">
            <v>0</v>
          </cell>
          <cell r="AP92">
            <v>0</v>
          </cell>
          <cell r="AQ92">
            <v>0</v>
          </cell>
          <cell r="AR92">
            <v>400</v>
          </cell>
          <cell r="AS92">
            <v>0</v>
          </cell>
          <cell r="AT92" t="str">
            <v/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 t="str">
            <v/>
          </cell>
          <cell r="BK92">
            <v>2000</v>
          </cell>
          <cell r="BL92" t="str">
            <v/>
          </cell>
          <cell r="BM92" t="str">
            <v>1</v>
          </cell>
          <cell r="BN92" t="str">
            <v/>
          </cell>
          <cell r="BO92" t="str">
            <v/>
          </cell>
        </row>
        <row r="93">
          <cell r="A93">
            <v>1</v>
          </cell>
          <cell r="B93">
            <v>2101020</v>
          </cell>
          <cell r="C93" t="str">
            <v>EMPRUNT BANCAIRE</v>
          </cell>
          <cell r="D93" t="str">
            <v>MARGE DE CREDIT US</v>
          </cell>
          <cell r="E93" t="str">
            <v>N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str">
            <v/>
          </cell>
          <cell r="AO93">
            <v>0</v>
          </cell>
          <cell r="AP93">
            <v>0</v>
          </cell>
          <cell r="AQ93">
            <v>0</v>
          </cell>
          <cell r="AR93">
            <v>400</v>
          </cell>
          <cell r="AS93">
            <v>0</v>
          </cell>
          <cell r="AT93" t="str">
            <v/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 t="str">
            <v/>
          </cell>
          <cell r="BK93">
            <v>2000</v>
          </cell>
          <cell r="BL93" t="str">
            <v/>
          </cell>
          <cell r="BM93" t="str">
            <v>1</v>
          </cell>
          <cell r="BN93" t="str">
            <v/>
          </cell>
          <cell r="BO93" t="str">
            <v/>
          </cell>
        </row>
        <row r="94">
          <cell r="A94">
            <v>1</v>
          </cell>
          <cell r="B94">
            <v>2102010</v>
          </cell>
          <cell r="C94" t="str">
            <v>EXCEDENT DES CHEQUES CDN</v>
          </cell>
          <cell r="D94" t="str">
            <v>SUR LES SOLDES BANCAIRES</v>
          </cell>
          <cell r="E94" t="str">
            <v>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str">
            <v/>
          </cell>
          <cell r="AO94">
            <v>0</v>
          </cell>
          <cell r="AP94">
            <v>0</v>
          </cell>
          <cell r="AQ94">
            <v>0</v>
          </cell>
          <cell r="AR94">
            <v>410</v>
          </cell>
          <cell r="AS94">
            <v>0</v>
          </cell>
          <cell r="AT94" t="str">
            <v/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 t="str">
            <v/>
          </cell>
          <cell r="BK94">
            <v>2000</v>
          </cell>
          <cell r="BL94" t="str">
            <v/>
          </cell>
          <cell r="BM94" t="str">
            <v>1</v>
          </cell>
          <cell r="BN94" t="str">
            <v/>
          </cell>
          <cell r="BO94" t="str">
            <v/>
          </cell>
        </row>
        <row r="95">
          <cell r="A95">
            <v>1</v>
          </cell>
          <cell r="B95">
            <v>2102020</v>
          </cell>
          <cell r="C95" t="str">
            <v>EXCEDENT DES CHEQUES US</v>
          </cell>
          <cell r="D95" t="str">
            <v>SUR LES SOLDES BANCAIRES</v>
          </cell>
          <cell r="E95" t="str">
            <v>N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str">
            <v/>
          </cell>
          <cell r="AO95">
            <v>0</v>
          </cell>
          <cell r="AP95">
            <v>0</v>
          </cell>
          <cell r="AQ95">
            <v>0</v>
          </cell>
          <cell r="AR95">
            <v>410</v>
          </cell>
          <cell r="AS95">
            <v>0</v>
          </cell>
          <cell r="AT95" t="str">
            <v/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 t="str">
            <v/>
          </cell>
          <cell r="BK95">
            <v>2000</v>
          </cell>
          <cell r="BL95" t="str">
            <v/>
          </cell>
          <cell r="BM95" t="str">
            <v>1</v>
          </cell>
          <cell r="BN95" t="str">
            <v/>
          </cell>
          <cell r="BO95" t="str">
            <v/>
          </cell>
        </row>
        <row r="96">
          <cell r="A96">
            <v>1</v>
          </cell>
          <cell r="B96">
            <v>2102021</v>
          </cell>
          <cell r="C96" t="str">
            <v>ECHANGE SUR MARGE US</v>
          </cell>
          <cell r="D96" t="str">
            <v/>
          </cell>
          <cell r="E96" t="str">
            <v>N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1</v>
          </cell>
          <cell r="AN96" t="str">
            <v/>
          </cell>
          <cell r="AO96">
            <v>0</v>
          </cell>
          <cell r="AP96">
            <v>0</v>
          </cell>
          <cell r="AQ96">
            <v>0</v>
          </cell>
          <cell r="AR96">
            <v>400</v>
          </cell>
          <cell r="AS96">
            <v>0</v>
          </cell>
          <cell r="AT96" t="str">
            <v/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 t="str">
            <v/>
          </cell>
          <cell r="BK96">
            <v>2000</v>
          </cell>
          <cell r="BL96" t="str">
            <v/>
          </cell>
          <cell r="BM96" t="str">
            <v>1</v>
          </cell>
          <cell r="BN96" t="str">
            <v/>
          </cell>
          <cell r="BO96" t="str">
            <v/>
          </cell>
        </row>
        <row r="97">
          <cell r="A97">
            <v>1</v>
          </cell>
          <cell r="B97">
            <v>2102031</v>
          </cell>
          <cell r="C97" t="str">
            <v>ECHANGE SUR  CHEQUES US</v>
          </cell>
          <cell r="D97" t="str">
            <v/>
          </cell>
          <cell r="E97" t="str">
            <v>N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 t="str">
            <v/>
          </cell>
          <cell r="AO97">
            <v>0</v>
          </cell>
          <cell r="AP97">
            <v>0</v>
          </cell>
          <cell r="AQ97">
            <v>0</v>
          </cell>
          <cell r="AR97">
            <v>410</v>
          </cell>
          <cell r="AS97">
            <v>0</v>
          </cell>
          <cell r="AT97" t="str">
            <v/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 t="str">
            <v/>
          </cell>
          <cell r="BK97">
            <v>2000</v>
          </cell>
          <cell r="BL97" t="str">
            <v/>
          </cell>
          <cell r="BM97" t="str">
            <v>1</v>
          </cell>
          <cell r="BN97" t="str">
            <v/>
          </cell>
          <cell r="BO97" t="str">
            <v/>
          </cell>
        </row>
        <row r="98">
          <cell r="A98">
            <v>1</v>
          </cell>
          <cell r="B98">
            <v>2103001</v>
          </cell>
          <cell r="C98" t="str">
            <v>RECLASS PETITE CAISSE</v>
          </cell>
          <cell r="D98" t="str">
            <v/>
          </cell>
          <cell r="E98" t="str">
            <v>N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1</v>
          </cell>
          <cell r="AN98" t="str">
            <v/>
          </cell>
          <cell r="AO98">
            <v>0</v>
          </cell>
          <cell r="AP98">
            <v>0</v>
          </cell>
          <cell r="AQ98">
            <v>0</v>
          </cell>
          <cell r="AR98">
            <v>410</v>
          </cell>
          <cell r="AS98">
            <v>0</v>
          </cell>
          <cell r="AT98" t="str">
            <v/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 t="str">
            <v/>
          </cell>
          <cell r="BK98">
            <v>2000</v>
          </cell>
          <cell r="BL98" t="str">
            <v/>
          </cell>
          <cell r="BM98" t="str">
            <v>1</v>
          </cell>
          <cell r="BN98" t="str">
            <v/>
          </cell>
          <cell r="BO98" t="str">
            <v/>
          </cell>
        </row>
        <row r="99">
          <cell r="A99">
            <v>1</v>
          </cell>
          <cell r="B99">
            <v>2111001</v>
          </cell>
          <cell r="C99" t="str">
            <v>C.A.P.</v>
          </cell>
          <cell r="D99" t="str">
            <v>AGE DES C.A.P. ORDINAIRES</v>
          </cell>
          <cell r="E99" t="str">
            <v>N</v>
          </cell>
          <cell r="F99">
            <v>0</v>
          </cell>
          <cell r="G99">
            <v>0</v>
          </cell>
          <cell r="H99">
            <v>2072844.21</v>
          </cell>
          <cell r="I99">
            <v>27289919.640000001</v>
          </cell>
          <cell r="J99">
            <v>27446539.390000001</v>
          </cell>
          <cell r="K99">
            <v>0</v>
          </cell>
          <cell r="L99">
            <v>2902477.04</v>
          </cell>
          <cell r="M99">
            <v>2181418.46</v>
          </cell>
          <cell r="N99">
            <v>1532840.09</v>
          </cell>
          <cell r="O99">
            <v>1823097.99</v>
          </cell>
          <cell r="P99">
            <v>1866843.5</v>
          </cell>
          <cell r="Q99">
            <v>1616368.98</v>
          </cell>
          <cell r="R99">
            <v>1785977.77</v>
          </cell>
          <cell r="S99">
            <v>1793808.22</v>
          </cell>
          <cell r="T99">
            <v>2443946.02</v>
          </cell>
          <cell r="U99">
            <v>1532790.21</v>
          </cell>
          <cell r="V99">
            <v>2132813.12</v>
          </cell>
          <cell r="W99">
            <v>1888812.76</v>
          </cell>
          <cell r="X99">
            <v>2072844.21</v>
          </cell>
          <cell r="Y99">
            <v>1351785.63</v>
          </cell>
          <cell r="Z99">
            <v>1406939.37</v>
          </cell>
          <cell r="AA99">
            <v>1724580.92</v>
          </cell>
          <cell r="AB99">
            <v>2070707.26</v>
          </cell>
          <cell r="AC99">
            <v>1749923.75</v>
          </cell>
          <cell r="AD99">
            <v>1922657.8</v>
          </cell>
          <cell r="AE99">
            <v>2731473.09</v>
          </cell>
          <cell r="AF99">
            <v>2298167.9700000002</v>
          </cell>
          <cell r="AG99">
            <v>2412849.94</v>
          </cell>
          <cell r="AH99">
            <v>1658609.82</v>
          </cell>
          <cell r="AI99">
            <v>2284675.09</v>
          </cell>
          <cell r="AJ99">
            <v>1972155.01</v>
          </cell>
          <cell r="AK99">
            <v>1916224.46</v>
          </cell>
          <cell r="AL99">
            <v>0</v>
          </cell>
          <cell r="AM99">
            <v>1</v>
          </cell>
          <cell r="AN99" t="str">
            <v/>
          </cell>
          <cell r="AO99">
            <v>0</v>
          </cell>
          <cell r="AP99">
            <v>0</v>
          </cell>
          <cell r="AQ99">
            <v>0</v>
          </cell>
          <cell r="AR99">
            <v>420</v>
          </cell>
          <cell r="AS99">
            <v>0</v>
          </cell>
          <cell r="AT99" t="str">
            <v/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 t="str">
            <v/>
          </cell>
          <cell r="BK99">
            <v>2100</v>
          </cell>
          <cell r="BL99" t="str">
            <v/>
          </cell>
          <cell r="BM99" t="str">
            <v>1</v>
          </cell>
          <cell r="BN99" t="str">
            <v/>
          </cell>
          <cell r="BO99" t="str">
            <v/>
          </cell>
        </row>
        <row r="100">
          <cell r="A100">
            <v>1</v>
          </cell>
          <cell r="B100">
            <v>2111005</v>
          </cell>
          <cell r="C100" t="str">
            <v>C.A.P.</v>
          </cell>
          <cell r="D100" t="str">
            <v>ACCRUS C.A.P. ORDINAIRES</v>
          </cell>
          <cell r="E100" t="str">
            <v>N</v>
          </cell>
          <cell r="F100">
            <v>0</v>
          </cell>
          <cell r="G100">
            <v>0</v>
          </cell>
          <cell r="H100">
            <v>890205.86</v>
          </cell>
          <cell r="I100">
            <v>12660577.779999999</v>
          </cell>
          <cell r="J100">
            <v>12442619.449999999</v>
          </cell>
          <cell r="K100">
            <v>0</v>
          </cell>
          <cell r="L100">
            <v>945527.71</v>
          </cell>
          <cell r="M100">
            <v>1261808.25</v>
          </cell>
          <cell r="N100">
            <v>1461716.2</v>
          </cell>
          <cell r="O100">
            <v>1191576.45</v>
          </cell>
          <cell r="P100">
            <v>781839.64</v>
          </cell>
          <cell r="Q100">
            <v>975518.1</v>
          </cell>
          <cell r="R100">
            <v>1372612.75</v>
          </cell>
          <cell r="S100">
            <v>790885.33</v>
          </cell>
          <cell r="T100">
            <v>869537.25</v>
          </cell>
          <cell r="U100">
            <v>1051202.6200000001</v>
          </cell>
          <cell r="V100">
            <v>736696.21</v>
          </cell>
          <cell r="W100">
            <v>812257.96</v>
          </cell>
          <cell r="X100">
            <v>890205.86</v>
          </cell>
          <cell r="Y100">
            <v>1206486.3999999999</v>
          </cell>
          <cell r="Z100">
            <v>927162.12</v>
          </cell>
          <cell r="AA100">
            <v>706469.98</v>
          </cell>
          <cell r="AB100">
            <v>391911.28</v>
          </cell>
          <cell r="AC100">
            <v>897862.23</v>
          </cell>
          <cell r="AD100">
            <v>1234112.6100000001</v>
          </cell>
          <cell r="AE100">
            <v>537314.99</v>
          </cell>
          <cell r="AF100">
            <v>1223977.8500000001</v>
          </cell>
          <cell r="AG100">
            <v>1396658.23</v>
          </cell>
          <cell r="AH100">
            <v>848718.09</v>
          </cell>
          <cell r="AI100">
            <v>1439163.68</v>
          </cell>
          <cell r="AJ100">
            <v>1690607.12</v>
          </cell>
          <cell r="AK100">
            <v>1108164.19</v>
          </cell>
          <cell r="AL100">
            <v>0</v>
          </cell>
          <cell r="AM100">
            <v>5</v>
          </cell>
          <cell r="AN100" t="str">
            <v/>
          </cell>
          <cell r="AO100">
            <v>0</v>
          </cell>
          <cell r="AP100">
            <v>0</v>
          </cell>
          <cell r="AQ100">
            <v>0</v>
          </cell>
          <cell r="AR100">
            <v>420</v>
          </cell>
          <cell r="AS100">
            <v>0</v>
          </cell>
          <cell r="AT100" t="str">
            <v/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 t="str">
            <v/>
          </cell>
          <cell r="BK100">
            <v>2100</v>
          </cell>
          <cell r="BL100" t="str">
            <v/>
          </cell>
          <cell r="BM100" t="str">
            <v>1</v>
          </cell>
          <cell r="BN100" t="str">
            <v/>
          </cell>
          <cell r="BO100" t="str">
            <v/>
          </cell>
        </row>
        <row r="101">
          <cell r="A101">
            <v>1</v>
          </cell>
          <cell r="B101">
            <v>2111011</v>
          </cell>
          <cell r="C101" t="str">
            <v>C.A.P.</v>
          </cell>
          <cell r="D101" t="str">
            <v>AGE DES C.A.P. INTERCO</v>
          </cell>
          <cell r="E101" t="str">
            <v>N</v>
          </cell>
          <cell r="F101">
            <v>0</v>
          </cell>
          <cell r="G101">
            <v>0</v>
          </cell>
          <cell r="H101">
            <v>1651142.17</v>
          </cell>
          <cell r="I101">
            <v>17562346.870000001</v>
          </cell>
          <cell r="J101">
            <v>17640670.84</v>
          </cell>
          <cell r="K101">
            <v>0</v>
          </cell>
          <cell r="L101">
            <v>1370204.68</v>
          </cell>
          <cell r="M101">
            <v>786538.79</v>
          </cell>
          <cell r="N101">
            <v>1186104.3999999999</v>
          </cell>
          <cell r="O101">
            <v>1470860.47</v>
          </cell>
          <cell r="P101">
            <v>977493.06</v>
          </cell>
          <cell r="Q101">
            <v>984048.87</v>
          </cell>
          <cell r="R101">
            <v>1291330.55</v>
          </cell>
          <cell r="S101">
            <v>1476604.09</v>
          </cell>
          <cell r="T101">
            <v>1305708.73</v>
          </cell>
          <cell r="U101">
            <v>1238158.6299999999</v>
          </cell>
          <cell r="V101">
            <v>1517037.29</v>
          </cell>
          <cell r="W101">
            <v>1060461.29</v>
          </cell>
          <cell r="X101">
            <v>1651142.17</v>
          </cell>
          <cell r="Y101">
            <v>1067476.28</v>
          </cell>
          <cell r="Z101">
            <v>2556495.25</v>
          </cell>
          <cell r="AA101">
            <v>475740.69</v>
          </cell>
          <cell r="AB101">
            <v>988430.19</v>
          </cell>
          <cell r="AC101">
            <v>1422124.67</v>
          </cell>
          <cell r="AD101">
            <v>753790.91</v>
          </cell>
          <cell r="AE101">
            <v>1378138.79</v>
          </cell>
          <cell r="AF101">
            <v>735146.1</v>
          </cell>
          <cell r="AG101">
            <v>650888.31999999995</v>
          </cell>
          <cell r="AH101">
            <v>1104815.2</v>
          </cell>
          <cell r="AI101">
            <v>715596.65</v>
          </cell>
          <cell r="AJ101">
            <v>1743375.45</v>
          </cell>
          <cell r="AK101">
            <v>1572818.2</v>
          </cell>
          <cell r="AL101">
            <v>0</v>
          </cell>
          <cell r="AM101">
            <v>1</v>
          </cell>
          <cell r="AN101" t="str">
            <v/>
          </cell>
          <cell r="AO101">
            <v>0</v>
          </cell>
          <cell r="AP101">
            <v>0</v>
          </cell>
          <cell r="AQ101">
            <v>0</v>
          </cell>
          <cell r="AR101">
            <v>430</v>
          </cell>
          <cell r="AS101">
            <v>0</v>
          </cell>
          <cell r="AT101" t="str">
            <v/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 t="str">
            <v/>
          </cell>
          <cell r="BK101">
            <v>2100</v>
          </cell>
          <cell r="BL101" t="str">
            <v/>
          </cell>
          <cell r="BM101" t="str">
            <v>1</v>
          </cell>
          <cell r="BN101" t="str">
            <v/>
          </cell>
          <cell r="BO101" t="str">
            <v/>
          </cell>
        </row>
        <row r="102">
          <cell r="A102">
            <v>1</v>
          </cell>
          <cell r="B102">
            <v>2111015</v>
          </cell>
          <cell r="C102" t="str">
            <v>C.A.P.</v>
          </cell>
          <cell r="D102" t="str">
            <v>ACCRUS C.A.P. INTERCO</v>
          </cell>
          <cell r="E102" t="str">
            <v>N</v>
          </cell>
          <cell r="F102">
            <v>0</v>
          </cell>
          <cell r="G102">
            <v>0</v>
          </cell>
          <cell r="H102">
            <v>674354.16</v>
          </cell>
          <cell r="I102">
            <v>6809337.3099999996</v>
          </cell>
          <cell r="J102">
            <v>6481775.6299999999</v>
          </cell>
          <cell r="K102">
            <v>0</v>
          </cell>
          <cell r="L102">
            <v>675438.84</v>
          </cell>
          <cell r="M102">
            <v>1629911.6</v>
          </cell>
          <cell r="N102">
            <v>283544.61</v>
          </cell>
          <cell r="O102">
            <v>364345.29</v>
          </cell>
          <cell r="P102">
            <v>704273.11</v>
          </cell>
          <cell r="Q102">
            <v>262858.75</v>
          </cell>
          <cell r="R102">
            <v>409529.32</v>
          </cell>
          <cell r="S102">
            <v>1111928.8700000001</v>
          </cell>
          <cell r="T102">
            <v>735837.18</v>
          </cell>
          <cell r="U102">
            <v>622433.75</v>
          </cell>
          <cell r="V102">
            <v>867009.32</v>
          </cell>
          <cell r="W102">
            <v>387542.73</v>
          </cell>
          <cell r="X102">
            <v>674354.16</v>
          </cell>
          <cell r="Y102">
            <v>1628826.92</v>
          </cell>
          <cell r="Z102">
            <v>156065.67000000001</v>
          </cell>
          <cell r="AA102">
            <v>999754.07</v>
          </cell>
          <cell r="AB102">
            <v>884795.56</v>
          </cell>
          <cell r="AC102">
            <v>114080.02</v>
          </cell>
          <cell r="AD102">
            <v>541069.99</v>
          </cell>
          <cell r="AE102">
            <v>939983.96</v>
          </cell>
          <cell r="AF102">
            <v>201767.72</v>
          </cell>
          <cell r="AG102">
            <v>536961.18999999994</v>
          </cell>
          <cell r="AH102">
            <v>1331506.06</v>
          </cell>
          <cell r="AI102">
            <v>436352.82</v>
          </cell>
          <cell r="AJ102">
            <v>412468.93</v>
          </cell>
          <cell r="AK102">
            <v>1001915.84</v>
          </cell>
          <cell r="AL102">
            <v>0</v>
          </cell>
          <cell r="AM102">
            <v>5</v>
          </cell>
          <cell r="AN102" t="str">
            <v/>
          </cell>
          <cell r="AO102">
            <v>0</v>
          </cell>
          <cell r="AP102">
            <v>0</v>
          </cell>
          <cell r="AQ102">
            <v>0</v>
          </cell>
          <cell r="AR102">
            <v>430</v>
          </cell>
          <cell r="AS102">
            <v>0</v>
          </cell>
          <cell r="AT102" t="str">
            <v/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 t="str">
            <v/>
          </cell>
          <cell r="BK102">
            <v>2100</v>
          </cell>
          <cell r="BL102" t="str">
            <v/>
          </cell>
          <cell r="BM102" t="str">
            <v>1</v>
          </cell>
          <cell r="BN102" t="str">
            <v/>
          </cell>
          <cell r="BO102" t="str">
            <v/>
          </cell>
        </row>
        <row r="103">
          <cell r="A103">
            <v>1</v>
          </cell>
          <cell r="B103">
            <v>2111021</v>
          </cell>
          <cell r="C103" t="str">
            <v>C.A.P.</v>
          </cell>
          <cell r="D103" t="str">
            <v>ECHANGE SUR C.A.P. US</v>
          </cell>
          <cell r="E103" t="str">
            <v>N</v>
          </cell>
          <cell r="F103">
            <v>0</v>
          </cell>
          <cell r="G103">
            <v>0</v>
          </cell>
          <cell r="H103">
            <v>168005.34</v>
          </cell>
          <cell r="I103">
            <v>2124628</v>
          </cell>
          <cell r="J103">
            <v>2119715.31</v>
          </cell>
          <cell r="K103">
            <v>0</v>
          </cell>
          <cell r="L103">
            <v>245947.97</v>
          </cell>
          <cell r="M103">
            <v>102343.98</v>
          </cell>
          <cell r="N103">
            <v>145472.6</v>
          </cell>
          <cell r="O103">
            <v>101768.09</v>
          </cell>
          <cell r="P103">
            <v>150738.29</v>
          </cell>
          <cell r="Q103">
            <v>111623.11</v>
          </cell>
          <cell r="R103">
            <v>110242.22</v>
          </cell>
          <cell r="S103">
            <v>129086</v>
          </cell>
          <cell r="T103">
            <v>195677.35</v>
          </cell>
          <cell r="U103">
            <v>145909.12</v>
          </cell>
          <cell r="V103">
            <v>173869.94</v>
          </cell>
          <cell r="W103">
            <v>137363.12</v>
          </cell>
          <cell r="X103">
            <v>168005.34</v>
          </cell>
          <cell r="Y103">
            <v>24401.35</v>
          </cell>
          <cell r="Z103">
            <v>133118.85</v>
          </cell>
          <cell r="AA103">
            <v>199174.34</v>
          </cell>
          <cell r="AB103">
            <v>134910.16</v>
          </cell>
          <cell r="AC103">
            <v>84769.37</v>
          </cell>
          <cell r="AD103">
            <v>172008.85</v>
          </cell>
          <cell r="AE103">
            <v>211816.82</v>
          </cell>
          <cell r="AF103">
            <v>128857.78</v>
          </cell>
          <cell r="AG103">
            <v>177935.98</v>
          </cell>
          <cell r="AH103">
            <v>132723.85999999999</v>
          </cell>
          <cell r="AI103">
            <v>176138.04</v>
          </cell>
          <cell r="AJ103">
            <v>199512.4</v>
          </cell>
          <cell r="AK103">
            <v>172918.03</v>
          </cell>
          <cell r="AL103">
            <v>0</v>
          </cell>
          <cell r="AM103">
            <v>1</v>
          </cell>
          <cell r="AN103" t="str">
            <v/>
          </cell>
          <cell r="AO103">
            <v>0</v>
          </cell>
          <cell r="AP103">
            <v>0</v>
          </cell>
          <cell r="AQ103">
            <v>0</v>
          </cell>
          <cell r="AR103">
            <v>420</v>
          </cell>
          <cell r="AS103">
            <v>0</v>
          </cell>
          <cell r="AT103" t="str">
            <v/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 t="str">
            <v/>
          </cell>
          <cell r="BK103">
            <v>2100</v>
          </cell>
          <cell r="BL103" t="str">
            <v/>
          </cell>
          <cell r="BM103" t="str">
            <v>1</v>
          </cell>
          <cell r="BN103" t="str">
            <v/>
          </cell>
          <cell r="BO103" t="str">
            <v/>
          </cell>
        </row>
        <row r="104">
          <cell r="A104">
            <v>1</v>
          </cell>
          <cell r="B104">
            <v>2111900</v>
          </cell>
          <cell r="C104" t="str">
            <v>C.A.P.</v>
          </cell>
          <cell r="D104" t="str">
            <v>ROCKINGHAM</v>
          </cell>
          <cell r="E104" t="str">
            <v>N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 t="str">
            <v/>
          </cell>
          <cell r="AO104">
            <v>0</v>
          </cell>
          <cell r="AP104">
            <v>0</v>
          </cell>
          <cell r="AQ104">
            <v>0</v>
          </cell>
          <cell r="AR104">
            <v>430</v>
          </cell>
          <cell r="AS104">
            <v>0</v>
          </cell>
          <cell r="AT104" t="str">
            <v/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 t="str">
            <v/>
          </cell>
          <cell r="BK104">
            <v>2100</v>
          </cell>
          <cell r="BL104" t="str">
            <v/>
          </cell>
          <cell r="BM104" t="str">
            <v>1</v>
          </cell>
          <cell r="BN104" t="str">
            <v/>
          </cell>
          <cell r="BO104" t="str">
            <v/>
          </cell>
        </row>
        <row r="105">
          <cell r="A105">
            <v>1</v>
          </cell>
          <cell r="B105">
            <v>2112010</v>
          </cell>
          <cell r="C105" t="str">
            <v>C.A.P.</v>
          </cell>
          <cell r="D105" t="str">
            <v>AGENTS US</v>
          </cell>
          <cell r="E105" t="str">
            <v>N</v>
          </cell>
          <cell r="F105">
            <v>0</v>
          </cell>
          <cell r="G105">
            <v>0</v>
          </cell>
          <cell r="H105">
            <v>0.37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0.37</v>
          </cell>
          <cell r="O105">
            <v>0.37</v>
          </cell>
          <cell r="P105">
            <v>0.37</v>
          </cell>
          <cell r="Q105">
            <v>0.37</v>
          </cell>
          <cell r="R105">
            <v>0.37</v>
          </cell>
          <cell r="S105">
            <v>0.37</v>
          </cell>
          <cell r="T105">
            <v>0.37</v>
          </cell>
          <cell r="U105">
            <v>0.37</v>
          </cell>
          <cell r="V105">
            <v>0.37</v>
          </cell>
          <cell r="W105">
            <v>0.37</v>
          </cell>
          <cell r="X105">
            <v>0.37</v>
          </cell>
          <cell r="Y105">
            <v>0.37</v>
          </cell>
          <cell r="Z105">
            <v>0.37</v>
          </cell>
          <cell r="AA105">
            <v>0.37</v>
          </cell>
          <cell r="AB105">
            <v>0.37</v>
          </cell>
          <cell r="AC105">
            <v>0.37</v>
          </cell>
          <cell r="AD105">
            <v>0.37</v>
          </cell>
          <cell r="AE105">
            <v>0.37</v>
          </cell>
          <cell r="AF105">
            <v>0.37</v>
          </cell>
          <cell r="AG105">
            <v>0.37</v>
          </cell>
          <cell r="AH105">
            <v>0.37</v>
          </cell>
          <cell r="AI105">
            <v>0.37</v>
          </cell>
          <cell r="AJ105">
            <v>0.37</v>
          </cell>
          <cell r="AK105">
            <v>0.37</v>
          </cell>
          <cell r="AL105">
            <v>0</v>
          </cell>
          <cell r="AM105">
            <v>0</v>
          </cell>
          <cell r="AN105" t="str">
            <v/>
          </cell>
          <cell r="AO105">
            <v>0</v>
          </cell>
          <cell r="AP105">
            <v>0</v>
          </cell>
          <cell r="AQ105">
            <v>0</v>
          </cell>
          <cell r="AR105">
            <v>420</v>
          </cell>
          <cell r="AS105">
            <v>0</v>
          </cell>
          <cell r="AT105" t="str">
            <v/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 t="str">
            <v/>
          </cell>
          <cell r="BK105">
            <v>2100</v>
          </cell>
          <cell r="BL105" t="str">
            <v/>
          </cell>
          <cell r="BM105" t="str">
            <v>1</v>
          </cell>
          <cell r="BN105" t="str">
            <v/>
          </cell>
          <cell r="BO105" t="str">
            <v/>
          </cell>
        </row>
        <row r="106">
          <cell r="A106">
            <v>1</v>
          </cell>
          <cell r="B106">
            <v>2112020</v>
          </cell>
          <cell r="C106" t="str">
            <v>C.A.P.</v>
          </cell>
          <cell r="D106" t="str">
            <v>AGENTS CDN</v>
          </cell>
          <cell r="E106" t="str">
            <v>N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-5621.77</v>
          </cell>
          <cell r="AA106">
            <v>-5621.77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 t="str">
            <v/>
          </cell>
          <cell r="AO106">
            <v>0</v>
          </cell>
          <cell r="AP106">
            <v>0</v>
          </cell>
          <cell r="AQ106">
            <v>0</v>
          </cell>
          <cell r="AR106">
            <v>420</v>
          </cell>
          <cell r="AS106">
            <v>0</v>
          </cell>
          <cell r="AT106" t="str">
            <v/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 t="str">
            <v/>
          </cell>
          <cell r="BK106">
            <v>2100</v>
          </cell>
          <cell r="BL106" t="str">
            <v/>
          </cell>
          <cell r="BM106" t="str">
            <v>1</v>
          </cell>
          <cell r="BN106" t="str">
            <v/>
          </cell>
          <cell r="BO106" t="str">
            <v/>
          </cell>
        </row>
        <row r="107">
          <cell r="A107">
            <v>1</v>
          </cell>
          <cell r="B107">
            <v>2112030</v>
          </cell>
          <cell r="C107" t="str">
            <v>C.A.P. RABAIS NON TRAITÉS</v>
          </cell>
          <cell r="D107" t="str">
            <v>PROVISION A CE JOUR</v>
          </cell>
          <cell r="E107" t="str">
            <v>N</v>
          </cell>
          <cell r="F107">
            <v>0</v>
          </cell>
          <cell r="G107">
            <v>0</v>
          </cell>
          <cell r="H107">
            <v>3065766</v>
          </cell>
          <cell r="I107">
            <v>1326345</v>
          </cell>
          <cell r="J107">
            <v>2578420.6</v>
          </cell>
          <cell r="K107">
            <v>0</v>
          </cell>
          <cell r="L107">
            <v>270364</v>
          </cell>
          <cell r="M107">
            <v>172900</v>
          </cell>
          <cell r="N107">
            <v>1980068.4</v>
          </cell>
          <cell r="O107">
            <v>2182640.4</v>
          </cell>
          <cell r="P107">
            <v>2267364.4</v>
          </cell>
          <cell r="Q107">
            <v>2461247.4</v>
          </cell>
          <cell r="R107">
            <v>2554130.4</v>
          </cell>
          <cell r="S107">
            <v>2605926.3999999999</v>
          </cell>
          <cell r="T107">
            <v>2608205.4</v>
          </cell>
          <cell r="U107">
            <v>2731618.4</v>
          </cell>
          <cell r="V107">
            <v>3047986.4</v>
          </cell>
          <cell r="W107">
            <v>2888107.4</v>
          </cell>
          <cell r="X107">
            <v>3065766</v>
          </cell>
          <cell r="Y107">
            <v>2968302</v>
          </cell>
          <cell r="Z107">
            <v>1042126.4</v>
          </cell>
          <cell r="AA107">
            <v>1043369.4</v>
          </cell>
          <cell r="AB107">
            <v>1138343.3999999999</v>
          </cell>
          <cell r="AC107">
            <v>1254567.3999999999</v>
          </cell>
          <cell r="AD107">
            <v>1300726.3999999999</v>
          </cell>
          <cell r="AE107">
            <v>1217757.3999999999</v>
          </cell>
          <cell r="AF107">
            <v>1270737.3999999999</v>
          </cell>
          <cell r="AG107">
            <v>1379414.4</v>
          </cell>
          <cell r="AH107">
            <v>1376840.4</v>
          </cell>
          <cell r="AI107">
            <v>1466423.4</v>
          </cell>
          <cell r="AJ107">
            <v>1668420.4</v>
          </cell>
          <cell r="AK107">
            <v>1813690.4</v>
          </cell>
          <cell r="AL107">
            <v>0</v>
          </cell>
          <cell r="AM107">
            <v>0</v>
          </cell>
          <cell r="AN107" t="str">
            <v/>
          </cell>
          <cell r="AO107">
            <v>0</v>
          </cell>
          <cell r="AP107">
            <v>0</v>
          </cell>
          <cell r="AQ107">
            <v>0</v>
          </cell>
          <cell r="AR107">
            <v>420</v>
          </cell>
          <cell r="AS107">
            <v>0</v>
          </cell>
          <cell r="AT107" t="str">
            <v/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 t="str">
            <v/>
          </cell>
          <cell r="BK107">
            <v>2100</v>
          </cell>
          <cell r="BL107" t="str">
            <v>0</v>
          </cell>
          <cell r="BM107" t="str">
            <v>1</v>
          </cell>
          <cell r="BN107" t="str">
            <v/>
          </cell>
          <cell r="BO107" t="str">
            <v/>
          </cell>
        </row>
        <row r="108">
          <cell r="A108">
            <v>1</v>
          </cell>
          <cell r="B108">
            <v>2112040</v>
          </cell>
          <cell r="C108" t="str">
            <v>C.A.P. RABAIS VOLUME</v>
          </cell>
          <cell r="D108" t="str">
            <v>COMPTE PROVISION ACJ</v>
          </cell>
          <cell r="E108" t="str">
            <v>N</v>
          </cell>
          <cell r="F108">
            <v>0</v>
          </cell>
          <cell r="G108">
            <v>0</v>
          </cell>
          <cell r="H108">
            <v>-52855.13</v>
          </cell>
          <cell r="I108">
            <v>5867095.6799999997</v>
          </cell>
          <cell r="J108">
            <v>3576385.97</v>
          </cell>
          <cell r="K108">
            <v>0</v>
          </cell>
          <cell r="L108">
            <v>0</v>
          </cell>
          <cell r="M108">
            <v>52855.13</v>
          </cell>
          <cell r="N108">
            <v>-39048.61</v>
          </cell>
          <cell r="O108">
            <v>-320696.52</v>
          </cell>
          <cell r="P108">
            <v>-277723.76</v>
          </cell>
          <cell r="Q108">
            <v>-212723.76</v>
          </cell>
          <cell r="R108">
            <v>-210759.76</v>
          </cell>
          <cell r="S108">
            <v>-139088.76</v>
          </cell>
          <cell r="T108">
            <v>-66068.759999999995</v>
          </cell>
          <cell r="U108">
            <v>-52855.13</v>
          </cell>
          <cell r="V108">
            <v>-52855.13</v>
          </cell>
          <cell r="W108">
            <v>-52855.13</v>
          </cell>
          <cell r="X108">
            <v>-52855.13</v>
          </cell>
          <cell r="Y108">
            <v>0</v>
          </cell>
          <cell r="Z108">
            <v>978178.24</v>
          </cell>
          <cell r="AA108">
            <v>1032556.94</v>
          </cell>
          <cell r="AB108">
            <v>1181556.94</v>
          </cell>
          <cell r="AC108">
            <v>1294446.94</v>
          </cell>
          <cell r="AD108">
            <v>1404336.94</v>
          </cell>
          <cell r="AE108">
            <v>1524336.94</v>
          </cell>
          <cell r="AF108">
            <v>1625138.58</v>
          </cell>
          <cell r="AG108">
            <v>1775138.58</v>
          </cell>
          <cell r="AH108">
            <v>1915138.58</v>
          </cell>
          <cell r="AI108">
            <v>1999854.58</v>
          </cell>
          <cell r="AJ108">
            <v>2099854.58</v>
          </cell>
          <cell r="AK108">
            <v>2237854.58</v>
          </cell>
          <cell r="AL108">
            <v>0</v>
          </cell>
          <cell r="AM108">
            <v>0</v>
          </cell>
          <cell r="AN108" t="str">
            <v/>
          </cell>
          <cell r="AO108">
            <v>0</v>
          </cell>
          <cell r="AP108">
            <v>0</v>
          </cell>
          <cell r="AQ108">
            <v>0</v>
          </cell>
          <cell r="AR108">
            <v>420</v>
          </cell>
          <cell r="AS108">
            <v>0</v>
          </cell>
          <cell r="AT108" t="str">
            <v/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 t="str">
            <v/>
          </cell>
          <cell r="BK108">
            <v>2100</v>
          </cell>
          <cell r="BL108" t="str">
            <v>0</v>
          </cell>
          <cell r="BM108" t="str">
            <v>1</v>
          </cell>
          <cell r="BN108" t="str">
            <v/>
          </cell>
          <cell r="BO108" t="str">
            <v/>
          </cell>
        </row>
        <row r="109">
          <cell r="A109">
            <v>1</v>
          </cell>
          <cell r="B109">
            <v>2112050</v>
          </cell>
          <cell r="C109" t="str">
            <v>C.A.P. RABAIS ASSOCIATION</v>
          </cell>
          <cell r="D109" t="str">
            <v>COMPTE PAIEMENT 1998</v>
          </cell>
          <cell r="E109" t="str">
            <v>N</v>
          </cell>
          <cell r="F109">
            <v>0</v>
          </cell>
          <cell r="G109">
            <v>0</v>
          </cell>
          <cell r="H109">
            <v>-4312.4799999999996</v>
          </cell>
          <cell r="I109">
            <v>3454377.2</v>
          </cell>
          <cell r="J109">
            <v>5065118.88</v>
          </cell>
          <cell r="K109">
            <v>0</v>
          </cell>
          <cell r="L109">
            <v>0</v>
          </cell>
          <cell r="M109">
            <v>4312.4799999999996</v>
          </cell>
          <cell r="N109">
            <v>0</v>
          </cell>
          <cell r="O109">
            <v>-3984.28</v>
          </cell>
          <cell r="P109">
            <v>-4312.4799999999996</v>
          </cell>
          <cell r="Q109">
            <v>-4312.4799999999996</v>
          </cell>
          <cell r="R109">
            <v>-4312.4799999999996</v>
          </cell>
          <cell r="S109">
            <v>-4312.4799999999996</v>
          </cell>
          <cell r="T109">
            <v>-4312.4799999999996</v>
          </cell>
          <cell r="U109">
            <v>-4312.4799999999996</v>
          </cell>
          <cell r="V109">
            <v>-4312.4799999999996</v>
          </cell>
          <cell r="W109">
            <v>-4312.4799999999996</v>
          </cell>
          <cell r="X109">
            <v>-4312.4799999999996</v>
          </cell>
          <cell r="Y109">
            <v>0</v>
          </cell>
          <cell r="Z109">
            <v>-382962.78</v>
          </cell>
          <cell r="AA109">
            <v>-448886.86</v>
          </cell>
          <cell r="AB109">
            <v>-608084.5</v>
          </cell>
          <cell r="AC109">
            <v>-888572.68</v>
          </cell>
          <cell r="AD109">
            <v>-888572.68</v>
          </cell>
          <cell r="AE109">
            <v>-968978.52</v>
          </cell>
          <cell r="AF109">
            <v>-1284054.2</v>
          </cell>
          <cell r="AG109">
            <v>-1286159.2</v>
          </cell>
          <cell r="AH109">
            <v>-1286704.73</v>
          </cell>
          <cell r="AI109">
            <v>-1606448.96</v>
          </cell>
          <cell r="AJ109">
            <v>-1606448.96</v>
          </cell>
          <cell r="AK109">
            <v>-1615054.16</v>
          </cell>
          <cell r="AL109">
            <v>0</v>
          </cell>
          <cell r="AM109">
            <v>0</v>
          </cell>
          <cell r="AN109" t="str">
            <v/>
          </cell>
          <cell r="AO109">
            <v>0</v>
          </cell>
          <cell r="AP109">
            <v>0</v>
          </cell>
          <cell r="AQ109">
            <v>0</v>
          </cell>
          <cell r="AR109">
            <v>420</v>
          </cell>
          <cell r="AS109">
            <v>0</v>
          </cell>
          <cell r="AT109" t="str">
            <v/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 t="str">
            <v/>
          </cell>
          <cell r="BK109">
            <v>2100</v>
          </cell>
          <cell r="BL109" t="str">
            <v>0</v>
          </cell>
          <cell r="BM109" t="str">
            <v>1</v>
          </cell>
          <cell r="BN109" t="str">
            <v/>
          </cell>
          <cell r="BO109" t="str">
            <v/>
          </cell>
        </row>
        <row r="110">
          <cell r="A110">
            <v>1</v>
          </cell>
          <cell r="B110">
            <v>2113010</v>
          </cell>
          <cell r="C110" t="str">
            <v>C.A.P.</v>
          </cell>
          <cell r="D110" t="str">
            <v>COURUS - GLOBAL</v>
          </cell>
          <cell r="E110" t="str">
            <v>N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 t="str">
            <v/>
          </cell>
          <cell r="AO110">
            <v>0</v>
          </cell>
          <cell r="AP110">
            <v>0</v>
          </cell>
          <cell r="AQ110">
            <v>0</v>
          </cell>
          <cell r="AR110">
            <v>420</v>
          </cell>
          <cell r="AS110">
            <v>0</v>
          </cell>
          <cell r="AT110" t="str">
            <v/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 t="str">
            <v/>
          </cell>
          <cell r="BK110">
            <v>2100</v>
          </cell>
          <cell r="BL110" t="str">
            <v>0</v>
          </cell>
          <cell r="BM110" t="str">
            <v>1</v>
          </cell>
          <cell r="BN110" t="str">
            <v/>
          </cell>
          <cell r="BO110" t="str">
            <v/>
          </cell>
        </row>
        <row r="111">
          <cell r="A111">
            <v>1</v>
          </cell>
          <cell r="B111">
            <v>2113901</v>
          </cell>
          <cell r="C111" t="str">
            <v>C.A.P.</v>
          </cell>
          <cell r="D111" t="str">
            <v>DEPOT INTERCO</v>
          </cell>
          <cell r="E111" t="str">
            <v>N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</v>
          </cell>
          <cell r="AN111" t="str">
            <v/>
          </cell>
          <cell r="AO111">
            <v>0</v>
          </cell>
          <cell r="AP111">
            <v>0</v>
          </cell>
          <cell r="AQ111">
            <v>0</v>
          </cell>
          <cell r="AR111">
            <v>420</v>
          </cell>
          <cell r="AS111">
            <v>0</v>
          </cell>
          <cell r="AT111" t="str">
            <v/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 t="str">
            <v/>
          </cell>
          <cell r="BK111">
            <v>2100</v>
          </cell>
          <cell r="BL111" t="str">
            <v/>
          </cell>
          <cell r="BM111" t="str">
            <v>1</v>
          </cell>
          <cell r="BN111" t="str">
            <v/>
          </cell>
          <cell r="BO111" t="str">
            <v/>
          </cell>
        </row>
        <row r="112">
          <cell r="A112">
            <v>1</v>
          </cell>
          <cell r="B112">
            <v>2116000</v>
          </cell>
          <cell r="C112" t="str">
            <v>C.A.P.</v>
          </cell>
          <cell r="D112" t="str">
            <v>FRAIS DE GESTION</v>
          </cell>
          <cell r="E112" t="str">
            <v>N</v>
          </cell>
          <cell r="F112">
            <v>0</v>
          </cell>
          <cell r="G112">
            <v>0</v>
          </cell>
          <cell r="H112">
            <v>128193.08</v>
          </cell>
          <cell r="I112">
            <v>1489428.86</v>
          </cell>
          <cell r="J112">
            <v>1526537.87</v>
          </cell>
          <cell r="K112">
            <v>0</v>
          </cell>
          <cell r="L112">
            <v>128200.23</v>
          </cell>
          <cell r="M112">
            <v>67505.490000000005</v>
          </cell>
          <cell r="N112">
            <v>167968.44</v>
          </cell>
          <cell r="O112">
            <v>15699.2</v>
          </cell>
          <cell r="P112">
            <v>65232.36</v>
          </cell>
          <cell r="Q112">
            <v>76314.559999999998</v>
          </cell>
          <cell r="R112">
            <v>190917.68</v>
          </cell>
          <cell r="S112">
            <v>93040.43</v>
          </cell>
          <cell r="T112">
            <v>134585.78</v>
          </cell>
          <cell r="U112">
            <v>103654.61</v>
          </cell>
          <cell r="V112">
            <v>99619.72</v>
          </cell>
          <cell r="W112">
            <v>113044.28</v>
          </cell>
          <cell r="X112">
            <v>128193.08</v>
          </cell>
          <cell r="Y112">
            <v>67498.34</v>
          </cell>
          <cell r="Z112">
            <v>61229.54</v>
          </cell>
          <cell r="AA112">
            <v>64837.5</v>
          </cell>
          <cell r="AB112">
            <v>87259.57</v>
          </cell>
          <cell r="AC112">
            <v>83436.62</v>
          </cell>
          <cell r="AD112">
            <v>186699.95</v>
          </cell>
          <cell r="AE112">
            <v>111362.45</v>
          </cell>
          <cell r="AF112">
            <v>123082.37</v>
          </cell>
          <cell r="AG112">
            <v>110236.96</v>
          </cell>
          <cell r="AH112">
            <v>70437.350000000006</v>
          </cell>
          <cell r="AI112">
            <v>54622</v>
          </cell>
          <cell r="AJ112">
            <v>88404.800000000003</v>
          </cell>
          <cell r="AK112">
            <v>91084.07</v>
          </cell>
          <cell r="AL112">
            <v>0</v>
          </cell>
          <cell r="AM112">
            <v>0</v>
          </cell>
          <cell r="AN112" t="str">
            <v/>
          </cell>
          <cell r="AO112">
            <v>0</v>
          </cell>
          <cell r="AP112">
            <v>0</v>
          </cell>
          <cell r="AQ112">
            <v>0</v>
          </cell>
          <cell r="AR112">
            <v>430</v>
          </cell>
          <cell r="AS112">
            <v>0</v>
          </cell>
          <cell r="AT112" t="str">
            <v/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 t="str">
            <v/>
          </cell>
          <cell r="BK112">
            <v>2100</v>
          </cell>
          <cell r="BL112" t="str">
            <v>0</v>
          </cell>
          <cell r="BM112" t="str">
            <v>1</v>
          </cell>
          <cell r="BN112" t="str">
            <v/>
          </cell>
          <cell r="BO112" t="str">
            <v/>
          </cell>
        </row>
        <row r="113">
          <cell r="A113">
            <v>1</v>
          </cell>
          <cell r="B113">
            <v>2116010</v>
          </cell>
          <cell r="C113" t="str">
            <v>C.A.P.</v>
          </cell>
          <cell r="D113" t="str">
            <v>PARTAGE DIRECTION</v>
          </cell>
          <cell r="E113" t="str">
            <v>N</v>
          </cell>
          <cell r="F113">
            <v>0</v>
          </cell>
          <cell r="G113">
            <v>0</v>
          </cell>
          <cell r="H113">
            <v>33025.300000000003</v>
          </cell>
          <cell r="I113">
            <v>126657.96</v>
          </cell>
          <cell r="J113">
            <v>118281.55</v>
          </cell>
          <cell r="K113">
            <v>0</v>
          </cell>
          <cell r="L113">
            <v>10174</v>
          </cell>
          <cell r="M113">
            <v>5737.36</v>
          </cell>
          <cell r="N113">
            <v>42797.88</v>
          </cell>
          <cell r="O113">
            <v>44131.42</v>
          </cell>
          <cell r="P113">
            <v>23617.26</v>
          </cell>
          <cell r="Q113">
            <v>23907.08</v>
          </cell>
          <cell r="R113">
            <v>33648.339999999997</v>
          </cell>
          <cell r="S113">
            <v>34304.83</v>
          </cell>
          <cell r="T113">
            <v>24975.69</v>
          </cell>
          <cell r="U113">
            <v>20364.689999999999</v>
          </cell>
          <cell r="V113">
            <v>21061.72</v>
          </cell>
          <cell r="W113">
            <v>22128.89</v>
          </cell>
          <cell r="X113">
            <v>33025.300000000003</v>
          </cell>
          <cell r="Y113">
            <v>28588.66</v>
          </cell>
          <cell r="Z113">
            <v>42331.47</v>
          </cell>
          <cell r="AA113">
            <v>47871.09</v>
          </cell>
          <cell r="AB113">
            <v>38083.589999999997</v>
          </cell>
          <cell r="AC113">
            <v>39337.129999999997</v>
          </cell>
          <cell r="AD113">
            <v>40230.51</v>
          </cell>
          <cell r="AE113">
            <v>-10625.29</v>
          </cell>
          <cell r="AF113">
            <v>-27024.94</v>
          </cell>
          <cell r="AG113">
            <v>-28735.52</v>
          </cell>
          <cell r="AH113">
            <v>-32682.11</v>
          </cell>
          <cell r="AI113">
            <v>-27853.040000000001</v>
          </cell>
          <cell r="AJ113">
            <v>-26690.44</v>
          </cell>
          <cell r="AK113">
            <v>41401.71</v>
          </cell>
          <cell r="AL113">
            <v>0</v>
          </cell>
          <cell r="AM113">
            <v>0</v>
          </cell>
          <cell r="AN113" t="str">
            <v/>
          </cell>
          <cell r="AO113">
            <v>0</v>
          </cell>
          <cell r="AP113">
            <v>0</v>
          </cell>
          <cell r="AQ113">
            <v>0</v>
          </cell>
          <cell r="AR113">
            <v>420</v>
          </cell>
          <cell r="AS113">
            <v>0</v>
          </cell>
          <cell r="AT113" t="str">
            <v/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 t="str">
            <v/>
          </cell>
          <cell r="BK113">
            <v>2100</v>
          </cell>
          <cell r="BL113" t="str">
            <v/>
          </cell>
          <cell r="BM113" t="str">
            <v>1</v>
          </cell>
          <cell r="BN113" t="str">
            <v/>
          </cell>
          <cell r="BO113" t="str">
            <v/>
          </cell>
        </row>
        <row r="114">
          <cell r="A114">
            <v>1</v>
          </cell>
          <cell r="B114">
            <v>2116900</v>
          </cell>
          <cell r="C114" t="str">
            <v>C.A.P.</v>
          </cell>
          <cell r="D114" t="str">
            <v>PARTAGE SYNDIQUES</v>
          </cell>
          <cell r="E114" t="str">
            <v>N</v>
          </cell>
          <cell r="F114">
            <v>0</v>
          </cell>
          <cell r="G114">
            <v>0</v>
          </cell>
          <cell r="H114">
            <v>333976.55</v>
          </cell>
          <cell r="I114">
            <v>900287.74</v>
          </cell>
          <cell r="J114">
            <v>924314.9</v>
          </cell>
          <cell r="K114">
            <v>0</v>
          </cell>
          <cell r="L114">
            <v>83800</v>
          </cell>
          <cell r="M114">
            <v>39824.019999999997</v>
          </cell>
          <cell r="N114">
            <v>252087.08</v>
          </cell>
          <cell r="O114">
            <v>260637.46</v>
          </cell>
          <cell r="P114">
            <v>299104.37</v>
          </cell>
          <cell r="Q114">
            <v>344109.69</v>
          </cell>
          <cell r="R114">
            <v>245446.52</v>
          </cell>
          <cell r="S114">
            <v>300319.90999999997</v>
          </cell>
          <cell r="T114">
            <v>334355.20000000001</v>
          </cell>
          <cell r="U114">
            <v>395749.91</v>
          </cell>
          <cell r="V114">
            <v>454764.03</v>
          </cell>
          <cell r="W114">
            <v>522038.56</v>
          </cell>
          <cell r="X114">
            <v>333976.55</v>
          </cell>
          <cell r="Y114">
            <v>290000.57</v>
          </cell>
          <cell r="Z114">
            <v>166708.44</v>
          </cell>
          <cell r="AA114">
            <v>205159.9</v>
          </cell>
          <cell r="AB114">
            <v>256840.41</v>
          </cell>
          <cell r="AC114">
            <v>306265.33</v>
          </cell>
          <cell r="AD114">
            <v>367190.7</v>
          </cell>
          <cell r="AE114">
            <v>280624.55</v>
          </cell>
          <cell r="AF114">
            <v>353439.95</v>
          </cell>
          <cell r="AG114">
            <v>401391.98</v>
          </cell>
          <cell r="AH114">
            <v>444242.73</v>
          </cell>
          <cell r="AI114">
            <v>477762.18</v>
          </cell>
          <cell r="AJ114">
            <v>531213.4</v>
          </cell>
          <cell r="AK114">
            <v>309949.39</v>
          </cell>
          <cell r="AL114">
            <v>0</v>
          </cell>
          <cell r="AM114">
            <v>0</v>
          </cell>
          <cell r="AN114" t="str">
            <v/>
          </cell>
          <cell r="AO114">
            <v>0</v>
          </cell>
          <cell r="AP114">
            <v>0</v>
          </cell>
          <cell r="AQ114">
            <v>0</v>
          </cell>
          <cell r="AR114">
            <v>420</v>
          </cell>
          <cell r="AS114">
            <v>0</v>
          </cell>
          <cell r="AT114" t="str">
            <v/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 t="str">
            <v/>
          </cell>
          <cell r="BK114">
            <v>2100</v>
          </cell>
          <cell r="BL114" t="str">
            <v/>
          </cell>
          <cell r="BM114" t="str">
            <v>1</v>
          </cell>
          <cell r="BN114" t="str">
            <v/>
          </cell>
          <cell r="BO114" t="str">
            <v/>
          </cell>
        </row>
        <row r="115">
          <cell r="A115">
            <v>1</v>
          </cell>
          <cell r="B115">
            <v>2117000</v>
          </cell>
          <cell r="C115" t="str">
            <v>C.A.P.</v>
          </cell>
          <cell r="D115" t="str">
            <v>TPS A PAYER</v>
          </cell>
          <cell r="E115" t="str">
            <v>N</v>
          </cell>
          <cell r="F115">
            <v>0</v>
          </cell>
          <cell r="G115">
            <v>0</v>
          </cell>
          <cell r="H115">
            <v>0</v>
          </cell>
          <cell r="I115">
            <v>19589.63</v>
          </cell>
          <cell r="J115">
            <v>19589.63</v>
          </cell>
          <cell r="K115">
            <v>0</v>
          </cell>
          <cell r="L115">
            <v>3154.66</v>
          </cell>
          <cell r="M115">
            <v>3154.66</v>
          </cell>
          <cell r="N115">
            <v>732.34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2162.9499999999998</v>
          </cell>
          <cell r="X115">
            <v>0</v>
          </cell>
          <cell r="Y115">
            <v>0</v>
          </cell>
          <cell r="Z115">
            <v>0</v>
          </cell>
          <cell r="AA115">
            <v>531.23</v>
          </cell>
          <cell r="AB115">
            <v>0</v>
          </cell>
          <cell r="AC115">
            <v>-101.4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 t="str">
            <v/>
          </cell>
          <cell r="AO115">
            <v>0</v>
          </cell>
          <cell r="AP115">
            <v>0</v>
          </cell>
          <cell r="AQ115">
            <v>0</v>
          </cell>
          <cell r="AR115">
            <v>420</v>
          </cell>
          <cell r="AS115">
            <v>0</v>
          </cell>
          <cell r="AT115" t="str">
            <v/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 t="str">
            <v/>
          </cell>
          <cell r="BK115">
            <v>2100</v>
          </cell>
          <cell r="BL115" t="str">
            <v/>
          </cell>
          <cell r="BM115" t="str">
            <v>1</v>
          </cell>
          <cell r="BN115" t="str">
            <v/>
          </cell>
          <cell r="BO115" t="str">
            <v/>
          </cell>
        </row>
        <row r="116">
          <cell r="A116">
            <v>1</v>
          </cell>
          <cell r="B116">
            <v>2117010</v>
          </cell>
          <cell r="C116" t="str">
            <v>C.A.P.</v>
          </cell>
          <cell r="D116" t="str">
            <v>TVQ A PAYER</v>
          </cell>
          <cell r="E116" t="str">
            <v>N</v>
          </cell>
          <cell r="F116">
            <v>0</v>
          </cell>
          <cell r="G116">
            <v>0</v>
          </cell>
          <cell r="H116">
            <v>0</v>
          </cell>
          <cell r="I116">
            <v>10470.129999999999</v>
          </cell>
          <cell r="J116">
            <v>10470.129999999999</v>
          </cell>
          <cell r="K116">
            <v>0</v>
          </cell>
          <cell r="L116">
            <v>1628.62</v>
          </cell>
          <cell r="M116">
            <v>1628.62</v>
          </cell>
          <cell r="N116">
            <v>839.58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1205.54</v>
          </cell>
          <cell r="X116">
            <v>0</v>
          </cell>
          <cell r="Y116">
            <v>0</v>
          </cell>
          <cell r="Z116">
            <v>0</v>
          </cell>
          <cell r="AA116">
            <v>404.38</v>
          </cell>
          <cell r="AB116">
            <v>0</v>
          </cell>
          <cell r="AC116">
            <v>-1985.52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 t="str">
            <v/>
          </cell>
          <cell r="AO116">
            <v>0</v>
          </cell>
          <cell r="AP116">
            <v>0</v>
          </cell>
          <cell r="AQ116">
            <v>0</v>
          </cell>
          <cell r="AR116">
            <v>420</v>
          </cell>
          <cell r="AS116">
            <v>0</v>
          </cell>
          <cell r="AT116" t="str">
            <v/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 t="str">
            <v/>
          </cell>
          <cell r="BK116">
            <v>2100</v>
          </cell>
          <cell r="BL116" t="str">
            <v/>
          </cell>
          <cell r="BM116" t="str">
            <v>1</v>
          </cell>
          <cell r="BN116" t="str">
            <v/>
          </cell>
          <cell r="BO116" t="str">
            <v/>
          </cell>
        </row>
        <row r="117">
          <cell r="A117">
            <v>1</v>
          </cell>
          <cell r="B117">
            <v>2117015</v>
          </cell>
          <cell r="C117" t="str">
            <v>C.A.P.</v>
          </cell>
          <cell r="D117" t="str">
            <v>CLEARING TPS ET TVQ</v>
          </cell>
          <cell r="E117" t="str">
            <v>N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5</v>
          </cell>
          <cell r="AN117" t="str">
            <v/>
          </cell>
          <cell r="AO117">
            <v>0</v>
          </cell>
          <cell r="AP117">
            <v>0</v>
          </cell>
          <cell r="AQ117">
            <v>0</v>
          </cell>
          <cell r="AR117">
            <v>420</v>
          </cell>
          <cell r="AS117">
            <v>0</v>
          </cell>
          <cell r="AT117" t="str">
            <v/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 t="str">
            <v/>
          </cell>
          <cell r="BK117">
            <v>2100</v>
          </cell>
          <cell r="BL117" t="str">
            <v/>
          </cell>
          <cell r="BM117" t="str">
            <v>1</v>
          </cell>
          <cell r="BN117" t="str">
            <v/>
          </cell>
          <cell r="BO117" t="str">
            <v/>
          </cell>
        </row>
        <row r="118">
          <cell r="A118">
            <v>1</v>
          </cell>
          <cell r="B118">
            <v>2142000</v>
          </cell>
          <cell r="C118" t="str">
            <v>D.A.S. D005 007</v>
          </cell>
          <cell r="D118" t="str">
            <v>IMPOT FEDERAL</v>
          </cell>
          <cell r="E118" t="str">
            <v>N</v>
          </cell>
          <cell r="F118">
            <v>0</v>
          </cell>
          <cell r="G118">
            <v>0</v>
          </cell>
          <cell r="H118">
            <v>1016458.54</v>
          </cell>
          <cell r="I118">
            <v>1143205.27</v>
          </cell>
          <cell r="J118">
            <v>997563.71</v>
          </cell>
          <cell r="K118">
            <v>0</v>
          </cell>
          <cell r="L118">
            <v>14642.78</v>
          </cell>
          <cell r="M118">
            <v>63856.15</v>
          </cell>
          <cell r="N118">
            <v>123811.73</v>
          </cell>
          <cell r="O118">
            <v>200865.07</v>
          </cell>
          <cell r="P118">
            <v>291816.59000000003</v>
          </cell>
          <cell r="Q118">
            <v>364819.94</v>
          </cell>
          <cell r="R118">
            <v>467451.24</v>
          </cell>
          <cell r="S118">
            <v>570214.02</v>
          </cell>
          <cell r="T118">
            <v>657221.19999999995</v>
          </cell>
          <cell r="U118">
            <v>747825.91</v>
          </cell>
          <cell r="V118">
            <v>819842.46</v>
          </cell>
          <cell r="W118">
            <v>892246.38</v>
          </cell>
          <cell r="X118">
            <v>1016458.54</v>
          </cell>
          <cell r="Y118">
            <v>1065671.9099999999</v>
          </cell>
          <cell r="Z118">
            <v>146778.23999999999</v>
          </cell>
          <cell r="AA118">
            <v>243692.19</v>
          </cell>
          <cell r="AB118">
            <v>366594.02</v>
          </cell>
          <cell r="AC118">
            <v>450080.47</v>
          </cell>
          <cell r="AD118">
            <v>526947.94999999995</v>
          </cell>
          <cell r="AE118">
            <v>636595.88</v>
          </cell>
          <cell r="AF118">
            <v>738219.4</v>
          </cell>
          <cell r="AG118">
            <v>816577.77</v>
          </cell>
          <cell r="AH118">
            <v>896443.13</v>
          </cell>
          <cell r="AI118">
            <v>992058.51</v>
          </cell>
          <cell r="AJ118">
            <v>1064696.94</v>
          </cell>
          <cell r="AK118">
            <v>1162100.1000000001</v>
          </cell>
          <cell r="AL118">
            <v>0</v>
          </cell>
          <cell r="AM118">
            <v>0</v>
          </cell>
          <cell r="AN118" t="str">
            <v/>
          </cell>
          <cell r="AO118">
            <v>0</v>
          </cell>
          <cell r="AP118">
            <v>0</v>
          </cell>
          <cell r="AQ118">
            <v>0</v>
          </cell>
          <cell r="AR118">
            <v>420</v>
          </cell>
          <cell r="AS118">
            <v>0</v>
          </cell>
          <cell r="AT118" t="str">
            <v/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 t="str">
            <v/>
          </cell>
          <cell r="BK118">
            <v>2100</v>
          </cell>
          <cell r="BL118" t="str">
            <v>0</v>
          </cell>
          <cell r="BM118" t="str">
            <v>1</v>
          </cell>
          <cell r="BN118" t="str">
            <v/>
          </cell>
          <cell r="BO118" t="str">
            <v/>
          </cell>
        </row>
        <row r="119">
          <cell r="A119">
            <v>1</v>
          </cell>
          <cell r="B119">
            <v>2142005</v>
          </cell>
          <cell r="C119" t="str">
            <v>D.A.S.</v>
          </cell>
          <cell r="D119" t="str">
            <v>IMPOT FEDERAL</v>
          </cell>
          <cell r="E119" t="str">
            <v>N</v>
          </cell>
          <cell r="F119">
            <v>0</v>
          </cell>
          <cell r="G119">
            <v>0</v>
          </cell>
          <cell r="H119">
            <v>-983045.76</v>
          </cell>
          <cell r="I119">
            <v>983045.76</v>
          </cell>
          <cell r="J119">
            <v>1143205.27</v>
          </cell>
          <cell r="K119">
            <v>0</v>
          </cell>
          <cell r="L119">
            <v>82625.850000000006</v>
          </cell>
          <cell r="M119">
            <v>0</v>
          </cell>
          <cell r="N119">
            <v>-106082.44</v>
          </cell>
          <cell r="O119">
            <v>-180988.79</v>
          </cell>
          <cell r="P119">
            <v>-274349.88</v>
          </cell>
          <cell r="Q119">
            <v>-347256.49</v>
          </cell>
          <cell r="R119">
            <v>-448466.75</v>
          </cell>
          <cell r="S119">
            <v>-550514.44999999995</v>
          </cell>
          <cell r="T119">
            <v>-638578.80000000005</v>
          </cell>
          <cell r="U119">
            <v>-712154.71</v>
          </cell>
          <cell r="V119">
            <v>-801446.07</v>
          </cell>
          <cell r="W119">
            <v>-874180.44</v>
          </cell>
          <cell r="X119">
            <v>-983045.76</v>
          </cell>
          <cell r="Y119">
            <v>-1065671.6100000001</v>
          </cell>
          <cell r="Z119">
            <v>-120142.93</v>
          </cell>
          <cell r="AA119">
            <v>-216794.67</v>
          </cell>
          <cell r="AB119">
            <v>-313424.12</v>
          </cell>
          <cell r="AC119">
            <v>-436070.6</v>
          </cell>
          <cell r="AD119">
            <v>-506048.21</v>
          </cell>
          <cell r="AE119">
            <v>-614185.94999999995</v>
          </cell>
          <cell r="AF119">
            <v>-722397.22</v>
          </cell>
          <cell r="AG119">
            <v>-797555.25</v>
          </cell>
          <cell r="AH119">
            <v>-896442.83</v>
          </cell>
          <cell r="AI119">
            <v>-973289.97</v>
          </cell>
          <cell r="AJ119">
            <v>-1047398.33</v>
          </cell>
          <cell r="AK119">
            <v>-1143205.27</v>
          </cell>
          <cell r="AL119">
            <v>0</v>
          </cell>
          <cell r="AM119">
            <v>5</v>
          </cell>
          <cell r="AN119" t="str">
            <v/>
          </cell>
          <cell r="AO119">
            <v>0</v>
          </cell>
          <cell r="AP119">
            <v>0</v>
          </cell>
          <cell r="AQ119">
            <v>0</v>
          </cell>
          <cell r="AR119">
            <v>420</v>
          </cell>
          <cell r="AS119">
            <v>0</v>
          </cell>
          <cell r="AT119" t="str">
            <v/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 t="str">
            <v/>
          </cell>
          <cell r="BK119">
            <v>2100</v>
          </cell>
          <cell r="BL119" t="str">
            <v/>
          </cell>
          <cell r="BM119" t="str">
            <v>1</v>
          </cell>
          <cell r="BN119" t="str">
            <v/>
          </cell>
          <cell r="BO119" t="str">
            <v/>
          </cell>
        </row>
        <row r="120">
          <cell r="A120">
            <v>1</v>
          </cell>
          <cell r="B120">
            <v>2142010</v>
          </cell>
          <cell r="C120" t="str">
            <v>D.A.S. D006 007</v>
          </cell>
          <cell r="D120" t="str">
            <v>IMPOT PROVINCIAL</v>
          </cell>
          <cell r="E120" t="str">
            <v>N</v>
          </cell>
          <cell r="F120">
            <v>0</v>
          </cell>
          <cell r="G120">
            <v>0</v>
          </cell>
          <cell r="H120">
            <v>1182350.4099999999</v>
          </cell>
          <cell r="I120">
            <v>1443818.1</v>
          </cell>
          <cell r="J120">
            <v>1713290.77</v>
          </cell>
          <cell r="K120">
            <v>0</v>
          </cell>
          <cell r="L120">
            <v>0</v>
          </cell>
          <cell r="M120">
            <v>74597.919999999998</v>
          </cell>
          <cell r="N120">
            <v>147984.46</v>
          </cell>
          <cell r="O120">
            <v>240714.65</v>
          </cell>
          <cell r="P120">
            <v>350097.71</v>
          </cell>
          <cell r="Q120">
            <v>437765.17</v>
          </cell>
          <cell r="R120">
            <v>550351.49</v>
          </cell>
          <cell r="S120">
            <v>665761.54</v>
          </cell>
          <cell r="T120">
            <v>766554.14</v>
          </cell>
          <cell r="U120">
            <v>872956.12</v>
          </cell>
          <cell r="V120">
            <v>957793.71</v>
          </cell>
          <cell r="W120">
            <v>1043018.16</v>
          </cell>
          <cell r="X120">
            <v>1182350.4099999999</v>
          </cell>
          <cell r="Y120">
            <v>1256948.33</v>
          </cell>
          <cell r="Z120">
            <v>-366564.81</v>
          </cell>
          <cell r="AA120">
            <v>-242293.39</v>
          </cell>
          <cell r="AB120">
            <v>-84246.11</v>
          </cell>
          <cell r="AC120">
            <v>22573.5</v>
          </cell>
          <cell r="AD120">
            <v>119013.09</v>
          </cell>
          <cell r="AE120">
            <v>249490.52</v>
          </cell>
          <cell r="AF120">
            <v>378495.22</v>
          </cell>
          <cell r="AG120">
            <v>477890.77</v>
          </cell>
          <cell r="AH120">
            <v>579715.77</v>
          </cell>
          <cell r="AI120">
            <v>702331.99</v>
          </cell>
          <cell r="AJ120">
            <v>795159.46</v>
          </cell>
          <cell r="AK120">
            <v>912877.74</v>
          </cell>
          <cell r="AL120">
            <v>0</v>
          </cell>
          <cell r="AM120">
            <v>0</v>
          </cell>
          <cell r="AN120" t="str">
            <v/>
          </cell>
          <cell r="AO120">
            <v>0</v>
          </cell>
          <cell r="AP120">
            <v>0</v>
          </cell>
          <cell r="AQ120">
            <v>0</v>
          </cell>
          <cell r="AR120">
            <v>420</v>
          </cell>
          <cell r="AS120">
            <v>0</v>
          </cell>
          <cell r="AT120" t="str">
            <v/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 t="str">
            <v/>
          </cell>
          <cell r="BK120">
            <v>2100</v>
          </cell>
          <cell r="BL120" t="str">
            <v>0</v>
          </cell>
          <cell r="BM120" t="str">
            <v>1</v>
          </cell>
          <cell r="BN120" t="str">
            <v/>
          </cell>
          <cell r="BO120" t="str">
            <v/>
          </cell>
        </row>
        <row r="121">
          <cell r="A121">
            <v>1</v>
          </cell>
          <cell r="B121">
            <v>2142015</v>
          </cell>
          <cell r="C121" t="str">
            <v>D.A.S.</v>
          </cell>
          <cell r="D121" t="str">
            <v>IMPOT PROVINCIAL REMISE</v>
          </cell>
          <cell r="E121" t="str">
            <v>N</v>
          </cell>
          <cell r="F121">
            <v>0</v>
          </cell>
          <cell r="G121">
            <v>0</v>
          </cell>
          <cell r="H121">
            <v>-1142986.71</v>
          </cell>
          <cell r="I121">
            <v>1699285.71</v>
          </cell>
          <cell r="J121">
            <v>1443818.1</v>
          </cell>
          <cell r="K121">
            <v>0</v>
          </cell>
          <cell r="L121">
            <v>113962.14</v>
          </cell>
          <cell r="M121">
            <v>0</v>
          </cell>
          <cell r="N121">
            <v>-126549.43</v>
          </cell>
          <cell r="O121">
            <v>-216843.92</v>
          </cell>
          <cell r="P121">
            <v>-329018.27</v>
          </cell>
          <cell r="Q121">
            <v>-416690.56</v>
          </cell>
          <cell r="R121">
            <v>-528881.65</v>
          </cell>
          <cell r="S121">
            <v>-643640.75</v>
          </cell>
          <cell r="T121">
            <v>-744512.12</v>
          </cell>
          <cell r="U121">
            <v>-830706.58</v>
          </cell>
          <cell r="V121">
            <v>-936022.23</v>
          </cell>
          <cell r="W121">
            <v>-1021742.14</v>
          </cell>
          <cell r="X121">
            <v>-1142986.71</v>
          </cell>
          <cell r="Y121">
            <v>-1256948.8500000001</v>
          </cell>
          <cell r="Z121">
            <v>402449.96</v>
          </cell>
          <cell r="AA121">
            <v>278040.12</v>
          </cell>
          <cell r="AB121">
            <v>154179.79</v>
          </cell>
          <cell r="AC121">
            <v>-3135.77</v>
          </cell>
          <cell r="AD121">
            <v>-91385.11</v>
          </cell>
          <cell r="AE121">
            <v>-220180.41</v>
          </cell>
          <cell r="AF121">
            <v>-356630.79</v>
          </cell>
          <cell r="AG121">
            <v>-451787.19</v>
          </cell>
          <cell r="AH121">
            <v>-578108.87</v>
          </cell>
          <cell r="AI121">
            <v>-676559.12</v>
          </cell>
          <cell r="AJ121">
            <v>-771326.29</v>
          </cell>
          <cell r="AK121">
            <v>-887519.1</v>
          </cell>
          <cell r="AL121">
            <v>0</v>
          </cell>
          <cell r="AM121">
            <v>5</v>
          </cell>
          <cell r="AN121" t="str">
            <v/>
          </cell>
          <cell r="AO121">
            <v>0</v>
          </cell>
          <cell r="AP121">
            <v>0</v>
          </cell>
          <cell r="AQ121">
            <v>0</v>
          </cell>
          <cell r="AR121">
            <v>420</v>
          </cell>
          <cell r="AS121">
            <v>0</v>
          </cell>
          <cell r="AT121" t="str">
            <v/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 t="str">
            <v/>
          </cell>
          <cell r="BK121">
            <v>2100</v>
          </cell>
          <cell r="BL121" t="str">
            <v/>
          </cell>
          <cell r="BM121" t="str">
            <v>1</v>
          </cell>
          <cell r="BN121" t="str">
            <v/>
          </cell>
          <cell r="BO121" t="str">
            <v/>
          </cell>
        </row>
        <row r="122">
          <cell r="A122">
            <v>1</v>
          </cell>
          <cell r="B122">
            <v>2142020</v>
          </cell>
          <cell r="C122" t="str">
            <v>D.A.S. D003 004</v>
          </cell>
          <cell r="D122" t="str">
            <v>ASS CHOMAGE</v>
          </cell>
          <cell r="E122" t="str">
            <v>N</v>
          </cell>
          <cell r="F122">
            <v>0</v>
          </cell>
          <cell r="G122">
            <v>0</v>
          </cell>
          <cell r="H122">
            <v>173930.57</v>
          </cell>
          <cell r="I122">
            <v>810362.29</v>
          </cell>
          <cell r="J122">
            <v>169735.72</v>
          </cell>
          <cell r="K122">
            <v>0</v>
          </cell>
          <cell r="L122">
            <v>0</v>
          </cell>
          <cell r="M122">
            <v>4549.34</v>
          </cell>
          <cell r="N122">
            <v>22371.9</v>
          </cell>
          <cell r="O122">
            <v>37125.58</v>
          </cell>
          <cell r="P122">
            <v>54018.05</v>
          </cell>
          <cell r="Q122">
            <v>67815.679999999993</v>
          </cell>
          <cell r="R122">
            <v>86509.53</v>
          </cell>
          <cell r="S122">
            <v>105662.03</v>
          </cell>
          <cell r="T122">
            <v>120703.36</v>
          </cell>
          <cell r="U122">
            <v>137348.65</v>
          </cell>
          <cell r="V122">
            <v>149477.57</v>
          </cell>
          <cell r="W122">
            <v>160072.41</v>
          </cell>
          <cell r="X122">
            <v>173930.57</v>
          </cell>
          <cell r="Y122">
            <v>178479.91</v>
          </cell>
          <cell r="Z122">
            <v>611161.41</v>
          </cell>
          <cell r="AA122">
            <v>635005.47</v>
          </cell>
          <cell r="AB122">
            <v>663338.79</v>
          </cell>
          <cell r="AC122">
            <v>685205.21</v>
          </cell>
          <cell r="AD122">
            <v>701954.01</v>
          </cell>
          <cell r="AE122">
            <v>722338.33</v>
          </cell>
          <cell r="AF122">
            <v>743471.43</v>
          </cell>
          <cell r="AG122">
            <v>760144.59</v>
          </cell>
          <cell r="AH122">
            <v>775342.22</v>
          </cell>
          <cell r="AI122">
            <v>792132.61</v>
          </cell>
          <cell r="AJ122">
            <v>803291.22</v>
          </cell>
          <cell r="AK122">
            <v>814557.14</v>
          </cell>
          <cell r="AL122">
            <v>0</v>
          </cell>
          <cell r="AM122">
            <v>0</v>
          </cell>
          <cell r="AN122" t="str">
            <v/>
          </cell>
          <cell r="AO122">
            <v>0</v>
          </cell>
          <cell r="AP122">
            <v>0</v>
          </cell>
          <cell r="AQ122">
            <v>0</v>
          </cell>
          <cell r="AR122">
            <v>420</v>
          </cell>
          <cell r="AS122">
            <v>0</v>
          </cell>
          <cell r="AT122" t="str">
            <v/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 t="str">
            <v/>
          </cell>
          <cell r="BK122">
            <v>2100</v>
          </cell>
          <cell r="BL122" t="str">
            <v>0</v>
          </cell>
          <cell r="BM122" t="str">
            <v>1</v>
          </cell>
          <cell r="BN122" t="str">
            <v/>
          </cell>
          <cell r="BO122" t="str">
            <v/>
          </cell>
        </row>
        <row r="123">
          <cell r="A123">
            <v>1</v>
          </cell>
          <cell r="B123">
            <v>2142022</v>
          </cell>
          <cell r="C123" t="str">
            <v>D.A.S. D903</v>
          </cell>
          <cell r="D123" t="str">
            <v>ASS CHOMAGE EMPLOYEUR</v>
          </cell>
          <cell r="E123" t="str">
            <v>N</v>
          </cell>
          <cell r="F123">
            <v>0</v>
          </cell>
          <cell r="G123">
            <v>0</v>
          </cell>
          <cell r="H123">
            <v>236971.34</v>
          </cell>
          <cell r="I123">
            <v>1132167.49</v>
          </cell>
          <cell r="J123">
            <v>236971.34</v>
          </cell>
          <cell r="K123">
            <v>0</v>
          </cell>
          <cell r="L123">
            <v>0</v>
          </cell>
          <cell r="M123">
            <v>5336.97</v>
          </cell>
          <cell r="N123">
            <v>24788.45</v>
          </cell>
          <cell r="O123">
            <v>45443.71</v>
          </cell>
          <cell r="P123">
            <v>69093.240000000005</v>
          </cell>
          <cell r="Q123">
            <v>88410.03</v>
          </cell>
          <cell r="R123">
            <v>114581.54</v>
          </cell>
          <cell r="S123">
            <v>141395.15</v>
          </cell>
          <cell r="T123">
            <v>162453.1</v>
          </cell>
          <cell r="U123">
            <v>185756.53</v>
          </cell>
          <cell r="V123">
            <v>202737.08</v>
          </cell>
          <cell r="W123">
            <v>217569.89</v>
          </cell>
          <cell r="X123">
            <v>236971.34</v>
          </cell>
          <cell r="Y123">
            <v>242308.31</v>
          </cell>
          <cell r="Z123">
            <v>848862.76</v>
          </cell>
          <cell r="AA123">
            <v>881514.06</v>
          </cell>
          <cell r="AB123">
            <v>921362.63</v>
          </cell>
          <cell r="AC123">
            <v>951679.64</v>
          </cell>
          <cell r="AD123">
            <v>974523.5</v>
          </cell>
          <cell r="AE123">
            <v>1003061.7</v>
          </cell>
          <cell r="AF123">
            <v>1032648.05</v>
          </cell>
          <cell r="AG123">
            <v>1055990.32</v>
          </cell>
          <cell r="AH123">
            <v>1077266.8700000001</v>
          </cell>
          <cell r="AI123">
            <v>1100773.3600000001</v>
          </cell>
          <cell r="AJ123">
            <v>1116395.3500000001</v>
          </cell>
          <cell r="AK123">
            <v>1132167.49</v>
          </cell>
          <cell r="AL123">
            <v>0</v>
          </cell>
          <cell r="AM123">
            <v>2</v>
          </cell>
          <cell r="AN123" t="str">
            <v/>
          </cell>
          <cell r="AO123">
            <v>0</v>
          </cell>
          <cell r="AP123">
            <v>0</v>
          </cell>
          <cell r="AQ123">
            <v>0</v>
          </cell>
          <cell r="AR123">
            <v>420</v>
          </cell>
          <cell r="AS123">
            <v>0</v>
          </cell>
          <cell r="AT123" t="str">
            <v/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 t="str">
            <v/>
          </cell>
          <cell r="BK123">
            <v>2100</v>
          </cell>
          <cell r="BL123" t="str">
            <v>0</v>
          </cell>
          <cell r="BM123" t="str">
            <v>1</v>
          </cell>
          <cell r="BN123" t="str">
            <v/>
          </cell>
          <cell r="BO123" t="str">
            <v/>
          </cell>
        </row>
        <row r="124">
          <cell r="A124">
            <v>1</v>
          </cell>
          <cell r="B124">
            <v>2142025</v>
          </cell>
          <cell r="C124" t="str">
            <v>D.A.S.</v>
          </cell>
          <cell r="D124" t="str">
            <v>ASS CHOMAGE REMISE</v>
          </cell>
          <cell r="E124" t="str">
            <v>N</v>
          </cell>
          <cell r="F124">
            <v>0</v>
          </cell>
          <cell r="G124">
            <v>0</v>
          </cell>
          <cell r="H124">
            <v>-403557.75</v>
          </cell>
          <cell r="I124">
            <v>403557.75</v>
          </cell>
          <cell r="J124">
            <v>1942529.78</v>
          </cell>
          <cell r="K124">
            <v>0</v>
          </cell>
          <cell r="L124">
            <v>17230.7</v>
          </cell>
          <cell r="M124">
            <v>0</v>
          </cell>
          <cell r="N124">
            <v>-39078.6</v>
          </cell>
          <cell r="O124">
            <v>-73516.83</v>
          </cell>
          <cell r="P124">
            <v>-115069.2</v>
          </cell>
          <cell r="Q124">
            <v>-148361.54999999999</v>
          </cell>
          <cell r="R124">
            <v>-192405.35</v>
          </cell>
          <cell r="S124">
            <v>-238338.31</v>
          </cell>
          <cell r="T124">
            <v>-274473.03000000003</v>
          </cell>
          <cell r="U124">
            <v>-307387.05</v>
          </cell>
          <cell r="V124">
            <v>-344886.3</v>
          </cell>
          <cell r="W124">
            <v>-371638.44</v>
          </cell>
          <cell r="X124">
            <v>-403557.75</v>
          </cell>
          <cell r="Y124">
            <v>-420788.45</v>
          </cell>
          <cell r="Z124">
            <v>-1446387.96</v>
          </cell>
          <cell r="AA124">
            <v>-1502461.44</v>
          </cell>
          <cell r="AB124">
            <v>-1557238.22</v>
          </cell>
          <cell r="AC124">
            <v>-1629557.22</v>
          </cell>
          <cell r="AD124">
            <v>-1666188.15</v>
          </cell>
          <cell r="AE124">
            <v>-1714242.99</v>
          </cell>
          <cell r="AF124">
            <v>-1768024.94</v>
          </cell>
          <cell r="AG124">
            <v>-1806782.39</v>
          </cell>
          <cell r="AH124">
            <v>-1852609.32</v>
          </cell>
          <cell r="AI124">
            <v>-1885403.43</v>
          </cell>
          <cell r="AJ124">
            <v>-1913583.6</v>
          </cell>
          <cell r="AK124">
            <v>-1942529.78</v>
          </cell>
          <cell r="AL124">
            <v>0</v>
          </cell>
          <cell r="AM124">
            <v>5</v>
          </cell>
          <cell r="AN124" t="str">
            <v/>
          </cell>
          <cell r="AO124">
            <v>0</v>
          </cell>
          <cell r="AP124">
            <v>0</v>
          </cell>
          <cell r="AQ124">
            <v>0</v>
          </cell>
          <cell r="AR124">
            <v>420</v>
          </cell>
          <cell r="AS124">
            <v>0</v>
          </cell>
          <cell r="AT124" t="str">
            <v/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 t="str">
            <v/>
          </cell>
          <cell r="BK124">
            <v>2100</v>
          </cell>
          <cell r="BL124" t="str">
            <v/>
          </cell>
          <cell r="BM124" t="str">
            <v>1</v>
          </cell>
          <cell r="BN124" t="str">
            <v/>
          </cell>
          <cell r="BO124" t="str">
            <v/>
          </cell>
        </row>
        <row r="125">
          <cell r="A125">
            <v>1</v>
          </cell>
          <cell r="B125">
            <v>2142030</v>
          </cell>
          <cell r="C125" t="str">
            <v>D.A.S. D001 D901</v>
          </cell>
          <cell r="D125" t="str">
            <v>RRQ</v>
          </cell>
          <cell r="E125" t="str">
            <v>N</v>
          </cell>
          <cell r="F125">
            <v>0</v>
          </cell>
          <cell r="G125">
            <v>0</v>
          </cell>
          <cell r="H125">
            <v>494060.12</v>
          </cell>
          <cell r="I125">
            <v>1092171.0900000001</v>
          </cell>
          <cell r="J125">
            <v>491041.8</v>
          </cell>
          <cell r="K125">
            <v>0</v>
          </cell>
          <cell r="L125">
            <v>0</v>
          </cell>
          <cell r="M125">
            <v>9700.14</v>
          </cell>
          <cell r="N125">
            <v>56463.32</v>
          </cell>
          <cell r="O125">
            <v>100898.56</v>
          </cell>
          <cell r="P125">
            <v>151855.76</v>
          </cell>
          <cell r="Q125">
            <v>193074.42</v>
          </cell>
          <cell r="R125">
            <v>249443.86</v>
          </cell>
          <cell r="S125">
            <v>306760.24</v>
          </cell>
          <cell r="T125">
            <v>350712.78</v>
          </cell>
          <cell r="U125">
            <v>398697.14</v>
          </cell>
          <cell r="V125">
            <v>431432.18</v>
          </cell>
          <cell r="W125">
            <v>460243.28</v>
          </cell>
          <cell r="X125">
            <v>494060.12</v>
          </cell>
          <cell r="Y125">
            <v>503760.26</v>
          </cell>
          <cell r="Z125">
            <v>627237.13</v>
          </cell>
          <cell r="AA125">
            <v>680366.87</v>
          </cell>
          <cell r="AB125">
            <v>746428.29</v>
          </cell>
          <cell r="AC125">
            <v>791908.25</v>
          </cell>
          <cell r="AD125">
            <v>831878.51</v>
          </cell>
          <cell r="AE125">
            <v>883212.49</v>
          </cell>
          <cell r="AF125">
            <v>935378.03</v>
          </cell>
          <cell r="AG125">
            <v>974880.91</v>
          </cell>
          <cell r="AH125">
            <v>1010282.83</v>
          </cell>
          <cell r="AI125">
            <v>1048973.0900000001</v>
          </cell>
          <cell r="AJ125">
            <v>1073400.23</v>
          </cell>
          <cell r="AK125">
            <v>1095189.4099999999</v>
          </cell>
          <cell r="AL125">
            <v>0</v>
          </cell>
          <cell r="AM125">
            <v>0</v>
          </cell>
          <cell r="AN125" t="str">
            <v/>
          </cell>
          <cell r="AO125">
            <v>0</v>
          </cell>
          <cell r="AP125">
            <v>0</v>
          </cell>
          <cell r="AQ125">
            <v>0</v>
          </cell>
          <cell r="AR125">
            <v>420</v>
          </cell>
          <cell r="AS125">
            <v>0</v>
          </cell>
          <cell r="AT125" t="str">
            <v/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 t="str">
            <v/>
          </cell>
          <cell r="BK125">
            <v>2100</v>
          </cell>
          <cell r="BL125" t="str">
            <v>0</v>
          </cell>
          <cell r="BM125" t="str">
            <v>1</v>
          </cell>
          <cell r="BN125" t="str">
            <v/>
          </cell>
          <cell r="BO125" t="str">
            <v/>
          </cell>
        </row>
        <row r="126">
          <cell r="A126">
            <v>1</v>
          </cell>
          <cell r="B126">
            <v>2142035</v>
          </cell>
          <cell r="C126" t="str">
            <v>D.A.S.</v>
          </cell>
          <cell r="D126" t="str">
            <v>RRQ-REMISE</v>
          </cell>
          <cell r="E126" t="str">
            <v>N</v>
          </cell>
          <cell r="F126">
            <v>0</v>
          </cell>
          <cell r="G126">
            <v>0</v>
          </cell>
          <cell r="H126">
            <v>-487626.86</v>
          </cell>
          <cell r="I126">
            <v>488022.86</v>
          </cell>
          <cell r="J126">
            <v>1094174.51</v>
          </cell>
          <cell r="K126">
            <v>0</v>
          </cell>
          <cell r="L126">
            <v>16764.52</v>
          </cell>
          <cell r="M126">
            <v>0</v>
          </cell>
          <cell r="N126">
            <v>-46580.639999999999</v>
          </cell>
          <cell r="O126">
            <v>-89850.9</v>
          </cell>
          <cell r="P126">
            <v>-142118.06</v>
          </cell>
          <cell r="Q126">
            <v>-183928.1</v>
          </cell>
          <cell r="R126">
            <v>-239176.18</v>
          </cell>
          <cell r="S126">
            <v>-296671.76</v>
          </cell>
          <cell r="T126">
            <v>-340658.3</v>
          </cell>
          <cell r="U126">
            <v>-380646.96</v>
          </cell>
          <cell r="V126">
            <v>-423997.06</v>
          </cell>
          <cell r="W126">
            <v>-454237.22</v>
          </cell>
          <cell r="X126">
            <v>-487626.86</v>
          </cell>
          <cell r="Y126">
            <v>-504391.38</v>
          </cell>
          <cell r="Z126">
            <v>-614416.01</v>
          </cell>
          <cell r="AA126">
            <v>-667500.79</v>
          </cell>
          <cell r="AB126">
            <v>-719145.71</v>
          </cell>
          <cell r="AC126">
            <v>-786121.01</v>
          </cell>
          <cell r="AD126">
            <v>-822825.57</v>
          </cell>
          <cell r="AE126">
            <v>-873438.23</v>
          </cell>
          <cell r="AF126">
            <v>-929050.47</v>
          </cell>
          <cell r="AG126">
            <v>-967372.27</v>
          </cell>
          <cell r="AH126">
            <v>-1012194.37</v>
          </cell>
          <cell r="AI126">
            <v>-1043707.37</v>
          </cell>
          <cell r="AJ126">
            <v>-1070042.67</v>
          </cell>
          <cell r="AK126">
            <v>-1093778.51</v>
          </cell>
          <cell r="AL126">
            <v>0</v>
          </cell>
          <cell r="AM126">
            <v>5</v>
          </cell>
          <cell r="AN126" t="str">
            <v/>
          </cell>
          <cell r="AO126">
            <v>0</v>
          </cell>
          <cell r="AP126">
            <v>0</v>
          </cell>
          <cell r="AQ126">
            <v>0</v>
          </cell>
          <cell r="AR126">
            <v>420</v>
          </cell>
          <cell r="AS126">
            <v>0</v>
          </cell>
          <cell r="AT126" t="str">
            <v/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 t="str">
            <v/>
          </cell>
          <cell r="BK126">
            <v>2100</v>
          </cell>
          <cell r="BL126" t="str">
            <v>0</v>
          </cell>
          <cell r="BM126" t="str">
            <v>1</v>
          </cell>
          <cell r="BN126" t="str">
            <v/>
          </cell>
          <cell r="BO126" t="str">
            <v/>
          </cell>
        </row>
        <row r="127">
          <cell r="A127">
            <v>1</v>
          </cell>
          <cell r="B127">
            <v>2142040</v>
          </cell>
          <cell r="C127" t="str">
            <v>D.A.S. G953 D953</v>
          </cell>
          <cell r="D127" t="str">
            <v>F.S.S.</v>
          </cell>
          <cell r="E127" t="str">
            <v>N</v>
          </cell>
          <cell r="F127">
            <v>0</v>
          </cell>
          <cell r="G127">
            <v>0</v>
          </cell>
          <cell r="H127">
            <v>604846.48</v>
          </cell>
          <cell r="I127">
            <v>73544.350000000006</v>
          </cell>
          <cell r="J127">
            <v>336559.5</v>
          </cell>
          <cell r="K127">
            <v>0</v>
          </cell>
          <cell r="L127">
            <v>0</v>
          </cell>
          <cell r="M127">
            <v>21793.3</v>
          </cell>
          <cell r="N127">
            <v>300149.78999999998</v>
          </cell>
          <cell r="O127">
            <v>326853.74</v>
          </cell>
          <cell r="P127">
            <v>357486.87</v>
          </cell>
          <cell r="Q127">
            <v>382542.8</v>
          </cell>
          <cell r="R127">
            <v>416675.12</v>
          </cell>
          <cell r="S127">
            <v>451781.21</v>
          </cell>
          <cell r="T127">
            <v>479767.94</v>
          </cell>
          <cell r="U127">
            <v>512044.54</v>
          </cell>
          <cell r="V127">
            <v>537660.42000000004</v>
          </cell>
          <cell r="W127">
            <v>563218.30000000005</v>
          </cell>
          <cell r="X127">
            <v>604846.48</v>
          </cell>
          <cell r="Y127">
            <v>626639.78</v>
          </cell>
          <cell r="Z127">
            <v>87130.38</v>
          </cell>
          <cell r="AA127">
            <v>91129.919999999998</v>
          </cell>
          <cell r="AB127">
            <v>95762.46</v>
          </cell>
          <cell r="AC127">
            <v>100412.81</v>
          </cell>
          <cell r="AD127">
            <v>117344.95</v>
          </cell>
          <cell r="AE127">
            <v>152303.87</v>
          </cell>
          <cell r="AF127">
            <v>188871.7</v>
          </cell>
          <cell r="AG127">
            <v>218506.18</v>
          </cell>
          <cell r="AH127">
            <v>247176.09</v>
          </cell>
          <cell r="AI127">
            <v>281984.52</v>
          </cell>
          <cell r="AJ127">
            <v>308271.63</v>
          </cell>
          <cell r="AK127">
            <v>341831.33</v>
          </cell>
          <cell r="AL127">
            <v>0</v>
          </cell>
          <cell r="AM127">
            <v>0</v>
          </cell>
          <cell r="AN127" t="str">
            <v/>
          </cell>
          <cell r="AO127">
            <v>0</v>
          </cell>
          <cell r="AP127">
            <v>0</v>
          </cell>
          <cell r="AQ127">
            <v>0</v>
          </cell>
          <cell r="AR127">
            <v>420</v>
          </cell>
          <cell r="AS127">
            <v>0</v>
          </cell>
          <cell r="AT127" t="str">
            <v/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 t="str">
            <v/>
          </cell>
          <cell r="BK127">
            <v>2100</v>
          </cell>
          <cell r="BL127" t="str">
            <v>0</v>
          </cell>
          <cell r="BM127" t="str">
            <v>1</v>
          </cell>
          <cell r="BN127" t="str">
            <v/>
          </cell>
          <cell r="BO127" t="str">
            <v/>
          </cell>
        </row>
        <row r="128">
          <cell r="A128">
            <v>1</v>
          </cell>
          <cell r="B128">
            <v>2142045</v>
          </cell>
          <cell r="C128" t="str">
            <v>D.A.S.</v>
          </cell>
          <cell r="D128" t="str">
            <v>F.S.S REMISE</v>
          </cell>
          <cell r="E128" t="str">
            <v>N</v>
          </cell>
          <cell r="F128">
            <v>0</v>
          </cell>
          <cell r="G128">
            <v>0</v>
          </cell>
          <cell r="H128">
            <v>-598322.56999999995</v>
          </cell>
          <cell r="I128">
            <v>336672.81</v>
          </cell>
          <cell r="J128">
            <v>171111.35</v>
          </cell>
          <cell r="K128">
            <v>0</v>
          </cell>
          <cell r="L128">
            <v>34191.379999999997</v>
          </cell>
          <cell r="M128">
            <v>0</v>
          </cell>
          <cell r="N128">
            <v>-294053.40999999997</v>
          </cell>
          <cell r="O128">
            <v>-320025.64</v>
          </cell>
          <cell r="P128">
            <v>-352461.18</v>
          </cell>
          <cell r="Q128">
            <v>-377590.9</v>
          </cell>
          <cell r="R128">
            <v>-411066.97</v>
          </cell>
          <cell r="S128">
            <v>-446468.92</v>
          </cell>
          <cell r="T128">
            <v>-477132.07</v>
          </cell>
          <cell r="U128">
            <v>-503848.34</v>
          </cell>
          <cell r="V128">
            <v>-536046.18999999994</v>
          </cell>
          <cell r="W128">
            <v>-562227.07999999996</v>
          </cell>
          <cell r="X128">
            <v>-598322.56999999995</v>
          </cell>
          <cell r="Y128">
            <v>-632513.94999999995</v>
          </cell>
          <cell r="Z128">
            <v>-175010.23</v>
          </cell>
          <cell r="AA128">
            <v>-178961.38</v>
          </cell>
          <cell r="AB128">
            <v>-174584.76</v>
          </cell>
          <cell r="AC128">
            <v>-194312.57</v>
          </cell>
          <cell r="AD128">
            <v>-209347.72</v>
          </cell>
          <cell r="AE128">
            <v>-243695.7</v>
          </cell>
          <cell r="AF128">
            <v>-282936.73</v>
          </cell>
          <cell r="AG128">
            <v>-312034.92</v>
          </cell>
          <cell r="AH128">
            <v>-348200.35</v>
          </cell>
          <cell r="AI128">
            <v>-376144.68</v>
          </cell>
          <cell r="AJ128">
            <v>-403147.86</v>
          </cell>
          <cell r="AK128">
            <v>-432761.11</v>
          </cell>
          <cell r="AL128">
            <v>0</v>
          </cell>
          <cell r="AM128">
            <v>5</v>
          </cell>
          <cell r="AN128" t="str">
            <v/>
          </cell>
          <cell r="AO128">
            <v>0</v>
          </cell>
          <cell r="AP128">
            <v>0</v>
          </cell>
          <cell r="AQ128">
            <v>0</v>
          </cell>
          <cell r="AR128">
            <v>420</v>
          </cell>
          <cell r="AS128">
            <v>0</v>
          </cell>
          <cell r="AT128" t="str">
            <v/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 t="str">
            <v/>
          </cell>
          <cell r="BK128">
            <v>2100</v>
          </cell>
          <cell r="BL128" t="str">
            <v>0</v>
          </cell>
          <cell r="BM128" t="str">
            <v>1</v>
          </cell>
          <cell r="BN128" t="str">
            <v/>
          </cell>
          <cell r="BO128" t="str">
            <v/>
          </cell>
        </row>
        <row r="129">
          <cell r="A129">
            <v>1</v>
          </cell>
          <cell r="B129">
            <v>2142060</v>
          </cell>
          <cell r="C129" t="str">
            <v>D.A.S. D009</v>
          </cell>
          <cell r="D129" t="str">
            <v>FOND PENSION CADRE EMPYÉ</v>
          </cell>
          <cell r="E129" t="str">
            <v>N</v>
          </cell>
          <cell r="F129">
            <v>0</v>
          </cell>
          <cell r="G129">
            <v>0</v>
          </cell>
          <cell r="H129">
            <v>-72734.080000000002</v>
          </cell>
          <cell r="I129">
            <v>34373.879999999997</v>
          </cell>
          <cell r="J129">
            <v>35566.339999999997</v>
          </cell>
          <cell r="K129">
            <v>0</v>
          </cell>
          <cell r="L129">
            <v>3898.25</v>
          </cell>
          <cell r="M129">
            <v>174060.79999999999</v>
          </cell>
          <cell r="N129">
            <v>-73051.09</v>
          </cell>
          <cell r="O129">
            <v>-73611.490000000005</v>
          </cell>
          <cell r="P129">
            <v>-72842.78</v>
          </cell>
          <cell r="Q129">
            <v>-73777.09</v>
          </cell>
          <cell r="R129">
            <v>-73771.09</v>
          </cell>
          <cell r="S129">
            <v>-73083.179999999993</v>
          </cell>
          <cell r="T129">
            <v>-70318.34</v>
          </cell>
          <cell r="U129">
            <v>-73182.38</v>
          </cell>
          <cell r="V129">
            <v>-73679.89</v>
          </cell>
          <cell r="W129">
            <v>-73513.73</v>
          </cell>
          <cell r="X129">
            <v>-72734.080000000002</v>
          </cell>
          <cell r="Y129">
            <v>97428.47</v>
          </cell>
          <cell r="Z129">
            <v>-13078.03</v>
          </cell>
          <cell r="AA129">
            <v>-15562.92</v>
          </cell>
          <cell r="AB129">
            <v>-18972.22</v>
          </cell>
          <cell r="AC129">
            <v>-26098.12</v>
          </cell>
          <cell r="AD129">
            <v>-60043.46</v>
          </cell>
          <cell r="AE129">
            <v>-76663.7</v>
          </cell>
          <cell r="AF129">
            <v>-72949</v>
          </cell>
          <cell r="AG129">
            <v>-73703.740000000005</v>
          </cell>
          <cell r="AH129">
            <v>-73868.94</v>
          </cell>
          <cell r="AI129">
            <v>-73397.240000000005</v>
          </cell>
          <cell r="AJ129">
            <v>-74085.279999999999</v>
          </cell>
          <cell r="AK129">
            <v>-73926.539999999994</v>
          </cell>
          <cell r="AL129">
            <v>0</v>
          </cell>
          <cell r="AM129">
            <v>0</v>
          </cell>
          <cell r="AN129" t="str">
            <v/>
          </cell>
          <cell r="AO129">
            <v>0</v>
          </cell>
          <cell r="AP129">
            <v>0</v>
          </cell>
          <cell r="AQ129">
            <v>0</v>
          </cell>
          <cell r="AR129">
            <v>420</v>
          </cell>
          <cell r="AS129">
            <v>0</v>
          </cell>
          <cell r="AT129" t="str">
            <v/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 t="str">
            <v/>
          </cell>
          <cell r="BK129">
            <v>2100</v>
          </cell>
          <cell r="BL129" t="str">
            <v>0</v>
          </cell>
          <cell r="BM129" t="str">
            <v>1</v>
          </cell>
          <cell r="BN129" t="str">
            <v/>
          </cell>
          <cell r="BO129" t="str">
            <v/>
          </cell>
        </row>
        <row r="130">
          <cell r="A130">
            <v>1</v>
          </cell>
          <cell r="B130">
            <v>2142070</v>
          </cell>
          <cell r="C130" t="str">
            <v>D.A.S.</v>
          </cell>
          <cell r="D130" t="str">
            <v>CAISSE POP</v>
          </cell>
          <cell r="E130" t="str">
            <v>N</v>
          </cell>
          <cell r="F130">
            <v>0</v>
          </cell>
          <cell r="G130">
            <v>0</v>
          </cell>
          <cell r="H130">
            <v>-10663.58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-10663.58</v>
          </cell>
          <cell r="O130">
            <v>-10663.58</v>
          </cell>
          <cell r="P130">
            <v>-10663.58</v>
          </cell>
          <cell r="Q130">
            <v>-10663.58</v>
          </cell>
          <cell r="R130">
            <v>-10663.58</v>
          </cell>
          <cell r="S130">
            <v>-10663.58</v>
          </cell>
          <cell r="T130">
            <v>-10663.58</v>
          </cell>
          <cell r="U130">
            <v>-10663.58</v>
          </cell>
          <cell r="V130">
            <v>-10663.58</v>
          </cell>
          <cell r="W130">
            <v>-10663.58</v>
          </cell>
          <cell r="X130">
            <v>-10663.58</v>
          </cell>
          <cell r="Y130">
            <v>-10663.58</v>
          </cell>
          <cell r="Z130">
            <v>-6145.58</v>
          </cell>
          <cell r="AA130">
            <v>-5580.58</v>
          </cell>
          <cell r="AB130">
            <v>282.42</v>
          </cell>
          <cell r="AC130">
            <v>-7373.58</v>
          </cell>
          <cell r="AD130">
            <v>-10663.58</v>
          </cell>
          <cell r="AE130">
            <v>-10663.58</v>
          </cell>
          <cell r="AF130">
            <v>-10663.58</v>
          </cell>
          <cell r="AG130">
            <v>-10663.58</v>
          </cell>
          <cell r="AH130">
            <v>-10663.58</v>
          </cell>
          <cell r="AI130">
            <v>-10663.58</v>
          </cell>
          <cell r="AJ130">
            <v>-10663.58</v>
          </cell>
          <cell r="AK130">
            <v>-10663.58</v>
          </cell>
          <cell r="AL130">
            <v>0</v>
          </cell>
          <cell r="AM130">
            <v>0</v>
          </cell>
          <cell r="AN130" t="str">
            <v/>
          </cell>
          <cell r="AO130">
            <v>0</v>
          </cell>
          <cell r="AP130">
            <v>0</v>
          </cell>
          <cell r="AQ130">
            <v>0</v>
          </cell>
          <cell r="AR130">
            <v>420</v>
          </cell>
          <cell r="AS130">
            <v>0</v>
          </cell>
          <cell r="AT130" t="str">
            <v/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 t="str">
            <v/>
          </cell>
          <cell r="BK130">
            <v>2100</v>
          </cell>
          <cell r="BL130" t="str">
            <v/>
          </cell>
          <cell r="BM130" t="str">
            <v>1</v>
          </cell>
          <cell r="BN130" t="str">
            <v/>
          </cell>
          <cell r="BO130" t="str">
            <v/>
          </cell>
        </row>
        <row r="131">
          <cell r="A131">
            <v>1</v>
          </cell>
          <cell r="B131">
            <v>2142080</v>
          </cell>
          <cell r="C131" t="str">
            <v>D.A.S. D015</v>
          </cell>
          <cell r="D131" t="str">
            <v>CENTRAIDE</v>
          </cell>
          <cell r="E131" t="str">
            <v>N</v>
          </cell>
          <cell r="F131">
            <v>0</v>
          </cell>
          <cell r="G131">
            <v>0</v>
          </cell>
          <cell r="H131">
            <v>448.5</v>
          </cell>
          <cell r="I131">
            <v>34085.94</v>
          </cell>
          <cell r="J131">
            <v>32994.74</v>
          </cell>
          <cell r="K131">
            <v>0</v>
          </cell>
          <cell r="L131">
            <v>448.5</v>
          </cell>
          <cell r="M131">
            <v>263</v>
          </cell>
          <cell r="N131">
            <v>1634.75</v>
          </cell>
          <cell r="O131">
            <v>1547.5</v>
          </cell>
          <cell r="P131">
            <v>1610.25</v>
          </cell>
          <cell r="Q131">
            <v>1533.75</v>
          </cell>
          <cell r="R131">
            <v>1545.5</v>
          </cell>
          <cell r="S131">
            <v>1645</v>
          </cell>
          <cell r="T131">
            <v>1536</v>
          </cell>
          <cell r="U131">
            <v>1636.5</v>
          </cell>
          <cell r="V131">
            <v>1524.5</v>
          </cell>
          <cell r="W131">
            <v>361.5</v>
          </cell>
          <cell r="X131">
            <v>448.5</v>
          </cell>
          <cell r="Y131">
            <v>263</v>
          </cell>
          <cell r="Z131">
            <v>1339.15</v>
          </cell>
          <cell r="AA131">
            <v>1269</v>
          </cell>
          <cell r="AB131">
            <v>1415.95</v>
          </cell>
          <cell r="AC131">
            <v>1229.45</v>
          </cell>
          <cell r="AD131">
            <v>1037.2</v>
          </cell>
          <cell r="AE131">
            <v>1018.2</v>
          </cell>
          <cell r="AF131">
            <v>1682</v>
          </cell>
          <cell r="AG131">
            <v>1534.7</v>
          </cell>
          <cell r="AH131">
            <v>1556.2</v>
          </cell>
          <cell r="AI131">
            <v>1641.5</v>
          </cell>
          <cell r="AJ131">
            <v>1530.7</v>
          </cell>
          <cell r="AK131">
            <v>1539.7</v>
          </cell>
          <cell r="AL131">
            <v>0</v>
          </cell>
          <cell r="AM131">
            <v>0</v>
          </cell>
          <cell r="AN131" t="str">
            <v/>
          </cell>
          <cell r="AO131">
            <v>0</v>
          </cell>
          <cell r="AP131">
            <v>0</v>
          </cell>
          <cell r="AQ131">
            <v>0</v>
          </cell>
          <cell r="AR131">
            <v>420</v>
          </cell>
          <cell r="AS131">
            <v>0</v>
          </cell>
          <cell r="AT131" t="str">
            <v/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 t="str">
            <v/>
          </cell>
          <cell r="BK131">
            <v>2100</v>
          </cell>
          <cell r="BL131" t="str">
            <v>0</v>
          </cell>
          <cell r="BM131" t="str">
            <v>1</v>
          </cell>
          <cell r="BN131" t="str">
            <v/>
          </cell>
          <cell r="BO131" t="str">
            <v/>
          </cell>
        </row>
        <row r="132">
          <cell r="A132">
            <v>1</v>
          </cell>
          <cell r="B132">
            <v>2142090</v>
          </cell>
          <cell r="C132" t="str">
            <v>D.A.S. D036 D037 D038</v>
          </cell>
          <cell r="D132" t="str">
            <v>ASS FACULTATIVE</v>
          </cell>
          <cell r="E132" t="str">
            <v>N</v>
          </cell>
          <cell r="F132">
            <v>0</v>
          </cell>
          <cell r="G132">
            <v>0</v>
          </cell>
          <cell r="H132">
            <v>-11386.34</v>
          </cell>
          <cell r="I132">
            <v>201.14</v>
          </cell>
          <cell r="J132">
            <v>565.44000000000005</v>
          </cell>
          <cell r="K132">
            <v>0</v>
          </cell>
          <cell r="L132">
            <v>0</v>
          </cell>
          <cell r="M132">
            <v>38.97</v>
          </cell>
          <cell r="N132">
            <v>-11705.89</v>
          </cell>
          <cell r="O132">
            <v>-11670.09</v>
          </cell>
          <cell r="P132">
            <v>-11822.97</v>
          </cell>
          <cell r="Q132">
            <v>-11773.13</v>
          </cell>
          <cell r="R132">
            <v>-11723.29</v>
          </cell>
          <cell r="S132">
            <v>-11660.99</v>
          </cell>
          <cell r="T132">
            <v>-11611.15</v>
          </cell>
          <cell r="U132">
            <v>-11548.85</v>
          </cell>
          <cell r="V132">
            <v>-11499.01</v>
          </cell>
          <cell r="W132">
            <v>-11449.17</v>
          </cell>
          <cell r="X132">
            <v>-11386.34</v>
          </cell>
          <cell r="Y132">
            <v>-11347.37</v>
          </cell>
          <cell r="Z132">
            <v>-12021.7</v>
          </cell>
          <cell r="AA132">
            <v>-11697.39</v>
          </cell>
          <cell r="AB132">
            <v>-11342.95</v>
          </cell>
          <cell r="AC132">
            <v>-10984.62</v>
          </cell>
          <cell r="AD132">
            <v>-11213.12</v>
          </cell>
          <cell r="AE132">
            <v>-11594.17</v>
          </cell>
          <cell r="AF132">
            <v>-11474.87</v>
          </cell>
          <cell r="AG132">
            <v>-11642.64</v>
          </cell>
          <cell r="AH132">
            <v>-11606.84</v>
          </cell>
          <cell r="AI132">
            <v>-11562.09</v>
          </cell>
          <cell r="AJ132">
            <v>-11786.44</v>
          </cell>
          <cell r="AK132">
            <v>-11750.64</v>
          </cell>
          <cell r="AL132">
            <v>0</v>
          </cell>
          <cell r="AM132">
            <v>0</v>
          </cell>
          <cell r="AN132" t="str">
            <v/>
          </cell>
          <cell r="AO132">
            <v>0</v>
          </cell>
          <cell r="AP132">
            <v>0</v>
          </cell>
          <cell r="AQ132">
            <v>0</v>
          </cell>
          <cell r="AR132">
            <v>420</v>
          </cell>
          <cell r="AS132">
            <v>0</v>
          </cell>
          <cell r="AT132" t="str">
            <v/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 t="str">
            <v/>
          </cell>
          <cell r="BK132">
            <v>2100</v>
          </cell>
          <cell r="BL132" t="str">
            <v>0</v>
          </cell>
          <cell r="BM132" t="str">
            <v>1</v>
          </cell>
          <cell r="BN132" t="str">
            <v/>
          </cell>
          <cell r="BO132" t="str">
            <v/>
          </cell>
        </row>
        <row r="133">
          <cell r="A133">
            <v>1</v>
          </cell>
          <cell r="B133">
            <v>2142100</v>
          </cell>
          <cell r="C133" t="str">
            <v>D.A.S. D019</v>
          </cell>
          <cell r="D133" t="str">
            <v>UNION NATIONAL SCEP</v>
          </cell>
          <cell r="E133" t="str">
            <v>N</v>
          </cell>
          <cell r="F133">
            <v>0</v>
          </cell>
          <cell r="G133">
            <v>0</v>
          </cell>
          <cell r="H133">
            <v>7568.96</v>
          </cell>
          <cell r="I133">
            <v>89215.11</v>
          </cell>
          <cell r="J133">
            <v>83879.31</v>
          </cell>
          <cell r="K133">
            <v>0</v>
          </cell>
          <cell r="L133">
            <v>7568.96</v>
          </cell>
          <cell r="M133">
            <v>4469.74</v>
          </cell>
          <cell r="N133">
            <v>14380.66</v>
          </cell>
          <cell r="O133">
            <v>12837.49</v>
          </cell>
          <cell r="P133">
            <v>13797.04</v>
          </cell>
          <cell r="Q133">
            <v>12437.42</v>
          </cell>
          <cell r="R133">
            <v>13274.06</v>
          </cell>
          <cell r="S133">
            <v>15432.08</v>
          </cell>
          <cell r="T133">
            <v>13482.36</v>
          </cell>
          <cell r="U133">
            <v>14567.41</v>
          </cell>
          <cell r="V133">
            <v>12600.07</v>
          </cell>
          <cell r="W133">
            <v>6323</v>
          </cell>
          <cell r="X133">
            <v>7568.96</v>
          </cell>
          <cell r="Y133">
            <v>4469.74</v>
          </cell>
          <cell r="Z133">
            <v>2494.2800000000002</v>
          </cell>
          <cell r="AA133">
            <v>2380.04</v>
          </cell>
          <cell r="AB133">
            <v>2766.46</v>
          </cell>
          <cell r="AC133">
            <v>2219.48</v>
          </cell>
          <cell r="AD133">
            <v>3665.13</v>
          </cell>
          <cell r="AE133">
            <v>9504.91</v>
          </cell>
          <cell r="AF133">
            <v>12972.51</v>
          </cell>
          <cell r="AG133">
            <v>10610.9</v>
          </cell>
          <cell r="AH133">
            <v>14062</v>
          </cell>
          <cell r="AI133">
            <v>14892.73</v>
          </cell>
          <cell r="AJ133">
            <v>12623.79</v>
          </cell>
          <cell r="AK133">
            <v>12904.76</v>
          </cell>
          <cell r="AL133">
            <v>0</v>
          </cell>
          <cell r="AM133">
            <v>0</v>
          </cell>
          <cell r="AN133" t="str">
            <v/>
          </cell>
          <cell r="AO133">
            <v>0</v>
          </cell>
          <cell r="AP133">
            <v>0</v>
          </cell>
          <cell r="AQ133">
            <v>0</v>
          </cell>
          <cell r="AR133">
            <v>420</v>
          </cell>
          <cell r="AS133">
            <v>0</v>
          </cell>
          <cell r="AT133" t="str">
            <v/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 t="str">
            <v/>
          </cell>
          <cell r="BK133">
            <v>2100</v>
          </cell>
          <cell r="BL133" t="str">
            <v>0</v>
          </cell>
          <cell r="BM133" t="str">
            <v>1</v>
          </cell>
          <cell r="BN133" t="str">
            <v/>
          </cell>
          <cell r="BO133" t="str">
            <v/>
          </cell>
        </row>
        <row r="134">
          <cell r="A134">
            <v>1</v>
          </cell>
          <cell r="B134">
            <v>2142110</v>
          </cell>
          <cell r="C134" t="str">
            <v>D.A.S.</v>
          </cell>
          <cell r="D134" t="str">
            <v>UNION-BUREAU-GARDIEN</v>
          </cell>
          <cell r="E134" t="str">
            <v>N</v>
          </cell>
          <cell r="F134">
            <v>0</v>
          </cell>
          <cell r="G134">
            <v>0</v>
          </cell>
          <cell r="H134">
            <v>634.49</v>
          </cell>
          <cell r="I134">
            <v>7164.11</v>
          </cell>
          <cell r="J134">
            <v>13648.15</v>
          </cell>
          <cell r="K134">
            <v>0</v>
          </cell>
          <cell r="L134">
            <v>634.49</v>
          </cell>
          <cell r="M134">
            <v>392.41</v>
          </cell>
          <cell r="N134">
            <v>-5641.75</v>
          </cell>
          <cell r="O134">
            <v>-5899.68</v>
          </cell>
          <cell r="P134">
            <v>-5758.9</v>
          </cell>
          <cell r="Q134">
            <v>-5873.65</v>
          </cell>
          <cell r="R134">
            <v>-5947.08</v>
          </cell>
          <cell r="S134">
            <v>-5849.23</v>
          </cell>
          <cell r="T134">
            <v>-5892.37</v>
          </cell>
          <cell r="U134">
            <v>-5905.39</v>
          </cell>
          <cell r="V134">
            <v>-5988.8</v>
          </cell>
          <cell r="W134">
            <v>510.4</v>
          </cell>
          <cell r="X134">
            <v>634.49</v>
          </cell>
          <cell r="Y134">
            <v>392.41</v>
          </cell>
          <cell r="Z134">
            <v>12953.32</v>
          </cell>
          <cell r="AA134">
            <v>9901.82</v>
          </cell>
          <cell r="AB134">
            <v>13670.53</v>
          </cell>
          <cell r="AC134">
            <v>9767.98</v>
          </cell>
          <cell r="AD134">
            <v>4602.59</v>
          </cell>
          <cell r="AE134">
            <v>-1112.3900000000001</v>
          </cell>
          <cell r="AF134">
            <v>-2849.63</v>
          </cell>
          <cell r="AG134">
            <v>-3122.38</v>
          </cell>
          <cell r="AH134">
            <v>-6366.08</v>
          </cell>
          <cell r="AI134">
            <v>-5665.67</v>
          </cell>
          <cell r="AJ134">
            <v>-5839.27</v>
          </cell>
          <cell r="AK134">
            <v>-5849.55</v>
          </cell>
          <cell r="AL134">
            <v>0</v>
          </cell>
          <cell r="AM134">
            <v>0</v>
          </cell>
          <cell r="AN134" t="str">
            <v/>
          </cell>
          <cell r="AO134">
            <v>0</v>
          </cell>
          <cell r="AP134">
            <v>0</v>
          </cell>
          <cell r="AQ134">
            <v>0</v>
          </cell>
          <cell r="AR134">
            <v>420</v>
          </cell>
          <cell r="AS134">
            <v>0</v>
          </cell>
          <cell r="AT134" t="str">
            <v/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 t="str">
            <v/>
          </cell>
          <cell r="BK134">
            <v>2100</v>
          </cell>
          <cell r="BL134" t="str">
            <v>0</v>
          </cell>
          <cell r="BM134" t="str">
            <v>1</v>
          </cell>
          <cell r="BN134" t="str">
            <v/>
          </cell>
          <cell r="BO134" t="str">
            <v/>
          </cell>
        </row>
        <row r="135">
          <cell r="A135">
            <v>1</v>
          </cell>
          <cell r="B135">
            <v>2142120</v>
          </cell>
          <cell r="C135" t="str">
            <v>D.A.S.</v>
          </cell>
          <cell r="D135" t="str">
            <v>LIBERATION SYNDICAL</v>
          </cell>
          <cell r="E135" t="str">
            <v>N</v>
          </cell>
          <cell r="F135">
            <v>0</v>
          </cell>
          <cell r="G135">
            <v>0</v>
          </cell>
          <cell r="H135">
            <v>-17628.09</v>
          </cell>
          <cell r="I135">
            <v>18506.02</v>
          </cell>
          <cell r="J135">
            <v>24024.74</v>
          </cell>
          <cell r="K135">
            <v>0</v>
          </cell>
          <cell r="L135">
            <v>2752.87</v>
          </cell>
          <cell r="M135">
            <v>0</v>
          </cell>
          <cell r="N135">
            <v>-5187.42</v>
          </cell>
          <cell r="O135">
            <v>-5541.05</v>
          </cell>
          <cell r="P135">
            <v>-7167.8</v>
          </cell>
          <cell r="Q135">
            <v>-7167.8</v>
          </cell>
          <cell r="R135">
            <v>-11122.01</v>
          </cell>
          <cell r="S135">
            <v>-11881.93</v>
          </cell>
          <cell r="T135">
            <v>-12090.2</v>
          </cell>
          <cell r="U135">
            <v>-12361.81</v>
          </cell>
          <cell r="V135">
            <v>-18731.41</v>
          </cell>
          <cell r="W135">
            <v>-16035.86</v>
          </cell>
          <cell r="X135">
            <v>-17628.09</v>
          </cell>
          <cell r="Y135">
            <v>-20380.96</v>
          </cell>
          <cell r="Z135">
            <v>-7859.56</v>
          </cell>
          <cell r="AA135">
            <v>-7859.56</v>
          </cell>
          <cell r="AB135">
            <v>-8531.08</v>
          </cell>
          <cell r="AC135">
            <v>-10903.23</v>
          </cell>
          <cell r="AD135">
            <v>-13363.79</v>
          </cell>
          <cell r="AE135">
            <v>-13363.79</v>
          </cell>
          <cell r="AF135">
            <v>-17549.740000000002</v>
          </cell>
          <cell r="AG135">
            <v>-18560.78</v>
          </cell>
          <cell r="AH135">
            <v>-18776.330000000002</v>
          </cell>
          <cell r="AI135">
            <v>-20414.47</v>
          </cell>
          <cell r="AJ135">
            <v>-21656.67</v>
          </cell>
          <cell r="AK135">
            <v>-23146.81</v>
          </cell>
          <cell r="AL135">
            <v>0</v>
          </cell>
          <cell r="AM135">
            <v>0</v>
          </cell>
          <cell r="AN135" t="str">
            <v/>
          </cell>
          <cell r="AO135">
            <v>0</v>
          </cell>
          <cell r="AP135">
            <v>0</v>
          </cell>
          <cell r="AQ135">
            <v>0</v>
          </cell>
          <cell r="AR135">
            <v>420</v>
          </cell>
          <cell r="AS135">
            <v>0</v>
          </cell>
          <cell r="AT135" t="str">
            <v/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 t="str">
            <v/>
          </cell>
          <cell r="BK135">
            <v>2100</v>
          </cell>
          <cell r="BL135" t="str">
            <v/>
          </cell>
          <cell r="BM135" t="str">
            <v>1</v>
          </cell>
          <cell r="BN135" t="str">
            <v/>
          </cell>
          <cell r="BO135" t="str">
            <v/>
          </cell>
        </row>
        <row r="136">
          <cell r="A136">
            <v>1</v>
          </cell>
          <cell r="B136">
            <v>2142130</v>
          </cell>
          <cell r="C136" t="str">
            <v>D.A.S.</v>
          </cell>
          <cell r="D136" t="str">
            <v>SAISIE</v>
          </cell>
          <cell r="E136" t="str">
            <v>N</v>
          </cell>
          <cell r="F136">
            <v>0</v>
          </cell>
          <cell r="G136">
            <v>0</v>
          </cell>
          <cell r="H136">
            <v>1452.14</v>
          </cell>
          <cell r="I136">
            <v>18140.12</v>
          </cell>
          <cell r="J136">
            <v>13209.53</v>
          </cell>
          <cell r="K136">
            <v>0</v>
          </cell>
          <cell r="L136">
            <v>1452.14</v>
          </cell>
          <cell r="M136">
            <v>853.63</v>
          </cell>
          <cell r="N136">
            <v>7276.39</v>
          </cell>
          <cell r="O136">
            <v>6540.54</v>
          </cell>
          <cell r="P136">
            <v>6255.17</v>
          </cell>
          <cell r="Q136">
            <v>6565.33</v>
          </cell>
          <cell r="R136">
            <v>6675</v>
          </cell>
          <cell r="S136">
            <v>7198.02</v>
          </cell>
          <cell r="T136">
            <v>5718.54</v>
          </cell>
          <cell r="U136">
            <v>5503.08</v>
          </cell>
          <cell r="V136">
            <v>6085.72</v>
          </cell>
          <cell r="W136">
            <v>1362.64</v>
          </cell>
          <cell r="X136">
            <v>1452.14</v>
          </cell>
          <cell r="Y136">
            <v>853.63</v>
          </cell>
          <cell r="Z136">
            <v>2898.27</v>
          </cell>
          <cell r="AA136">
            <v>2463.9899999999998</v>
          </cell>
          <cell r="AB136">
            <v>2563.9899999999998</v>
          </cell>
          <cell r="AC136">
            <v>2563.9899999999998</v>
          </cell>
          <cell r="AD136">
            <v>2563.9899999999998</v>
          </cell>
          <cell r="AE136">
            <v>2897.23</v>
          </cell>
          <cell r="AF136">
            <v>5786.92</v>
          </cell>
          <cell r="AG136">
            <v>5676.5</v>
          </cell>
          <cell r="AH136">
            <v>5428.22</v>
          </cell>
          <cell r="AI136">
            <v>6257.73</v>
          </cell>
          <cell r="AJ136">
            <v>6502.8</v>
          </cell>
          <cell r="AK136">
            <v>6382.73</v>
          </cell>
          <cell r="AL136">
            <v>0</v>
          </cell>
          <cell r="AM136">
            <v>0</v>
          </cell>
          <cell r="AN136" t="str">
            <v/>
          </cell>
          <cell r="AO136">
            <v>0</v>
          </cell>
          <cell r="AP136">
            <v>0</v>
          </cell>
          <cell r="AQ136">
            <v>0</v>
          </cell>
          <cell r="AR136">
            <v>420</v>
          </cell>
          <cell r="AS136">
            <v>0</v>
          </cell>
          <cell r="AT136" t="str">
            <v/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 t="str">
            <v/>
          </cell>
          <cell r="BK136">
            <v>2100</v>
          </cell>
          <cell r="BL136" t="str">
            <v/>
          </cell>
          <cell r="BM136" t="str">
            <v>1</v>
          </cell>
          <cell r="BN136" t="str">
            <v/>
          </cell>
          <cell r="BO136" t="str">
            <v/>
          </cell>
        </row>
        <row r="137">
          <cell r="A137">
            <v>1</v>
          </cell>
          <cell r="B137">
            <v>2142140</v>
          </cell>
          <cell r="C137" t="str">
            <v>D.A.S.</v>
          </cell>
          <cell r="D137" t="str">
            <v>VACANCE BUREAU</v>
          </cell>
          <cell r="E137" t="str">
            <v>N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str">
            <v/>
          </cell>
          <cell r="AO137">
            <v>0</v>
          </cell>
          <cell r="AP137">
            <v>0</v>
          </cell>
          <cell r="AQ137">
            <v>0</v>
          </cell>
          <cell r="AR137">
            <v>420</v>
          </cell>
          <cell r="AS137">
            <v>0</v>
          </cell>
          <cell r="AT137" t="str">
            <v/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 t="str">
            <v/>
          </cell>
          <cell r="BK137">
            <v>2100</v>
          </cell>
          <cell r="BL137" t="str">
            <v/>
          </cell>
          <cell r="BM137" t="str">
            <v>1</v>
          </cell>
          <cell r="BN137" t="str">
            <v/>
          </cell>
          <cell r="BO137" t="str">
            <v/>
          </cell>
        </row>
        <row r="138">
          <cell r="A138">
            <v>1</v>
          </cell>
          <cell r="B138">
            <v>2201000</v>
          </cell>
          <cell r="C138" t="str">
            <v>IMPOTS A PAYER</v>
          </cell>
          <cell r="D138" t="str">
            <v>IMPOTS SUR LE REVENU</v>
          </cell>
          <cell r="E138" t="str">
            <v>N</v>
          </cell>
          <cell r="F138">
            <v>0</v>
          </cell>
          <cell r="G138">
            <v>0</v>
          </cell>
          <cell r="H138">
            <v>2947468</v>
          </cell>
          <cell r="I138">
            <v>286895.94</v>
          </cell>
          <cell r="J138">
            <v>2199239.4300000002</v>
          </cell>
          <cell r="K138">
            <v>0</v>
          </cell>
          <cell r="L138">
            <v>0</v>
          </cell>
          <cell r="M138">
            <v>166037.91</v>
          </cell>
          <cell r="N138">
            <v>1138270.5</v>
          </cell>
          <cell r="O138">
            <v>1090823.81</v>
          </cell>
          <cell r="P138">
            <v>1397886.54</v>
          </cell>
          <cell r="Q138">
            <v>1499506.13</v>
          </cell>
          <cell r="R138">
            <v>1700568.5</v>
          </cell>
          <cell r="S138">
            <v>1849617.58</v>
          </cell>
          <cell r="T138">
            <v>2173128.9300000002</v>
          </cell>
          <cell r="U138">
            <v>2348938.0099999998</v>
          </cell>
          <cell r="V138">
            <v>2514639.41</v>
          </cell>
          <cell r="W138">
            <v>2714781.51</v>
          </cell>
          <cell r="X138">
            <v>2947468</v>
          </cell>
          <cell r="Y138">
            <v>3113505.91</v>
          </cell>
          <cell r="Z138">
            <v>518709.09</v>
          </cell>
          <cell r="AA138">
            <v>570095.03</v>
          </cell>
          <cell r="AB138">
            <v>658247.73</v>
          </cell>
          <cell r="AC138">
            <v>737333.62</v>
          </cell>
          <cell r="AD138">
            <v>846943.62</v>
          </cell>
          <cell r="AE138">
            <v>972637.31</v>
          </cell>
          <cell r="AF138">
            <v>1114338.31</v>
          </cell>
          <cell r="AG138">
            <v>1235750.8899999999</v>
          </cell>
          <cell r="AH138">
            <v>1297082.4099999999</v>
          </cell>
          <cell r="AI138">
            <v>1333819.82</v>
          </cell>
          <cell r="AJ138">
            <v>1423093.51</v>
          </cell>
          <cell r="AK138">
            <v>1035124.51</v>
          </cell>
          <cell r="AL138">
            <v>0</v>
          </cell>
          <cell r="AM138">
            <v>0</v>
          </cell>
          <cell r="AN138" t="str">
            <v/>
          </cell>
          <cell r="AO138">
            <v>0</v>
          </cell>
          <cell r="AP138">
            <v>0</v>
          </cell>
          <cell r="AQ138">
            <v>0</v>
          </cell>
          <cell r="AR138">
            <v>440</v>
          </cell>
          <cell r="AS138">
            <v>0</v>
          </cell>
          <cell r="AT138" t="str">
            <v/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 t="str">
            <v/>
          </cell>
          <cell r="BK138">
            <v>2100</v>
          </cell>
          <cell r="BL138" t="str">
            <v>0</v>
          </cell>
          <cell r="BM138" t="str">
            <v>1</v>
          </cell>
          <cell r="BN138" t="str">
            <v/>
          </cell>
          <cell r="BO138" t="str">
            <v/>
          </cell>
        </row>
        <row r="139">
          <cell r="A139">
            <v>1</v>
          </cell>
          <cell r="B139">
            <v>2221000</v>
          </cell>
          <cell r="C139" t="str">
            <v>SALAIRE A PAYER</v>
          </cell>
          <cell r="D139" t="str">
            <v>SALAIRES A PAYER</v>
          </cell>
          <cell r="E139" t="str">
            <v>N</v>
          </cell>
          <cell r="F139">
            <v>0</v>
          </cell>
          <cell r="G139">
            <v>0</v>
          </cell>
          <cell r="H139">
            <v>66965.259999999995</v>
          </cell>
          <cell r="I139">
            <v>6060874.8899999997</v>
          </cell>
          <cell r="J139">
            <v>6040209.0300000003</v>
          </cell>
          <cell r="K139">
            <v>0</v>
          </cell>
          <cell r="L139">
            <v>1176395.3799999999</v>
          </cell>
          <cell r="M139">
            <v>1194672.18</v>
          </cell>
          <cell r="N139">
            <v>-49270.82</v>
          </cell>
          <cell r="O139">
            <v>94626.47</v>
          </cell>
          <cell r="P139">
            <v>70462.36</v>
          </cell>
          <cell r="Q139">
            <v>18883.27</v>
          </cell>
          <cell r="R139">
            <v>103227.05</v>
          </cell>
          <cell r="S139">
            <v>132336.04</v>
          </cell>
          <cell r="T139">
            <v>80941.850000000006</v>
          </cell>
          <cell r="U139">
            <v>74086.36</v>
          </cell>
          <cell r="V139">
            <v>3774.78</v>
          </cell>
          <cell r="W139">
            <v>78060.44</v>
          </cell>
          <cell r="X139">
            <v>66965.259999999995</v>
          </cell>
          <cell r="Y139">
            <v>85242.06</v>
          </cell>
          <cell r="Z139">
            <v>82602.350000000006</v>
          </cell>
          <cell r="AA139">
            <v>75495.679999999993</v>
          </cell>
          <cell r="AB139">
            <v>123668.16</v>
          </cell>
          <cell r="AC139">
            <v>-7006</v>
          </cell>
          <cell r="AD139">
            <v>5786.5</v>
          </cell>
          <cell r="AE139">
            <v>131569.56</v>
          </cell>
          <cell r="AF139">
            <v>103816.37</v>
          </cell>
          <cell r="AG139">
            <v>108517.26</v>
          </cell>
          <cell r="AH139">
            <v>109625.08</v>
          </cell>
          <cell r="AI139">
            <v>31473.39</v>
          </cell>
          <cell r="AJ139">
            <v>80705.279999999999</v>
          </cell>
          <cell r="AK139">
            <v>87631.12</v>
          </cell>
          <cell r="AL139">
            <v>0</v>
          </cell>
          <cell r="AM139">
            <v>0</v>
          </cell>
          <cell r="AN139" t="str">
            <v/>
          </cell>
          <cell r="AO139">
            <v>0</v>
          </cell>
          <cell r="AP139">
            <v>0</v>
          </cell>
          <cell r="AQ139">
            <v>0</v>
          </cell>
          <cell r="AR139">
            <v>420</v>
          </cell>
          <cell r="AS139">
            <v>0</v>
          </cell>
          <cell r="AT139" t="str">
            <v/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 t="str">
            <v/>
          </cell>
          <cell r="BK139">
            <v>2100</v>
          </cell>
          <cell r="BL139" t="str">
            <v/>
          </cell>
          <cell r="BM139" t="str">
            <v>1</v>
          </cell>
          <cell r="BN139" t="str">
            <v/>
          </cell>
          <cell r="BO139" t="str">
            <v/>
          </cell>
        </row>
        <row r="140">
          <cell r="A140">
            <v>1</v>
          </cell>
          <cell r="B140">
            <v>2222000</v>
          </cell>
          <cell r="C140" t="str">
            <v>SALAIRE A PAYER</v>
          </cell>
          <cell r="D140" t="str">
            <v>BENEFICE MARGINAUX</v>
          </cell>
          <cell r="E140" t="str">
            <v>N</v>
          </cell>
          <cell r="F140">
            <v>0</v>
          </cell>
          <cell r="G140">
            <v>0</v>
          </cell>
          <cell r="H140">
            <v>-0.04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-0.04</v>
          </cell>
          <cell r="O140">
            <v>-0.04</v>
          </cell>
          <cell r="P140">
            <v>-0.04</v>
          </cell>
          <cell r="Q140">
            <v>-0.04</v>
          </cell>
          <cell r="R140">
            <v>-0.04</v>
          </cell>
          <cell r="S140">
            <v>-0.04</v>
          </cell>
          <cell r="T140">
            <v>-0.04</v>
          </cell>
          <cell r="U140">
            <v>-0.04</v>
          </cell>
          <cell r="V140">
            <v>-0.04</v>
          </cell>
          <cell r="W140">
            <v>-0.04</v>
          </cell>
          <cell r="X140">
            <v>-0.04</v>
          </cell>
          <cell r="Y140">
            <v>-0.04</v>
          </cell>
          <cell r="Z140">
            <v>356646.31</v>
          </cell>
          <cell r="AA140">
            <v>490778.16</v>
          </cell>
          <cell r="AB140">
            <v>723006.05</v>
          </cell>
          <cell r="AC140">
            <v>943785.03</v>
          </cell>
          <cell r="AD140">
            <v>54634.19</v>
          </cell>
          <cell r="AE140">
            <v>45873.13</v>
          </cell>
          <cell r="AF140">
            <v>43295.76</v>
          </cell>
          <cell r="AG140">
            <v>43295.76</v>
          </cell>
          <cell r="AH140">
            <v>43295.76</v>
          </cell>
          <cell r="AI140">
            <v>43295.76</v>
          </cell>
          <cell r="AJ140">
            <v>43295.76</v>
          </cell>
          <cell r="AK140">
            <v>-0.04</v>
          </cell>
          <cell r="AL140">
            <v>0</v>
          </cell>
          <cell r="AM140">
            <v>0</v>
          </cell>
          <cell r="AN140" t="str">
            <v/>
          </cell>
          <cell r="AO140">
            <v>0</v>
          </cell>
          <cell r="AP140">
            <v>0</v>
          </cell>
          <cell r="AQ140">
            <v>0</v>
          </cell>
          <cell r="AR140">
            <v>420</v>
          </cell>
          <cell r="AS140">
            <v>0</v>
          </cell>
          <cell r="AT140" t="str">
            <v/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 t="str">
            <v/>
          </cell>
          <cell r="BK140">
            <v>2100</v>
          </cell>
          <cell r="BL140" t="str">
            <v/>
          </cell>
          <cell r="BM140" t="str">
            <v>1</v>
          </cell>
          <cell r="BN140" t="str">
            <v/>
          </cell>
          <cell r="BO140" t="str">
            <v/>
          </cell>
        </row>
        <row r="141">
          <cell r="A141">
            <v>1</v>
          </cell>
          <cell r="B141">
            <v>2222010</v>
          </cell>
          <cell r="C141" t="str">
            <v>SALAIRE A PAYER G300 @</v>
          </cell>
          <cell r="D141" t="str">
            <v>VACATION</v>
          </cell>
          <cell r="E141" t="str">
            <v>N</v>
          </cell>
          <cell r="F141">
            <v>0</v>
          </cell>
          <cell r="G141">
            <v>0</v>
          </cell>
          <cell r="H141">
            <v>-215808.83</v>
          </cell>
          <cell r="I141">
            <v>538013.43999999994</v>
          </cell>
          <cell r="J141">
            <v>414195.14</v>
          </cell>
          <cell r="K141">
            <v>0</v>
          </cell>
          <cell r="L141">
            <v>4241.0600000000004</v>
          </cell>
          <cell r="M141">
            <v>27851.53</v>
          </cell>
          <cell r="N141">
            <v>-78932.009999999995</v>
          </cell>
          <cell r="O141">
            <v>-99986.18</v>
          </cell>
          <cell r="P141">
            <v>-100308.64</v>
          </cell>
          <cell r="Q141">
            <v>-104789.51</v>
          </cell>
          <cell r="R141">
            <v>-124294.13</v>
          </cell>
          <cell r="S141">
            <v>-170541.4</v>
          </cell>
          <cell r="T141">
            <v>-248298.59</v>
          </cell>
          <cell r="U141">
            <v>-277769.03999999998</v>
          </cell>
          <cell r="V141">
            <v>-270894.21000000002</v>
          </cell>
          <cell r="W141">
            <v>-250805.08</v>
          </cell>
          <cell r="X141">
            <v>-215808.83</v>
          </cell>
          <cell r="Y141">
            <v>-192198.36</v>
          </cell>
          <cell r="Z141">
            <v>-40389.85</v>
          </cell>
          <cell r="AA141">
            <v>-73781.600000000006</v>
          </cell>
          <cell r="AB141">
            <v>-114630.15</v>
          </cell>
          <cell r="AC141">
            <v>-144772.39000000001</v>
          </cell>
          <cell r="AD141">
            <v>-1940.54</v>
          </cell>
          <cell r="AE141">
            <v>-37945.57</v>
          </cell>
          <cell r="AF141">
            <v>-130457.79</v>
          </cell>
          <cell r="AG141">
            <v>-143754.92000000001</v>
          </cell>
          <cell r="AH141">
            <v>-143659.76</v>
          </cell>
          <cell r="AI141">
            <v>-135560.47</v>
          </cell>
          <cell r="AJ141">
            <v>-114580.83</v>
          </cell>
          <cell r="AK141">
            <v>-91990.53</v>
          </cell>
          <cell r="AL141">
            <v>0</v>
          </cell>
          <cell r="AM141">
            <v>0</v>
          </cell>
          <cell r="AN141" t="str">
            <v/>
          </cell>
          <cell r="AO141">
            <v>0</v>
          </cell>
          <cell r="AP141">
            <v>0</v>
          </cell>
          <cell r="AQ141">
            <v>0</v>
          </cell>
          <cell r="AR141">
            <v>420</v>
          </cell>
          <cell r="AS141">
            <v>0</v>
          </cell>
          <cell r="AT141" t="str">
            <v/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 t="str">
            <v/>
          </cell>
          <cell r="BK141">
            <v>2100</v>
          </cell>
          <cell r="BL141" t="str">
            <v>0</v>
          </cell>
          <cell r="BM141" t="str">
            <v>1</v>
          </cell>
          <cell r="BN141" t="str">
            <v/>
          </cell>
          <cell r="BO141" t="str">
            <v/>
          </cell>
        </row>
        <row r="142">
          <cell r="A142">
            <v>1</v>
          </cell>
          <cell r="B142">
            <v>2222020</v>
          </cell>
          <cell r="C142" t="str">
            <v>SALAIRE A PAYER G28 G30</v>
          </cell>
          <cell r="D142" t="str">
            <v>CONGÉ STATUTAIRE</v>
          </cell>
          <cell r="E142" t="str">
            <v>N</v>
          </cell>
          <cell r="F142">
            <v>0</v>
          </cell>
          <cell r="G142">
            <v>0</v>
          </cell>
          <cell r="H142">
            <v>-343819.51</v>
          </cell>
          <cell r="I142">
            <v>190012.28</v>
          </cell>
          <cell r="J142">
            <v>0</v>
          </cell>
          <cell r="K142">
            <v>0</v>
          </cell>
          <cell r="L142">
            <v>3819.72</v>
          </cell>
          <cell r="M142">
            <v>0</v>
          </cell>
          <cell r="N142">
            <v>-225746.56</v>
          </cell>
          <cell r="O142">
            <v>-226914.85</v>
          </cell>
          <cell r="P142">
            <v>-228662.06</v>
          </cell>
          <cell r="Q142">
            <v>-270151.2</v>
          </cell>
          <cell r="R142">
            <v>-274029.46000000002</v>
          </cell>
          <cell r="S142">
            <v>-320583.28000000003</v>
          </cell>
          <cell r="T142">
            <v>-323598.3</v>
          </cell>
          <cell r="U142">
            <v>-327965.46000000002</v>
          </cell>
          <cell r="V142">
            <v>-340512.59</v>
          </cell>
          <cell r="W142">
            <v>-343406.95</v>
          </cell>
          <cell r="X142">
            <v>-343819.51</v>
          </cell>
          <cell r="Y142">
            <v>-347639.23</v>
          </cell>
          <cell r="Z142">
            <v>-90877.15</v>
          </cell>
          <cell r="AA142">
            <v>-166008.59</v>
          </cell>
          <cell r="AB142">
            <v>-257917.83</v>
          </cell>
          <cell r="AC142">
            <v>-325737.87</v>
          </cell>
          <cell r="AD142">
            <v>-21041.33</v>
          </cell>
          <cell r="AE142">
            <v>-46070.19</v>
          </cell>
          <cell r="AF142">
            <v>-71466.05</v>
          </cell>
          <cell r="AG142">
            <v>-72804.41</v>
          </cell>
          <cell r="AH142">
            <v>-96192.5</v>
          </cell>
          <cell r="AI142">
            <v>-118764.01</v>
          </cell>
          <cell r="AJ142">
            <v>-121307.01</v>
          </cell>
          <cell r="AK142">
            <v>-153807.23000000001</v>
          </cell>
          <cell r="AL142">
            <v>0</v>
          </cell>
          <cell r="AM142">
            <v>0</v>
          </cell>
          <cell r="AN142" t="str">
            <v/>
          </cell>
          <cell r="AO142">
            <v>0</v>
          </cell>
          <cell r="AP142">
            <v>0</v>
          </cell>
          <cell r="AQ142">
            <v>0</v>
          </cell>
          <cell r="AR142">
            <v>420</v>
          </cell>
          <cell r="AS142">
            <v>0</v>
          </cell>
          <cell r="AT142" t="str">
            <v/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 t="str">
            <v/>
          </cell>
          <cell r="BK142">
            <v>2100</v>
          </cell>
          <cell r="BL142" t="str">
            <v>0</v>
          </cell>
          <cell r="BM142" t="str">
            <v>1</v>
          </cell>
          <cell r="BN142" t="str">
            <v/>
          </cell>
          <cell r="BO142" t="str">
            <v/>
          </cell>
        </row>
        <row r="143">
          <cell r="A143">
            <v>1</v>
          </cell>
          <cell r="B143">
            <v>2222030</v>
          </cell>
          <cell r="C143" t="str">
            <v>SALAIRE A PAYER</v>
          </cell>
          <cell r="D143" t="str">
            <v>SICK LEAVE</v>
          </cell>
          <cell r="E143" t="str">
            <v>N</v>
          </cell>
          <cell r="F143">
            <v>0</v>
          </cell>
          <cell r="G143">
            <v>0</v>
          </cell>
          <cell r="H143">
            <v>-0.67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0.67</v>
          </cell>
          <cell r="N143">
            <v>-0.67</v>
          </cell>
          <cell r="O143">
            <v>-0.67</v>
          </cell>
          <cell r="P143">
            <v>-0.67</v>
          </cell>
          <cell r="Q143">
            <v>-0.67</v>
          </cell>
          <cell r="R143">
            <v>-0.67</v>
          </cell>
          <cell r="S143">
            <v>-0.67</v>
          </cell>
          <cell r="T143">
            <v>-0.67</v>
          </cell>
          <cell r="U143">
            <v>-0.67</v>
          </cell>
          <cell r="V143">
            <v>-0.67</v>
          </cell>
          <cell r="W143">
            <v>-0.67</v>
          </cell>
          <cell r="X143">
            <v>-0.67</v>
          </cell>
          <cell r="Y143">
            <v>0</v>
          </cell>
          <cell r="Z143">
            <v>-779.24</v>
          </cell>
          <cell r="AA143">
            <v>-1908.43</v>
          </cell>
          <cell r="AB143">
            <v>-2593.5700000000002</v>
          </cell>
          <cell r="AC143">
            <v>-3096.67</v>
          </cell>
          <cell r="AD143">
            <v>-0.67</v>
          </cell>
          <cell r="AE143">
            <v>-0.67</v>
          </cell>
          <cell r="AF143">
            <v>-0.67</v>
          </cell>
          <cell r="AG143">
            <v>-0.67</v>
          </cell>
          <cell r="AH143">
            <v>-0.67</v>
          </cell>
          <cell r="AI143">
            <v>-0.67</v>
          </cell>
          <cell r="AJ143">
            <v>-0.67</v>
          </cell>
          <cell r="AK143">
            <v>-0.67</v>
          </cell>
          <cell r="AL143">
            <v>0</v>
          </cell>
          <cell r="AM143">
            <v>0</v>
          </cell>
          <cell r="AN143" t="str">
            <v/>
          </cell>
          <cell r="AO143">
            <v>0</v>
          </cell>
          <cell r="AP143">
            <v>0</v>
          </cell>
          <cell r="AQ143">
            <v>0</v>
          </cell>
          <cell r="AR143">
            <v>420</v>
          </cell>
          <cell r="AS143">
            <v>0</v>
          </cell>
          <cell r="AT143" t="str">
            <v/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 t="str">
            <v/>
          </cell>
          <cell r="BK143">
            <v>2100</v>
          </cell>
          <cell r="BL143" t="str">
            <v/>
          </cell>
          <cell r="BM143" t="str">
            <v>1</v>
          </cell>
          <cell r="BN143" t="str">
            <v/>
          </cell>
          <cell r="BO143" t="str">
            <v/>
          </cell>
        </row>
        <row r="144">
          <cell r="A144">
            <v>1</v>
          </cell>
          <cell r="B144">
            <v>2222040</v>
          </cell>
          <cell r="C144" t="str">
            <v>SALAIRE A PAYER</v>
          </cell>
          <cell r="D144" t="str">
            <v>BEREAVE LEAVE</v>
          </cell>
          <cell r="E144" t="str">
            <v>N</v>
          </cell>
          <cell r="F144">
            <v>0</v>
          </cell>
          <cell r="G144">
            <v>0</v>
          </cell>
          <cell r="H144">
            <v>-0.76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0.76</v>
          </cell>
          <cell r="N144">
            <v>-0.76</v>
          </cell>
          <cell r="O144">
            <v>-0.76</v>
          </cell>
          <cell r="P144">
            <v>-0.76</v>
          </cell>
          <cell r="Q144">
            <v>-0.76</v>
          </cell>
          <cell r="R144">
            <v>-0.76</v>
          </cell>
          <cell r="S144">
            <v>-0.76</v>
          </cell>
          <cell r="T144">
            <v>-0.76</v>
          </cell>
          <cell r="U144">
            <v>-0.76</v>
          </cell>
          <cell r="V144">
            <v>-0.76</v>
          </cell>
          <cell r="W144">
            <v>-0.76</v>
          </cell>
          <cell r="X144">
            <v>-0.76</v>
          </cell>
          <cell r="Y144">
            <v>0</v>
          </cell>
          <cell r="Z144">
            <v>-2974.56</v>
          </cell>
          <cell r="AA144">
            <v>-3354.72</v>
          </cell>
          <cell r="AB144">
            <v>-4400.24</v>
          </cell>
          <cell r="AC144">
            <v>-4964.3599999999997</v>
          </cell>
          <cell r="AD144">
            <v>-0.76</v>
          </cell>
          <cell r="AE144">
            <v>-0.76</v>
          </cell>
          <cell r="AF144">
            <v>-0.76</v>
          </cell>
          <cell r="AG144">
            <v>-0.76</v>
          </cell>
          <cell r="AH144">
            <v>-0.76</v>
          </cell>
          <cell r="AI144">
            <v>-0.76</v>
          </cell>
          <cell r="AJ144">
            <v>-0.76</v>
          </cell>
          <cell r="AK144">
            <v>-0.76</v>
          </cell>
          <cell r="AL144">
            <v>0</v>
          </cell>
          <cell r="AM144">
            <v>0</v>
          </cell>
          <cell r="AN144" t="str">
            <v/>
          </cell>
          <cell r="AO144">
            <v>0</v>
          </cell>
          <cell r="AP144">
            <v>0</v>
          </cell>
          <cell r="AQ144">
            <v>0</v>
          </cell>
          <cell r="AR144">
            <v>420</v>
          </cell>
          <cell r="AS144">
            <v>0</v>
          </cell>
          <cell r="AT144" t="str">
            <v/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 t="str">
            <v/>
          </cell>
          <cell r="BK144">
            <v>2100</v>
          </cell>
          <cell r="BL144" t="str">
            <v/>
          </cell>
          <cell r="BM144" t="str">
            <v>1</v>
          </cell>
          <cell r="BN144" t="str">
            <v/>
          </cell>
          <cell r="BO144" t="str">
            <v/>
          </cell>
        </row>
        <row r="145">
          <cell r="A145">
            <v>1</v>
          </cell>
          <cell r="B145">
            <v>2222050</v>
          </cell>
          <cell r="C145" t="str">
            <v>SALAIRE A PAYER</v>
          </cell>
          <cell r="D145" t="str">
            <v>PART EMPLOYE ASS GROUPE</v>
          </cell>
          <cell r="E145" t="str">
            <v>N</v>
          </cell>
          <cell r="F145">
            <v>0</v>
          </cell>
          <cell r="G145">
            <v>0</v>
          </cell>
          <cell r="H145">
            <v>0.46</v>
          </cell>
          <cell r="I145">
            <v>0</v>
          </cell>
          <cell r="J145">
            <v>0</v>
          </cell>
          <cell r="K145">
            <v>0</v>
          </cell>
          <cell r="L145">
            <v>0.46</v>
          </cell>
          <cell r="M145">
            <v>0</v>
          </cell>
          <cell r="N145">
            <v>0.46</v>
          </cell>
          <cell r="O145">
            <v>0.46</v>
          </cell>
          <cell r="P145">
            <v>0.46</v>
          </cell>
          <cell r="Q145">
            <v>0.46</v>
          </cell>
          <cell r="R145">
            <v>0.46</v>
          </cell>
          <cell r="S145">
            <v>0.46</v>
          </cell>
          <cell r="T145">
            <v>0.46</v>
          </cell>
          <cell r="U145">
            <v>0.46</v>
          </cell>
          <cell r="V145">
            <v>0.46</v>
          </cell>
          <cell r="W145">
            <v>0.46</v>
          </cell>
          <cell r="X145">
            <v>0.46</v>
          </cell>
          <cell r="Y145">
            <v>0</v>
          </cell>
          <cell r="Z145">
            <v>13978.59</v>
          </cell>
          <cell r="AA145">
            <v>26375.32</v>
          </cell>
          <cell r="AB145">
            <v>41028.04</v>
          </cell>
          <cell r="AC145">
            <v>51258.45</v>
          </cell>
          <cell r="AD145">
            <v>0.46</v>
          </cell>
          <cell r="AE145">
            <v>0.46</v>
          </cell>
          <cell r="AF145">
            <v>0.46</v>
          </cell>
          <cell r="AG145">
            <v>0.46</v>
          </cell>
          <cell r="AH145">
            <v>0.46</v>
          </cell>
          <cell r="AI145">
            <v>0.46</v>
          </cell>
          <cell r="AJ145">
            <v>0.46</v>
          </cell>
          <cell r="AK145">
            <v>0.46</v>
          </cell>
          <cell r="AL145">
            <v>0</v>
          </cell>
          <cell r="AM145">
            <v>0</v>
          </cell>
          <cell r="AN145" t="str">
            <v/>
          </cell>
          <cell r="AO145">
            <v>0</v>
          </cell>
          <cell r="AP145">
            <v>0</v>
          </cell>
          <cell r="AQ145">
            <v>0</v>
          </cell>
          <cell r="AR145">
            <v>420</v>
          </cell>
          <cell r="AS145">
            <v>0</v>
          </cell>
          <cell r="AT145" t="str">
            <v/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 t="str">
            <v/>
          </cell>
          <cell r="BK145">
            <v>2100</v>
          </cell>
          <cell r="BL145" t="str">
            <v/>
          </cell>
          <cell r="BM145" t="str">
            <v>1</v>
          </cell>
          <cell r="BN145" t="str">
            <v/>
          </cell>
          <cell r="BO145" t="str">
            <v/>
          </cell>
        </row>
        <row r="146">
          <cell r="A146">
            <v>1</v>
          </cell>
          <cell r="B146">
            <v>2222060</v>
          </cell>
          <cell r="C146" t="str">
            <v>SALAIRE A PAYER</v>
          </cell>
          <cell r="D146" t="str">
            <v>AETNA ASS</v>
          </cell>
          <cell r="E146" t="str">
            <v>N</v>
          </cell>
          <cell r="F146">
            <v>0</v>
          </cell>
          <cell r="G146">
            <v>0</v>
          </cell>
          <cell r="H146">
            <v>-96852.24</v>
          </cell>
          <cell r="I146">
            <v>295825.89</v>
          </cell>
          <cell r="J146">
            <v>347842.07</v>
          </cell>
          <cell r="K146">
            <v>0</v>
          </cell>
          <cell r="L146">
            <v>0</v>
          </cell>
          <cell r="M146">
            <v>0</v>
          </cell>
          <cell r="N146">
            <v>-193337.29</v>
          </cell>
          <cell r="O146">
            <v>-193337.29</v>
          </cell>
          <cell r="P146">
            <v>-218054.73</v>
          </cell>
          <cell r="Q146">
            <v>-96852.24</v>
          </cell>
          <cell r="R146">
            <v>-108243.26</v>
          </cell>
          <cell r="S146">
            <v>-108243.26</v>
          </cell>
          <cell r="T146">
            <v>-119577.28</v>
          </cell>
          <cell r="U146">
            <v>-119577.28</v>
          </cell>
          <cell r="V146">
            <v>-131086.84</v>
          </cell>
          <cell r="W146">
            <v>-96852.24</v>
          </cell>
          <cell r="X146">
            <v>-96852.24</v>
          </cell>
          <cell r="Y146">
            <v>-96852.24</v>
          </cell>
          <cell r="Z146">
            <v>-8776.85</v>
          </cell>
          <cell r="AA146">
            <v>-90770.74</v>
          </cell>
          <cell r="AB146">
            <v>-90770.74</v>
          </cell>
          <cell r="AC146">
            <v>-90770.74</v>
          </cell>
          <cell r="AD146">
            <v>-13594.03</v>
          </cell>
          <cell r="AE146">
            <v>-32831.64</v>
          </cell>
          <cell r="AF146">
            <v>-35503.06</v>
          </cell>
          <cell r="AG146">
            <v>-45375.31</v>
          </cell>
          <cell r="AH146">
            <v>-92171.46</v>
          </cell>
          <cell r="AI146">
            <v>-113713.62</v>
          </cell>
          <cell r="AJ146">
            <v>-148868.42000000001</v>
          </cell>
          <cell r="AK146">
            <v>-148868.42000000001</v>
          </cell>
          <cell r="AL146">
            <v>0</v>
          </cell>
          <cell r="AM146">
            <v>0</v>
          </cell>
          <cell r="AN146" t="str">
            <v/>
          </cell>
          <cell r="AO146">
            <v>0</v>
          </cell>
          <cell r="AP146">
            <v>0</v>
          </cell>
          <cell r="AQ146">
            <v>0</v>
          </cell>
          <cell r="AR146">
            <v>420</v>
          </cell>
          <cell r="AS146">
            <v>0</v>
          </cell>
          <cell r="AT146" t="str">
            <v/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 t="str">
            <v/>
          </cell>
          <cell r="BK146">
            <v>2100</v>
          </cell>
          <cell r="BL146" t="str">
            <v/>
          </cell>
          <cell r="BM146" t="str">
            <v>1</v>
          </cell>
          <cell r="BN146" t="str">
            <v/>
          </cell>
          <cell r="BO146" t="str">
            <v/>
          </cell>
        </row>
        <row r="147">
          <cell r="A147">
            <v>1</v>
          </cell>
          <cell r="B147">
            <v>2222070</v>
          </cell>
          <cell r="C147" t="str">
            <v>SALAIRE A PAYER</v>
          </cell>
          <cell r="D147" t="str">
            <v>GOVERMENT PENSION</v>
          </cell>
          <cell r="E147" t="str">
            <v>N</v>
          </cell>
          <cell r="F147">
            <v>0</v>
          </cell>
          <cell r="G147">
            <v>0</v>
          </cell>
          <cell r="H147">
            <v>-0.8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0.8</v>
          </cell>
          <cell r="N147">
            <v>-0.8</v>
          </cell>
          <cell r="O147">
            <v>-0.8</v>
          </cell>
          <cell r="P147">
            <v>-0.8</v>
          </cell>
          <cell r="Q147">
            <v>-0.8</v>
          </cell>
          <cell r="R147">
            <v>-0.8</v>
          </cell>
          <cell r="S147">
            <v>-0.8</v>
          </cell>
          <cell r="T147">
            <v>-0.8</v>
          </cell>
          <cell r="U147">
            <v>-0.8</v>
          </cell>
          <cell r="V147">
            <v>-0.8</v>
          </cell>
          <cell r="W147">
            <v>-0.8</v>
          </cell>
          <cell r="X147">
            <v>-0.8</v>
          </cell>
          <cell r="Y147">
            <v>0</v>
          </cell>
          <cell r="Z147">
            <v>-32367.3</v>
          </cell>
          <cell r="AA147">
            <v>-58953.35</v>
          </cell>
          <cell r="AB147">
            <v>-91543.79</v>
          </cell>
          <cell r="AC147">
            <v>-115612.18</v>
          </cell>
          <cell r="AD147">
            <v>-0.8</v>
          </cell>
          <cell r="AE147">
            <v>-0.8</v>
          </cell>
          <cell r="AF147">
            <v>-0.8</v>
          </cell>
          <cell r="AG147">
            <v>-0.8</v>
          </cell>
          <cell r="AH147">
            <v>-0.8</v>
          </cell>
          <cell r="AI147">
            <v>-0.8</v>
          </cell>
          <cell r="AJ147">
            <v>-0.8</v>
          </cell>
          <cell r="AK147">
            <v>-0.8</v>
          </cell>
          <cell r="AL147">
            <v>0</v>
          </cell>
          <cell r="AM147">
            <v>0</v>
          </cell>
          <cell r="AN147" t="str">
            <v/>
          </cell>
          <cell r="AO147">
            <v>0</v>
          </cell>
          <cell r="AP147">
            <v>0</v>
          </cell>
          <cell r="AQ147">
            <v>0</v>
          </cell>
          <cell r="AR147">
            <v>420</v>
          </cell>
          <cell r="AS147">
            <v>0</v>
          </cell>
          <cell r="AT147" t="str">
            <v/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 t="str">
            <v/>
          </cell>
          <cell r="BK147">
            <v>2100</v>
          </cell>
          <cell r="BL147" t="str">
            <v/>
          </cell>
          <cell r="BM147" t="str">
            <v>1</v>
          </cell>
          <cell r="BN147" t="str">
            <v/>
          </cell>
          <cell r="BO147" t="str">
            <v/>
          </cell>
        </row>
        <row r="148">
          <cell r="A148">
            <v>1</v>
          </cell>
          <cell r="B148">
            <v>2222080</v>
          </cell>
          <cell r="C148" t="str">
            <v>SALAIRE A PAYER D910-911</v>
          </cell>
          <cell r="D148" t="str">
            <v>PENSION COMPAGNIE</v>
          </cell>
          <cell r="E148" t="str">
            <v>N</v>
          </cell>
          <cell r="F148">
            <v>0</v>
          </cell>
          <cell r="G148">
            <v>0</v>
          </cell>
          <cell r="H148">
            <v>27436.94</v>
          </cell>
          <cell r="I148">
            <v>485579</v>
          </cell>
          <cell r="J148">
            <v>389184.58</v>
          </cell>
          <cell r="K148">
            <v>0</v>
          </cell>
          <cell r="L148">
            <v>26843.78</v>
          </cell>
          <cell r="M148">
            <v>16805.82</v>
          </cell>
          <cell r="N148">
            <v>-65407.92</v>
          </cell>
          <cell r="O148">
            <v>24052.26</v>
          </cell>
          <cell r="P148">
            <v>27906.34</v>
          </cell>
          <cell r="Q148">
            <v>21180.78</v>
          </cell>
          <cell r="R148">
            <v>23442.99</v>
          </cell>
          <cell r="S148">
            <v>29485.03</v>
          </cell>
          <cell r="T148">
            <v>26637.93</v>
          </cell>
          <cell r="U148">
            <v>27630.31</v>
          </cell>
          <cell r="V148">
            <v>21952.75</v>
          </cell>
          <cell r="W148">
            <v>22110.95</v>
          </cell>
          <cell r="X148">
            <v>27436.94</v>
          </cell>
          <cell r="Y148">
            <v>17398.98</v>
          </cell>
          <cell r="Z148">
            <v>-31353.33</v>
          </cell>
          <cell r="AA148">
            <v>-57141.2</v>
          </cell>
          <cell r="AB148">
            <v>-89182.13</v>
          </cell>
          <cell r="AC148">
            <v>-112658.53</v>
          </cell>
          <cell r="AD148">
            <v>11014.48</v>
          </cell>
          <cell r="AE148">
            <v>23059.040000000001</v>
          </cell>
          <cell r="AF148">
            <v>27811.63</v>
          </cell>
          <cell r="AG148">
            <v>22960.11</v>
          </cell>
          <cell r="AH148">
            <v>23176.77</v>
          </cell>
          <cell r="AI148">
            <v>27389.86</v>
          </cell>
          <cell r="AJ148">
            <v>23617</v>
          </cell>
          <cell r="AK148">
            <v>123831.36</v>
          </cell>
          <cell r="AL148">
            <v>0</v>
          </cell>
          <cell r="AM148">
            <v>0</v>
          </cell>
          <cell r="AN148" t="str">
            <v/>
          </cell>
          <cell r="AO148">
            <v>0</v>
          </cell>
          <cell r="AP148">
            <v>0</v>
          </cell>
          <cell r="AQ148">
            <v>0</v>
          </cell>
          <cell r="AR148">
            <v>420</v>
          </cell>
          <cell r="AS148">
            <v>0</v>
          </cell>
          <cell r="AT148" t="str">
            <v/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 t="str">
            <v/>
          </cell>
          <cell r="BK148">
            <v>2100</v>
          </cell>
          <cell r="BL148" t="str">
            <v>0</v>
          </cell>
          <cell r="BM148" t="str">
            <v>1</v>
          </cell>
          <cell r="BN148" t="str">
            <v/>
          </cell>
          <cell r="BO148" t="str">
            <v/>
          </cell>
        </row>
        <row r="149">
          <cell r="A149">
            <v>1</v>
          </cell>
          <cell r="B149">
            <v>2222090</v>
          </cell>
          <cell r="C149" t="str">
            <v>SALAIRE A PAYER</v>
          </cell>
          <cell r="D149" t="str">
            <v>SAFETY SHOE</v>
          </cell>
          <cell r="E149" t="str">
            <v>N</v>
          </cell>
          <cell r="F149">
            <v>0</v>
          </cell>
          <cell r="G149">
            <v>0</v>
          </cell>
          <cell r="H149">
            <v>-0.31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0.31</v>
          </cell>
          <cell r="N149">
            <v>-0.31</v>
          </cell>
          <cell r="O149">
            <v>-0.31</v>
          </cell>
          <cell r="P149">
            <v>-0.31</v>
          </cell>
          <cell r="Q149">
            <v>-0.31</v>
          </cell>
          <cell r="R149">
            <v>-0.31</v>
          </cell>
          <cell r="S149">
            <v>-0.31</v>
          </cell>
          <cell r="T149">
            <v>-0.31</v>
          </cell>
          <cell r="U149">
            <v>-0.31</v>
          </cell>
          <cell r="V149">
            <v>-0.31</v>
          </cell>
          <cell r="W149">
            <v>-0.31</v>
          </cell>
          <cell r="X149">
            <v>-0.31</v>
          </cell>
          <cell r="Y149">
            <v>0</v>
          </cell>
          <cell r="Z149">
            <v>-538.58000000000004</v>
          </cell>
          <cell r="AA149">
            <v>-1043.58</v>
          </cell>
          <cell r="AB149">
            <v>-2121.2199999999998</v>
          </cell>
          <cell r="AC149">
            <v>-2609.84</v>
          </cell>
          <cell r="AD149">
            <v>-0.31</v>
          </cell>
          <cell r="AE149">
            <v>-0.31</v>
          </cell>
          <cell r="AF149">
            <v>-0.31</v>
          </cell>
          <cell r="AG149">
            <v>-0.31</v>
          </cell>
          <cell r="AH149">
            <v>-0.31</v>
          </cell>
          <cell r="AI149">
            <v>-0.31</v>
          </cell>
          <cell r="AJ149">
            <v>-0.31</v>
          </cell>
          <cell r="AK149">
            <v>-0.31</v>
          </cell>
          <cell r="AL149">
            <v>0</v>
          </cell>
          <cell r="AM149">
            <v>0</v>
          </cell>
          <cell r="AN149" t="str">
            <v/>
          </cell>
          <cell r="AO149">
            <v>0</v>
          </cell>
          <cell r="AP149">
            <v>0</v>
          </cell>
          <cell r="AQ149">
            <v>0</v>
          </cell>
          <cell r="AR149">
            <v>420</v>
          </cell>
          <cell r="AS149">
            <v>0</v>
          </cell>
          <cell r="AT149" t="str">
            <v/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 t="str">
            <v/>
          </cell>
          <cell r="BK149">
            <v>2100</v>
          </cell>
          <cell r="BL149" t="str">
            <v/>
          </cell>
          <cell r="BM149" t="str">
            <v>1</v>
          </cell>
          <cell r="BN149" t="str">
            <v/>
          </cell>
          <cell r="BO149" t="str">
            <v/>
          </cell>
        </row>
        <row r="150">
          <cell r="A150">
            <v>1</v>
          </cell>
          <cell r="B150">
            <v>2222100</v>
          </cell>
          <cell r="C150" t="str">
            <v>SALAIRE A PAYER</v>
          </cell>
          <cell r="D150" t="str">
            <v>UIC</v>
          </cell>
          <cell r="E150" t="str">
            <v>N</v>
          </cell>
          <cell r="F150">
            <v>0</v>
          </cell>
          <cell r="G150">
            <v>0</v>
          </cell>
          <cell r="H150">
            <v>-0.88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0.88</v>
          </cell>
          <cell r="N150">
            <v>-0.88</v>
          </cell>
          <cell r="O150">
            <v>-0.88</v>
          </cell>
          <cell r="P150">
            <v>-0.88</v>
          </cell>
          <cell r="Q150">
            <v>-0.88</v>
          </cell>
          <cell r="R150">
            <v>-0.88</v>
          </cell>
          <cell r="S150">
            <v>-0.88</v>
          </cell>
          <cell r="T150">
            <v>-0.88</v>
          </cell>
          <cell r="U150">
            <v>-0.88</v>
          </cell>
          <cell r="V150">
            <v>-0.88</v>
          </cell>
          <cell r="W150">
            <v>-0.88</v>
          </cell>
          <cell r="X150">
            <v>-0.88</v>
          </cell>
          <cell r="Y150">
            <v>0</v>
          </cell>
          <cell r="Z150">
            <v>-36057.800000000003</v>
          </cell>
          <cell r="AA150">
            <v>-65761.279999999999</v>
          </cell>
          <cell r="AB150">
            <v>-102189.24</v>
          </cell>
          <cell r="AC150">
            <v>-129074.2</v>
          </cell>
          <cell r="AD150">
            <v>-0.88</v>
          </cell>
          <cell r="AE150">
            <v>-0.88</v>
          </cell>
          <cell r="AF150">
            <v>-0.88</v>
          </cell>
          <cell r="AG150">
            <v>-0.88</v>
          </cell>
          <cell r="AH150">
            <v>-0.88</v>
          </cell>
          <cell r="AI150">
            <v>-0.88</v>
          </cell>
          <cell r="AJ150">
            <v>-0.88</v>
          </cell>
          <cell r="AK150">
            <v>-0.88</v>
          </cell>
          <cell r="AL150">
            <v>0</v>
          </cell>
          <cell r="AM150">
            <v>0</v>
          </cell>
          <cell r="AN150" t="str">
            <v/>
          </cell>
          <cell r="AO150">
            <v>0</v>
          </cell>
          <cell r="AP150">
            <v>0</v>
          </cell>
          <cell r="AQ150">
            <v>0</v>
          </cell>
          <cell r="AR150">
            <v>420</v>
          </cell>
          <cell r="AS150">
            <v>0</v>
          </cell>
          <cell r="AT150" t="str">
            <v/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 t="str">
            <v/>
          </cell>
          <cell r="BK150">
            <v>2100</v>
          </cell>
          <cell r="BL150" t="str">
            <v/>
          </cell>
          <cell r="BM150" t="str">
            <v>1</v>
          </cell>
          <cell r="BN150" t="str">
            <v/>
          </cell>
          <cell r="BO150" t="str">
            <v/>
          </cell>
        </row>
        <row r="151">
          <cell r="A151">
            <v>1</v>
          </cell>
          <cell r="B151">
            <v>2222110</v>
          </cell>
          <cell r="C151" t="str">
            <v>SALAIRE A PAYER</v>
          </cell>
          <cell r="D151" t="str">
            <v>SAFETY GLASS</v>
          </cell>
          <cell r="E151" t="str">
            <v>N</v>
          </cell>
          <cell r="F151">
            <v>0</v>
          </cell>
          <cell r="G151">
            <v>0</v>
          </cell>
          <cell r="H151">
            <v>-604.82000000000005</v>
          </cell>
          <cell r="I151">
            <v>141.6</v>
          </cell>
          <cell r="J151">
            <v>0</v>
          </cell>
          <cell r="K151">
            <v>0</v>
          </cell>
          <cell r="L151">
            <v>0</v>
          </cell>
          <cell r="M151">
            <v>604.82000000000005</v>
          </cell>
          <cell r="N151">
            <v>-604.82000000000005</v>
          </cell>
          <cell r="O151">
            <v>-604.82000000000005</v>
          </cell>
          <cell r="P151">
            <v>-604.82000000000005</v>
          </cell>
          <cell r="Q151">
            <v>-604.82000000000005</v>
          </cell>
          <cell r="R151">
            <v>-604.82000000000005</v>
          </cell>
          <cell r="S151">
            <v>-604.82000000000005</v>
          </cell>
          <cell r="T151">
            <v>-604.82000000000005</v>
          </cell>
          <cell r="U151">
            <v>-604.82000000000005</v>
          </cell>
          <cell r="V151">
            <v>-604.82000000000005</v>
          </cell>
          <cell r="W151">
            <v>-604.82000000000005</v>
          </cell>
          <cell r="X151">
            <v>-604.82000000000005</v>
          </cell>
          <cell r="Y151">
            <v>0</v>
          </cell>
          <cell r="Z151">
            <v>-1504.77</v>
          </cell>
          <cell r="AA151">
            <v>-2066.64</v>
          </cell>
          <cell r="AB151">
            <v>-2772.22</v>
          </cell>
          <cell r="AC151">
            <v>-3280.64</v>
          </cell>
          <cell r="AD151">
            <v>-0.7</v>
          </cell>
          <cell r="AE151">
            <v>-0.7</v>
          </cell>
          <cell r="AF151">
            <v>-178.4</v>
          </cell>
          <cell r="AG151">
            <v>-401.35</v>
          </cell>
          <cell r="AH151">
            <v>-463.22</v>
          </cell>
          <cell r="AI151">
            <v>-463.22</v>
          </cell>
          <cell r="AJ151">
            <v>-463.22</v>
          </cell>
          <cell r="AK151">
            <v>-463.22</v>
          </cell>
          <cell r="AL151">
            <v>0</v>
          </cell>
          <cell r="AM151">
            <v>0</v>
          </cell>
          <cell r="AN151" t="str">
            <v/>
          </cell>
          <cell r="AO151">
            <v>0</v>
          </cell>
          <cell r="AP151">
            <v>0</v>
          </cell>
          <cell r="AQ151">
            <v>0</v>
          </cell>
          <cell r="AR151">
            <v>420</v>
          </cell>
          <cell r="AS151">
            <v>0</v>
          </cell>
          <cell r="AT151" t="str">
            <v/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 t="str">
            <v/>
          </cell>
          <cell r="BK151">
            <v>2100</v>
          </cell>
          <cell r="BL151" t="str">
            <v/>
          </cell>
          <cell r="BM151" t="str">
            <v>1</v>
          </cell>
          <cell r="BN151" t="str">
            <v/>
          </cell>
          <cell r="BO151" t="str">
            <v/>
          </cell>
        </row>
        <row r="152">
          <cell r="A152">
            <v>1</v>
          </cell>
          <cell r="B152">
            <v>2222120</v>
          </cell>
          <cell r="C152" t="str">
            <v>SALAIRE A PAYER</v>
          </cell>
          <cell r="D152" t="str">
            <v>CSST SURRENT YEAR</v>
          </cell>
          <cell r="E152" t="str">
            <v>N</v>
          </cell>
          <cell r="F152">
            <v>0</v>
          </cell>
          <cell r="G152">
            <v>0</v>
          </cell>
          <cell r="H152">
            <v>307590.93</v>
          </cell>
          <cell r="I152">
            <v>0</v>
          </cell>
          <cell r="J152">
            <v>307590.92</v>
          </cell>
          <cell r="K152">
            <v>0</v>
          </cell>
          <cell r="L152">
            <v>0</v>
          </cell>
          <cell r="M152">
            <v>12860.99</v>
          </cell>
          <cell r="N152">
            <v>29918.44</v>
          </cell>
          <cell r="O152">
            <v>54992.92</v>
          </cell>
          <cell r="P152">
            <v>83756.740000000005</v>
          </cell>
          <cell r="Q152">
            <v>107283.75</v>
          </cell>
          <cell r="R152">
            <v>139193.74</v>
          </cell>
          <cell r="S152">
            <v>171671.64</v>
          </cell>
          <cell r="T152">
            <v>197561.84</v>
          </cell>
          <cell r="U152">
            <v>227383.1</v>
          </cell>
          <cell r="V152">
            <v>250700.69</v>
          </cell>
          <cell r="W152">
            <v>273460.68</v>
          </cell>
          <cell r="X152">
            <v>307590.93</v>
          </cell>
          <cell r="Y152">
            <v>320451.92</v>
          </cell>
          <cell r="Z152">
            <v>-25000</v>
          </cell>
          <cell r="AA152">
            <v>-50000</v>
          </cell>
          <cell r="AB152">
            <v>-75000</v>
          </cell>
          <cell r="AC152">
            <v>-100000</v>
          </cell>
          <cell r="AD152">
            <v>12166.92</v>
          </cell>
          <cell r="AE152">
            <v>44992.04</v>
          </cell>
          <cell r="AF152">
            <v>79327.83</v>
          </cell>
          <cell r="AG152">
            <v>107153.98</v>
          </cell>
          <cell r="AH152">
            <v>134074.38</v>
          </cell>
          <cell r="AI152">
            <v>166388.67000000001</v>
          </cell>
          <cell r="AJ152">
            <v>190690.82</v>
          </cell>
          <cell r="AK152">
            <v>0.01</v>
          </cell>
          <cell r="AL152">
            <v>0</v>
          </cell>
          <cell r="AM152">
            <v>0</v>
          </cell>
          <cell r="AN152" t="str">
            <v/>
          </cell>
          <cell r="AO152">
            <v>0</v>
          </cell>
          <cell r="AP152">
            <v>0</v>
          </cell>
          <cell r="AQ152">
            <v>0</v>
          </cell>
          <cell r="AR152">
            <v>420</v>
          </cell>
          <cell r="AS152">
            <v>0</v>
          </cell>
          <cell r="AT152" t="str">
            <v/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 t="str">
            <v/>
          </cell>
          <cell r="BK152">
            <v>2100</v>
          </cell>
          <cell r="BL152" t="str">
            <v/>
          </cell>
          <cell r="BM152" t="str">
            <v>1</v>
          </cell>
          <cell r="BN152" t="str">
            <v/>
          </cell>
          <cell r="BO152" t="str">
            <v/>
          </cell>
        </row>
        <row r="153">
          <cell r="A153">
            <v>1</v>
          </cell>
          <cell r="B153">
            <v>2222130</v>
          </cell>
          <cell r="C153" t="str">
            <v>SALAIRE A PAYER</v>
          </cell>
          <cell r="D153" t="str">
            <v>MEDICAIRE</v>
          </cell>
          <cell r="E153" t="str">
            <v>N</v>
          </cell>
          <cell r="F153">
            <v>0</v>
          </cell>
          <cell r="G153">
            <v>0</v>
          </cell>
          <cell r="H153">
            <v>-0.37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0.37</v>
          </cell>
          <cell r="N153">
            <v>-0.37</v>
          </cell>
          <cell r="O153">
            <v>-0.37</v>
          </cell>
          <cell r="P153">
            <v>-0.37</v>
          </cell>
          <cell r="Q153">
            <v>-0.37</v>
          </cell>
          <cell r="R153">
            <v>-0.37</v>
          </cell>
          <cell r="S153">
            <v>-0.37</v>
          </cell>
          <cell r="T153">
            <v>-0.37</v>
          </cell>
          <cell r="U153">
            <v>-0.37</v>
          </cell>
          <cell r="V153">
            <v>-0.37</v>
          </cell>
          <cell r="W153">
            <v>-0.37</v>
          </cell>
          <cell r="X153">
            <v>-0.37</v>
          </cell>
          <cell r="Y153">
            <v>0</v>
          </cell>
          <cell r="Z153">
            <v>-43594.8</v>
          </cell>
          <cell r="AA153">
            <v>-79523.179999999993</v>
          </cell>
          <cell r="AB153">
            <v>-123583.78</v>
          </cell>
          <cell r="AC153">
            <v>-213877.14</v>
          </cell>
          <cell r="AD153">
            <v>-0.37</v>
          </cell>
          <cell r="AE153">
            <v>-0.37</v>
          </cell>
          <cell r="AF153">
            <v>-0.37</v>
          </cell>
          <cell r="AG153">
            <v>-0.37</v>
          </cell>
          <cell r="AH153">
            <v>-0.37</v>
          </cell>
          <cell r="AI153">
            <v>-0.37</v>
          </cell>
          <cell r="AJ153">
            <v>-0.37</v>
          </cell>
          <cell r="AK153">
            <v>-0.37</v>
          </cell>
          <cell r="AL153">
            <v>0</v>
          </cell>
          <cell r="AM153">
            <v>0</v>
          </cell>
          <cell r="AN153" t="str">
            <v/>
          </cell>
          <cell r="AO153">
            <v>0</v>
          </cell>
          <cell r="AP153">
            <v>0</v>
          </cell>
          <cell r="AQ153">
            <v>0</v>
          </cell>
          <cell r="AR153">
            <v>420</v>
          </cell>
          <cell r="AS153">
            <v>0</v>
          </cell>
          <cell r="AT153" t="str">
            <v/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 t="str">
            <v/>
          </cell>
          <cell r="BK153">
            <v>2100</v>
          </cell>
          <cell r="BL153" t="str">
            <v/>
          </cell>
          <cell r="BM153" t="str">
            <v>1</v>
          </cell>
          <cell r="BN153" t="str">
            <v/>
          </cell>
          <cell r="BO153" t="str">
            <v/>
          </cell>
        </row>
        <row r="154">
          <cell r="A154">
            <v>1</v>
          </cell>
          <cell r="B154">
            <v>2222140</v>
          </cell>
          <cell r="C154" t="str">
            <v>SALAIRE A PAYER</v>
          </cell>
          <cell r="D154" t="str">
            <v>COMITE PRITAIRE</v>
          </cell>
          <cell r="E154" t="str">
            <v>N</v>
          </cell>
          <cell r="F154">
            <v>0</v>
          </cell>
          <cell r="G154">
            <v>0</v>
          </cell>
          <cell r="H154">
            <v>0.03</v>
          </cell>
          <cell r="I154">
            <v>0</v>
          </cell>
          <cell r="J154">
            <v>0</v>
          </cell>
          <cell r="K154">
            <v>0</v>
          </cell>
          <cell r="L154">
            <v>0.03</v>
          </cell>
          <cell r="M154">
            <v>0</v>
          </cell>
          <cell r="N154">
            <v>0.03</v>
          </cell>
          <cell r="O154">
            <v>0.03</v>
          </cell>
          <cell r="P154">
            <v>0.03</v>
          </cell>
          <cell r="Q154">
            <v>0.03</v>
          </cell>
          <cell r="R154">
            <v>0.03</v>
          </cell>
          <cell r="S154">
            <v>0.03</v>
          </cell>
          <cell r="T154">
            <v>0.03</v>
          </cell>
          <cell r="U154">
            <v>0.03</v>
          </cell>
          <cell r="V154">
            <v>0.03</v>
          </cell>
          <cell r="W154">
            <v>0.03</v>
          </cell>
          <cell r="X154">
            <v>0.03</v>
          </cell>
          <cell r="Y154">
            <v>0</v>
          </cell>
          <cell r="Z154">
            <v>-437.12</v>
          </cell>
          <cell r="AA154">
            <v>-824.74</v>
          </cell>
          <cell r="AB154">
            <v>-1466.02</v>
          </cell>
          <cell r="AC154">
            <v>-1777.97</v>
          </cell>
          <cell r="AD154">
            <v>0.03</v>
          </cell>
          <cell r="AE154">
            <v>0.03</v>
          </cell>
          <cell r="AF154">
            <v>0.03</v>
          </cell>
          <cell r="AG154">
            <v>0.03</v>
          </cell>
          <cell r="AH154">
            <v>0.03</v>
          </cell>
          <cell r="AI154">
            <v>0.03</v>
          </cell>
          <cell r="AJ154">
            <v>0.03</v>
          </cell>
          <cell r="AK154">
            <v>0.03</v>
          </cell>
          <cell r="AL154">
            <v>0</v>
          </cell>
          <cell r="AM154">
            <v>0</v>
          </cell>
          <cell r="AN154" t="str">
            <v/>
          </cell>
          <cell r="AO154">
            <v>0</v>
          </cell>
          <cell r="AP154">
            <v>0</v>
          </cell>
          <cell r="AQ154">
            <v>0</v>
          </cell>
          <cell r="AR154">
            <v>420</v>
          </cell>
          <cell r="AS154">
            <v>0</v>
          </cell>
          <cell r="AT154" t="str">
            <v/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 t="str">
            <v/>
          </cell>
          <cell r="BK154">
            <v>2100</v>
          </cell>
          <cell r="BL154" t="str">
            <v/>
          </cell>
          <cell r="BM154" t="str">
            <v>1</v>
          </cell>
          <cell r="BN154" t="str">
            <v/>
          </cell>
          <cell r="BO154" t="str">
            <v/>
          </cell>
        </row>
        <row r="155">
          <cell r="A155">
            <v>1</v>
          </cell>
          <cell r="B155">
            <v>2222150</v>
          </cell>
          <cell r="C155" t="str">
            <v>SALAIRE A PAYER</v>
          </cell>
          <cell r="D155" t="str">
            <v>ADJUSTEMENT</v>
          </cell>
          <cell r="E155" t="str">
            <v>N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 t="str">
            <v/>
          </cell>
          <cell r="AO155">
            <v>0</v>
          </cell>
          <cell r="AP155">
            <v>0</v>
          </cell>
          <cell r="AQ155">
            <v>0</v>
          </cell>
          <cell r="AR155">
            <v>420</v>
          </cell>
          <cell r="AS155">
            <v>0</v>
          </cell>
          <cell r="AT155" t="str">
            <v/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 t="str">
            <v/>
          </cell>
          <cell r="BK155">
            <v>2100</v>
          </cell>
          <cell r="BL155" t="str">
            <v/>
          </cell>
          <cell r="BM155" t="str">
            <v>1</v>
          </cell>
          <cell r="BN155" t="str">
            <v/>
          </cell>
          <cell r="BO155" t="str">
            <v/>
          </cell>
        </row>
        <row r="156">
          <cell r="A156">
            <v>1</v>
          </cell>
          <cell r="B156">
            <v>2222160</v>
          </cell>
          <cell r="C156" t="str">
            <v>SALAIRE A PAYER</v>
          </cell>
          <cell r="D156" t="str">
            <v>VACANCE SYNDIQUE</v>
          </cell>
          <cell r="E156" t="str">
            <v>N</v>
          </cell>
          <cell r="F156">
            <v>0</v>
          </cell>
          <cell r="G156">
            <v>0</v>
          </cell>
          <cell r="H156">
            <v>619255.79</v>
          </cell>
          <cell r="I156">
            <v>286936.90999999997</v>
          </cell>
          <cell r="J156">
            <v>94323.88</v>
          </cell>
          <cell r="K156">
            <v>0</v>
          </cell>
          <cell r="L156">
            <v>0</v>
          </cell>
          <cell r="M156">
            <v>0</v>
          </cell>
          <cell r="N156">
            <v>906192.7</v>
          </cell>
          <cell r="O156">
            <v>811868.82</v>
          </cell>
          <cell r="P156">
            <v>811868.82</v>
          </cell>
          <cell r="Q156">
            <v>811868.82</v>
          </cell>
          <cell r="R156">
            <v>619255.79</v>
          </cell>
          <cell r="S156">
            <v>619255.79</v>
          </cell>
          <cell r="T156">
            <v>619255.79</v>
          </cell>
          <cell r="U156">
            <v>619255.79</v>
          </cell>
          <cell r="V156">
            <v>619255.79</v>
          </cell>
          <cell r="W156">
            <v>619255.79</v>
          </cell>
          <cell r="X156">
            <v>619255.79</v>
          </cell>
          <cell r="Y156">
            <v>619255.79</v>
          </cell>
          <cell r="Z156">
            <v>812854.78</v>
          </cell>
          <cell r="AA156">
            <v>859443.85</v>
          </cell>
          <cell r="AB156">
            <v>875592.85</v>
          </cell>
          <cell r="AC156">
            <v>920432.22</v>
          </cell>
          <cell r="AD156">
            <v>931192.7</v>
          </cell>
          <cell r="AE156">
            <v>906192.7</v>
          </cell>
          <cell r="AF156">
            <v>906192.7</v>
          </cell>
          <cell r="AG156">
            <v>906192.7</v>
          </cell>
          <cell r="AH156">
            <v>906192.7</v>
          </cell>
          <cell r="AI156">
            <v>906192.7</v>
          </cell>
          <cell r="AJ156">
            <v>906192.7</v>
          </cell>
          <cell r="AK156">
            <v>811868.82</v>
          </cell>
          <cell r="AL156">
            <v>0</v>
          </cell>
          <cell r="AM156">
            <v>0</v>
          </cell>
          <cell r="AN156" t="str">
            <v/>
          </cell>
          <cell r="AO156">
            <v>0</v>
          </cell>
          <cell r="AP156">
            <v>0</v>
          </cell>
          <cell r="AQ156">
            <v>0</v>
          </cell>
          <cell r="AR156">
            <v>420</v>
          </cell>
          <cell r="AS156">
            <v>0</v>
          </cell>
          <cell r="AT156" t="str">
            <v/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 t="str">
            <v/>
          </cell>
          <cell r="BK156">
            <v>2100</v>
          </cell>
          <cell r="BL156" t="str">
            <v/>
          </cell>
          <cell r="BM156" t="str">
            <v>1</v>
          </cell>
          <cell r="BN156" t="str">
            <v/>
          </cell>
          <cell r="BO156" t="str">
            <v/>
          </cell>
        </row>
        <row r="157">
          <cell r="A157">
            <v>1</v>
          </cell>
          <cell r="B157">
            <v>2301000</v>
          </cell>
          <cell r="C157" t="str">
            <v>PORTION A COURT TERME DE</v>
          </cell>
          <cell r="D157" t="str">
            <v>LA DETTE A LONG TERME</v>
          </cell>
          <cell r="E157" t="str">
            <v>N</v>
          </cell>
          <cell r="F157">
            <v>0</v>
          </cell>
          <cell r="G157">
            <v>0</v>
          </cell>
          <cell r="H157">
            <v>3575000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3575000</v>
          </cell>
          <cell r="O157">
            <v>3575000</v>
          </cell>
          <cell r="P157">
            <v>3575000</v>
          </cell>
          <cell r="Q157">
            <v>3575000</v>
          </cell>
          <cell r="R157">
            <v>3575000</v>
          </cell>
          <cell r="S157">
            <v>3575000</v>
          </cell>
          <cell r="T157">
            <v>3575000</v>
          </cell>
          <cell r="U157">
            <v>3575000</v>
          </cell>
          <cell r="V157">
            <v>3575000</v>
          </cell>
          <cell r="W157">
            <v>3575000</v>
          </cell>
          <cell r="X157">
            <v>3575000</v>
          </cell>
          <cell r="Y157">
            <v>3575000</v>
          </cell>
          <cell r="Z157">
            <v>500000</v>
          </cell>
          <cell r="AA157">
            <v>500000</v>
          </cell>
          <cell r="AB157">
            <v>500000</v>
          </cell>
          <cell r="AC157">
            <v>500000</v>
          </cell>
          <cell r="AD157">
            <v>500000</v>
          </cell>
          <cell r="AE157">
            <v>500000</v>
          </cell>
          <cell r="AF157">
            <v>500000</v>
          </cell>
          <cell r="AG157">
            <v>500000</v>
          </cell>
          <cell r="AH157">
            <v>500000</v>
          </cell>
          <cell r="AI157">
            <v>500000</v>
          </cell>
          <cell r="AJ157">
            <v>3575000</v>
          </cell>
          <cell r="AK157">
            <v>3575000</v>
          </cell>
          <cell r="AL157">
            <v>0</v>
          </cell>
          <cell r="AM157">
            <v>0</v>
          </cell>
          <cell r="AN157" t="str">
            <v/>
          </cell>
          <cell r="AO157">
            <v>0</v>
          </cell>
          <cell r="AP157">
            <v>0</v>
          </cell>
          <cell r="AQ157">
            <v>0</v>
          </cell>
          <cell r="AR157">
            <v>450</v>
          </cell>
          <cell r="AS157">
            <v>0</v>
          </cell>
          <cell r="AT157" t="str">
            <v/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 t="str">
            <v/>
          </cell>
          <cell r="BK157">
            <v>2100</v>
          </cell>
          <cell r="BL157" t="str">
            <v/>
          </cell>
          <cell r="BM157" t="str">
            <v>1</v>
          </cell>
          <cell r="BN157" t="str">
            <v/>
          </cell>
          <cell r="BO157" t="str">
            <v/>
          </cell>
        </row>
        <row r="158">
          <cell r="A158">
            <v>1</v>
          </cell>
          <cell r="B158">
            <v>2501000</v>
          </cell>
          <cell r="C158" t="str">
            <v>PASSIF A LONG TERME</v>
          </cell>
          <cell r="D158" t="str">
            <v>DETTE A LONG TERME</v>
          </cell>
          <cell r="E158" t="str">
            <v>N</v>
          </cell>
          <cell r="F158">
            <v>0</v>
          </cell>
          <cell r="G158">
            <v>0</v>
          </cell>
          <cell r="H158">
            <v>3920000</v>
          </cell>
          <cell r="I158">
            <v>1500000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5420000</v>
          </cell>
          <cell r="O158">
            <v>5420000</v>
          </cell>
          <cell r="P158">
            <v>5420000</v>
          </cell>
          <cell r="Q158">
            <v>5420000</v>
          </cell>
          <cell r="R158">
            <v>5420000</v>
          </cell>
          <cell r="S158">
            <v>5420000</v>
          </cell>
          <cell r="T158">
            <v>5420000</v>
          </cell>
          <cell r="U158">
            <v>5420000</v>
          </cell>
          <cell r="V158">
            <v>3920000</v>
          </cell>
          <cell r="W158">
            <v>3920000</v>
          </cell>
          <cell r="X158">
            <v>3920000</v>
          </cell>
          <cell r="Y158">
            <v>3920000</v>
          </cell>
          <cell r="Z158">
            <v>5920000</v>
          </cell>
          <cell r="AA158">
            <v>5920000</v>
          </cell>
          <cell r="AB158">
            <v>5920000</v>
          </cell>
          <cell r="AC158">
            <v>5920000</v>
          </cell>
          <cell r="AD158">
            <v>5920000</v>
          </cell>
          <cell r="AE158">
            <v>5920000</v>
          </cell>
          <cell r="AF158">
            <v>5920000</v>
          </cell>
          <cell r="AG158">
            <v>5920000</v>
          </cell>
          <cell r="AH158">
            <v>5920000</v>
          </cell>
          <cell r="AI158">
            <v>5920000</v>
          </cell>
          <cell r="AJ158">
            <v>5420000</v>
          </cell>
          <cell r="AK158">
            <v>5420000</v>
          </cell>
          <cell r="AL158">
            <v>0</v>
          </cell>
          <cell r="AM158">
            <v>0</v>
          </cell>
          <cell r="AN158" t="str">
            <v/>
          </cell>
          <cell r="AO158">
            <v>0</v>
          </cell>
          <cell r="AP158">
            <v>0</v>
          </cell>
          <cell r="AQ158">
            <v>0</v>
          </cell>
          <cell r="AR158">
            <v>460</v>
          </cell>
          <cell r="AS158">
            <v>0</v>
          </cell>
          <cell r="AT158" t="str">
            <v/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 t="str">
            <v/>
          </cell>
          <cell r="BK158">
            <v>2200</v>
          </cell>
          <cell r="BL158" t="str">
            <v>0</v>
          </cell>
          <cell r="BM158" t="str">
            <v>1</v>
          </cell>
          <cell r="BN158" t="str">
            <v/>
          </cell>
          <cell r="BO158" t="str">
            <v/>
          </cell>
        </row>
        <row r="159">
          <cell r="A159">
            <v>1</v>
          </cell>
          <cell r="B159">
            <v>2502000</v>
          </cell>
          <cell r="C159" t="str">
            <v>CAPITAL ACTION</v>
          </cell>
          <cell r="D159" t="str">
            <v/>
          </cell>
          <cell r="E159" t="str">
            <v>N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1600000</v>
          </cell>
          <cell r="AA159">
            <v>1600000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 t="str">
            <v/>
          </cell>
          <cell r="AO159">
            <v>0</v>
          </cell>
          <cell r="AP159">
            <v>0</v>
          </cell>
          <cell r="AQ159">
            <v>0</v>
          </cell>
          <cell r="AR159">
            <v>575</v>
          </cell>
          <cell r="AS159">
            <v>0</v>
          </cell>
          <cell r="AT159" t="str">
            <v/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 t="str">
            <v/>
          </cell>
          <cell r="BK159">
            <v>2200</v>
          </cell>
          <cell r="BL159" t="str">
            <v>0</v>
          </cell>
          <cell r="BM159" t="str">
            <v>1</v>
          </cell>
          <cell r="BN159" t="str">
            <v/>
          </cell>
          <cell r="BO159" t="str">
            <v/>
          </cell>
        </row>
        <row r="160">
          <cell r="A160">
            <v>1</v>
          </cell>
          <cell r="B160">
            <v>2503000</v>
          </cell>
          <cell r="C160" t="str">
            <v>PASSIF A LONG TERME</v>
          </cell>
          <cell r="D160" t="str">
            <v>LOCATION ACQUISITION</v>
          </cell>
          <cell r="E160" t="str">
            <v>N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 t="str">
            <v/>
          </cell>
          <cell r="AO160">
            <v>0</v>
          </cell>
          <cell r="AP160">
            <v>0</v>
          </cell>
          <cell r="AQ160">
            <v>0</v>
          </cell>
          <cell r="AR160">
            <v>540</v>
          </cell>
          <cell r="AS160">
            <v>0</v>
          </cell>
          <cell r="AT160" t="str">
            <v/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 t="str">
            <v/>
          </cell>
          <cell r="BK160">
            <v>2200</v>
          </cell>
          <cell r="BL160" t="str">
            <v/>
          </cell>
          <cell r="BM160" t="str">
            <v>1</v>
          </cell>
          <cell r="BN160" t="str">
            <v/>
          </cell>
          <cell r="BO160" t="str">
            <v/>
          </cell>
        </row>
        <row r="161">
          <cell r="A161">
            <v>1</v>
          </cell>
          <cell r="B161">
            <v>2601000</v>
          </cell>
          <cell r="C161" t="str">
            <v>DETTE A LONG TERME</v>
          </cell>
          <cell r="D161" t="str">
            <v>PORTION A COURT TERME</v>
          </cell>
          <cell r="E161" t="str">
            <v>N</v>
          </cell>
          <cell r="F161">
            <v>0</v>
          </cell>
          <cell r="G161">
            <v>0</v>
          </cell>
          <cell r="H161">
            <v>-3575000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-3575000</v>
          </cell>
          <cell r="O161">
            <v>-3575000</v>
          </cell>
          <cell r="P161">
            <v>-3575000</v>
          </cell>
          <cell r="Q161">
            <v>-3575000</v>
          </cell>
          <cell r="R161">
            <v>-3575000</v>
          </cell>
          <cell r="S161">
            <v>-3575000</v>
          </cell>
          <cell r="T161">
            <v>-3575000</v>
          </cell>
          <cell r="U161">
            <v>-3575000</v>
          </cell>
          <cell r="V161">
            <v>-3575000</v>
          </cell>
          <cell r="W161">
            <v>-3575000</v>
          </cell>
          <cell r="X161">
            <v>-3575000</v>
          </cell>
          <cell r="Y161">
            <v>-3575000</v>
          </cell>
          <cell r="Z161">
            <v>-500000</v>
          </cell>
          <cell r="AA161">
            <v>-500000</v>
          </cell>
          <cell r="AB161">
            <v>-500000</v>
          </cell>
          <cell r="AC161">
            <v>-500000</v>
          </cell>
          <cell r="AD161">
            <v>-500000</v>
          </cell>
          <cell r="AE161">
            <v>-500000</v>
          </cell>
          <cell r="AF161">
            <v>-500000</v>
          </cell>
          <cell r="AG161">
            <v>-500000</v>
          </cell>
          <cell r="AH161">
            <v>-500000</v>
          </cell>
          <cell r="AI161">
            <v>-500000</v>
          </cell>
          <cell r="AJ161">
            <v>-3575000</v>
          </cell>
          <cell r="AK161">
            <v>-3575000</v>
          </cell>
          <cell r="AL161">
            <v>0</v>
          </cell>
          <cell r="AM161">
            <v>0</v>
          </cell>
          <cell r="AN161" t="str">
            <v/>
          </cell>
          <cell r="AO161">
            <v>0</v>
          </cell>
          <cell r="AP161">
            <v>0</v>
          </cell>
          <cell r="AQ161">
            <v>0</v>
          </cell>
          <cell r="AR161">
            <v>550</v>
          </cell>
          <cell r="AS161">
            <v>0</v>
          </cell>
          <cell r="AT161" t="str">
            <v/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 t="str">
            <v/>
          </cell>
          <cell r="BK161">
            <v>2300</v>
          </cell>
          <cell r="BL161" t="str">
            <v/>
          </cell>
          <cell r="BM161" t="str">
            <v>1</v>
          </cell>
          <cell r="BN161" t="str">
            <v/>
          </cell>
          <cell r="BO161" t="str">
            <v/>
          </cell>
        </row>
        <row r="162">
          <cell r="A162">
            <v>1</v>
          </cell>
          <cell r="B162">
            <v>3201000</v>
          </cell>
          <cell r="C162" t="str">
            <v>BENEFICES NON REPARTIS</v>
          </cell>
          <cell r="D162" t="str">
            <v>BENEFICE ET PERTE</v>
          </cell>
          <cell r="E162" t="str">
            <v>N</v>
          </cell>
          <cell r="F162">
            <v>0</v>
          </cell>
          <cell r="G162">
            <v>0</v>
          </cell>
          <cell r="H162">
            <v>19530748.870000001</v>
          </cell>
          <cell r="I162">
            <v>4649072</v>
          </cell>
          <cell r="J162">
            <v>3717246.83</v>
          </cell>
          <cell r="K162">
            <v>0</v>
          </cell>
          <cell r="L162">
            <v>0</v>
          </cell>
          <cell r="M162">
            <v>0</v>
          </cell>
          <cell r="N162">
            <v>20748023.870000001</v>
          </cell>
          <cell r="O162">
            <v>20748023.870000001</v>
          </cell>
          <cell r="P162">
            <v>20760529.870000001</v>
          </cell>
          <cell r="Q162">
            <v>20760529.870000001</v>
          </cell>
          <cell r="R162">
            <v>20760529.870000001</v>
          </cell>
          <cell r="S162">
            <v>20760529.870000001</v>
          </cell>
          <cell r="T162">
            <v>20760529.870000001</v>
          </cell>
          <cell r="U162">
            <v>20760529.870000001</v>
          </cell>
          <cell r="V162">
            <v>19530748.870000001</v>
          </cell>
          <cell r="W162">
            <v>19530748.870000001</v>
          </cell>
          <cell r="X162">
            <v>19530748.870000001</v>
          </cell>
          <cell r="Y162">
            <v>19530748.870000001</v>
          </cell>
          <cell r="Z162">
            <v>20462864.039999999</v>
          </cell>
          <cell r="AA162">
            <v>20462864.039999999</v>
          </cell>
          <cell r="AB162">
            <v>20462864.039999999</v>
          </cell>
          <cell r="AC162">
            <v>20462864.039999999</v>
          </cell>
          <cell r="AD162">
            <v>20462864.039999999</v>
          </cell>
          <cell r="AE162">
            <v>20462574.039999999</v>
          </cell>
          <cell r="AF162">
            <v>20462574.039999999</v>
          </cell>
          <cell r="AG162">
            <v>20462574.039999999</v>
          </cell>
          <cell r="AH162">
            <v>20462574.039999999</v>
          </cell>
          <cell r="AI162">
            <v>20462574.039999999</v>
          </cell>
          <cell r="AJ162">
            <v>20462574.039999999</v>
          </cell>
          <cell r="AK162">
            <v>20462574.039999999</v>
          </cell>
          <cell r="AL162">
            <v>0</v>
          </cell>
          <cell r="AM162">
            <v>0</v>
          </cell>
          <cell r="AN162" t="str">
            <v/>
          </cell>
          <cell r="AO162">
            <v>0</v>
          </cell>
          <cell r="AP162">
            <v>0</v>
          </cell>
          <cell r="AQ162">
            <v>0</v>
          </cell>
          <cell r="AR162">
            <v>586</v>
          </cell>
          <cell r="AS162">
            <v>0</v>
          </cell>
          <cell r="AT162" t="str">
            <v/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 t="str">
            <v/>
          </cell>
          <cell r="BK162">
            <v>3100</v>
          </cell>
          <cell r="BL162" t="str">
            <v/>
          </cell>
          <cell r="BM162" t="str">
            <v>1</v>
          </cell>
          <cell r="BN162" t="str">
            <v/>
          </cell>
          <cell r="BO162" t="str">
            <v/>
          </cell>
        </row>
        <row r="163">
          <cell r="A163">
            <v>1</v>
          </cell>
          <cell r="B163">
            <v>4110932</v>
          </cell>
          <cell r="C163" t="str">
            <v>SERV-A-PIS  PROTEC</v>
          </cell>
          <cell r="D163" t="str">
            <v>pn101093</v>
          </cell>
          <cell r="E163" t="str">
            <v>O</v>
          </cell>
          <cell r="F163">
            <v>0</v>
          </cell>
          <cell r="G163">
            <v>0</v>
          </cell>
          <cell r="H163">
            <v>-469.62</v>
          </cell>
          <cell r="I163">
            <v>469.62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-104.87</v>
          </cell>
          <cell r="O163">
            <v>-104.87</v>
          </cell>
          <cell r="P163">
            <v>-104.87</v>
          </cell>
          <cell r="Q163">
            <v>-104.87</v>
          </cell>
          <cell r="R163">
            <v>-104.87</v>
          </cell>
          <cell r="S163">
            <v>-104.87</v>
          </cell>
          <cell r="T163">
            <v>-104.87</v>
          </cell>
          <cell r="U163">
            <v>-104.87</v>
          </cell>
          <cell r="V163">
            <v>-104.87</v>
          </cell>
          <cell r="W163">
            <v>-104.87</v>
          </cell>
          <cell r="X163">
            <v>-469.62</v>
          </cell>
          <cell r="Y163">
            <v>-469.62</v>
          </cell>
          <cell r="Z163">
            <v>0</v>
          </cell>
          <cell r="AA163">
            <v>0</v>
          </cell>
          <cell r="AB163">
            <v>0</v>
          </cell>
          <cell r="AC163">
            <v>-2074.3200000000002</v>
          </cell>
          <cell r="AD163">
            <v>-2074.3200000000002</v>
          </cell>
          <cell r="AE163">
            <v>-2074.3200000000002</v>
          </cell>
          <cell r="AF163">
            <v>-2074.3200000000002</v>
          </cell>
          <cell r="AG163">
            <v>-2074.3200000000002</v>
          </cell>
          <cell r="AH163">
            <v>-2074.3200000000002</v>
          </cell>
          <cell r="AI163">
            <v>-2074.3200000000002</v>
          </cell>
          <cell r="AJ163">
            <v>-2074.3200000000002</v>
          </cell>
          <cell r="AK163">
            <v>-2074.3200000000002</v>
          </cell>
          <cell r="AL163">
            <v>0</v>
          </cell>
          <cell r="AM163">
            <v>2</v>
          </cell>
          <cell r="AN163" t="str">
            <v/>
          </cell>
          <cell r="AO163">
            <v>0</v>
          </cell>
          <cell r="AP163">
            <v>0</v>
          </cell>
          <cell r="AQ163">
            <v>0</v>
          </cell>
          <cell r="AR163">
            <v>600</v>
          </cell>
          <cell r="AS163">
            <v>0</v>
          </cell>
          <cell r="AT163" t="str">
            <v/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 t="str">
            <v/>
          </cell>
          <cell r="BK163">
            <v>4000</v>
          </cell>
          <cell r="BL163" t="str">
            <v>0</v>
          </cell>
          <cell r="BM163" t="str">
            <v>1</v>
          </cell>
          <cell r="BN163" t="str">
            <v/>
          </cell>
          <cell r="BO163" t="str">
            <v/>
          </cell>
        </row>
        <row r="164">
          <cell r="A164">
            <v>1</v>
          </cell>
          <cell r="B164">
            <v>4113052</v>
          </cell>
          <cell r="C164" t="str">
            <v>N.R. NATUREL P/S</v>
          </cell>
          <cell r="D164" t="str">
            <v>pn101305</v>
          </cell>
          <cell r="E164" t="str">
            <v>O</v>
          </cell>
          <cell r="F164">
            <v>0</v>
          </cell>
          <cell r="G164">
            <v>0</v>
          </cell>
          <cell r="H164">
            <v>1418260.1</v>
          </cell>
          <cell r="I164">
            <v>25793.78</v>
          </cell>
          <cell r="J164">
            <v>1444053.88</v>
          </cell>
          <cell r="K164">
            <v>0</v>
          </cell>
          <cell r="L164">
            <v>0</v>
          </cell>
          <cell r="M164">
            <v>172260.82</v>
          </cell>
          <cell r="N164">
            <v>272519.28999999998</v>
          </cell>
          <cell r="O164">
            <v>369344.83</v>
          </cell>
          <cell r="P164">
            <v>438926.52</v>
          </cell>
          <cell r="Q164">
            <v>638165.76000000001</v>
          </cell>
          <cell r="R164">
            <v>779792.41</v>
          </cell>
          <cell r="S164">
            <v>838153.77</v>
          </cell>
          <cell r="T164">
            <v>892412.89</v>
          </cell>
          <cell r="U164">
            <v>989031.17</v>
          </cell>
          <cell r="V164">
            <v>1099128.2</v>
          </cell>
          <cell r="W164">
            <v>1214565.71</v>
          </cell>
          <cell r="X164">
            <v>1418260.1</v>
          </cell>
          <cell r="Y164">
            <v>1590520.92</v>
          </cell>
          <cell r="Z164">
            <v>168306.52</v>
          </cell>
          <cell r="AA164">
            <v>228472.31</v>
          </cell>
          <cell r="AB164">
            <v>340454.78</v>
          </cell>
          <cell r="AC164">
            <v>487450.83</v>
          </cell>
          <cell r="AD164">
            <v>621477.17000000004</v>
          </cell>
          <cell r="AE164">
            <v>781170.06</v>
          </cell>
          <cell r="AF164">
            <v>851305.51</v>
          </cell>
          <cell r="AG164">
            <v>964587.8</v>
          </cell>
          <cell r="AH164">
            <v>1085628.03</v>
          </cell>
          <cell r="AI164">
            <v>1290796.83</v>
          </cell>
          <cell r="AJ164">
            <v>1451359.43</v>
          </cell>
          <cell r="AK164">
            <v>1586541.87</v>
          </cell>
          <cell r="AL164">
            <v>0</v>
          </cell>
          <cell r="AM164">
            <v>2</v>
          </cell>
          <cell r="AN164" t="str">
            <v/>
          </cell>
          <cell r="AO164">
            <v>0</v>
          </cell>
          <cell r="AP164">
            <v>0</v>
          </cell>
          <cell r="AQ164">
            <v>0</v>
          </cell>
          <cell r="AR164">
            <v>600</v>
          </cell>
          <cell r="AS164">
            <v>0</v>
          </cell>
          <cell r="AT164" t="str">
            <v/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20305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 t="str">
            <v/>
          </cell>
          <cell r="BK164">
            <v>4000</v>
          </cell>
          <cell r="BL164" t="str">
            <v>0</v>
          </cell>
          <cell r="BM164" t="str">
            <v>1</v>
          </cell>
          <cell r="BN164" t="str">
            <v/>
          </cell>
          <cell r="BO164" t="str">
            <v/>
          </cell>
        </row>
        <row r="165">
          <cell r="A165">
            <v>1</v>
          </cell>
          <cell r="B165">
            <v>4113062</v>
          </cell>
          <cell r="C165" t="str">
            <v>N.R. NAT.PLI EN</v>
          </cell>
          <cell r="D165" t="str">
            <v>pn101306</v>
          </cell>
          <cell r="E165" t="str">
            <v>O</v>
          </cell>
          <cell r="F165">
            <v>0</v>
          </cell>
          <cell r="G165">
            <v>0</v>
          </cell>
          <cell r="H165">
            <v>-1137.3800000000001</v>
          </cell>
          <cell r="I165">
            <v>1137.3800000000001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-1137.3800000000001</v>
          </cell>
          <cell r="Y165">
            <v>-1137.3800000000001</v>
          </cell>
          <cell r="Z165">
            <v>190.16</v>
          </cell>
          <cell r="AA165">
            <v>190.16</v>
          </cell>
          <cell r="AB165">
            <v>190.16</v>
          </cell>
          <cell r="AC165">
            <v>190.16</v>
          </cell>
          <cell r="AD165">
            <v>190.16</v>
          </cell>
          <cell r="AE165">
            <v>190.16</v>
          </cell>
          <cell r="AF165">
            <v>190.16</v>
          </cell>
          <cell r="AG165">
            <v>190.16</v>
          </cell>
          <cell r="AH165">
            <v>190.16</v>
          </cell>
          <cell r="AI165">
            <v>190.16</v>
          </cell>
          <cell r="AJ165">
            <v>6190.39</v>
          </cell>
          <cell r="AK165">
            <v>6190.39</v>
          </cell>
          <cell r="AL165">
            <v>0</v>
          </cell>
          <cell r="AM165">
            <v>2</v>
          </cell>
          <cell r="AN165" t="str">
            <v/>
          </cell>
          <cell r="AO165">
            <v>0</v>
          </cell>
          <cell r="AP165">
            <v>0</v>
          </cell>
          <cell r="AQ165">
            <v>0</v>
          </cell>
          <cell r="AR165">
            <v>600</v>
          </cell>
          <cell r="AS165">
            <v>0</v>
          </cell>
          <cell r="AT165" t="str">
            <v/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20306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 t="str">
            <v/>
          </cell>
          <cell r="BK165">
            <v>4000</v>
          </cell>
          <cell r="BL165" t="str">
            <v>0</v>
          </cell>
          <cell r="BM165" t="str">
            <v>1</v>
          </cell>
          <cell r="BN165" t="str">
            <v/>
          </cell>
          <cell r="BO165" t="str">
            <v/>
          </cell>
        </row>
        <row r="166">
          <cell r="A166">
            <v>1</v>
          </cell>
          <cell r="B166">
            <v>4113092</v>
          </cell>
          <cell r="C166" t="str">
            <v>N.R. NAT.BLANC PLI EN</v>
          </cell>
          <cell r="D166" t="str">
            <v>pn101309</v>
          </cell>
          <cell r="E166" t="str">
            <v>O</v>
          </cell>
          <cell r="F166">
            <v>0</v>
          </cell>
          <cell r="G166">
            <v>0</v>
          </cell>
          <cell r="H166">
            <v>13661.65</v>
          </cell>
          <cell r="I166">
            <v>156.87</v>
          </cell>
          <cell r="J166">
            <v>13818.52</v>
          </cell>
          <cell r="K166">
            <v>0</v>
          </cell>
          <cell r="L166">
            <v>0</v>
          </cell>
          <cell r="M166">
            <v>1495.8</v>
          </cell>
          <cell r="N166">
            <v>1638.26</v>
          </cell>
          <cell r="O166">
            <v>2461.09</v>
          </cell>
          <cell r="P166">
            <v>3331.37</v>
          </cell>
          <cell r="Q166">
            <v>5078.53</v>
          </cell>
          <cell r="R166">
            <v>6042.46</v>
          </cell>
          <cell r="S166">
            <v>8429.14</v>
          </cell>
          <cell r="T166">
            <v>8429.14</v>
          </cell>
          <cell r="U166">
            <v>9781.1200000000008</v>
          </cell>
          <cell r="V166">
            <v>11692.28</v>
          </cell>
          <cell r="W166">
            <v>12670.44</v>
          </cell>
          <cell r="X166">
            <v>13661.65</v>
          </cell>
          <cell r="Y166">
            <v>15157.45</v>
          </cell>
          <cell r="Z166">
            <v>2527.5</v>
          </cell>
          <cell r="AA166">
            <v>11722.77</v>
          </cell>
          <cell r="AB166">
            <v>14373.15</v>
          </cell>
          <cell r="AC166">
            <v>17221.919999999998</v>
          </cell>
          <cell r="AD166">
            <v>19743.63</v>
          </cell>
          <cell r="AE166">
            <v>26538.75</v>
          </cell>
          <cell r="AF166">
            <v>28429.33</v>
          </cell>
          <cell r="AG166">
            <v>31786.87</v>
          </cell>
          <cell r="AH166">
            <v>37521.47</v>
          </cell>
          <cell r="AI166">
            <v>39969.46</v>
          </cell>
          <cell r="AJ166">
            <v>41067.22</v>
          </cell>
          <cell r="AK166">
            <v>42544.06</v>
          </cell>
          <cell r="AL166">
            <v>0</v>
          </cell>
          <cell r="AM166">
            <v>2</v>
          </cell>
          <cell r="AN166" t="str">
            <v/>
          </cell>
          <cell r="AO166">
            <v>0</v>
          </cell>
          <cell r="AP166">
            <v>0</v>
          </cell>
          <cell r="AQ166">
            <v>0</v>
          </cell>
          <cell r="AR166">
            <v>600</v>
          </cell>
          <cell r="AS166">
            <v>0</v>
          </cell>
          <cell r="AT166" t="str">
            <v/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20309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 t="str">
            <v/>
          </cell>
          <cell r="BK166">
            <v>4000</v>
          </cell>
          <cell r="BL166" t="str">
            <v>0</v>
          </cell>
          <cell r="BM166" t="str">
            <v>1</v>
          </cell>
          <cell r="BN166" t="str">
            <v/>
          </cell>
          <cell r="BO166" t="str">
            <v/>
          </cell>
        </row>
        <row r="167">
          <cell r="A167">
            <v>1</v>
          </cell>
          <cell r="B167">
            <v>4113102</v>
          </cell>
          <cell r="C167" t="str">
            <v>N.R. NAT.BLANC P/S</v>
          </cell>
          <cell r="D167" t="str">
            <v>pn101310</v>
          </cell>
          <cell r="E167" t="str">
            <v>O</v>
          </cell>
          <cell r="F167">
            <v>0</v>
          </cell>
          <cell r="G167">
            <v>0</v>
          </cell>
          <cell r="H167">
            <v>54104.11</v>
          </cell>
          <cell r="I167">
            <v>578.54999999999995</v>
          </cell>
          <cell r="J167">
            <v>54682.66</v>
          </cell>
          <cell r="K167">
            <v>0</v>
          </cell>
          <cell r="L167">
            <v>0</v>
          </cell>
          <cell r="M167">
            <v>4450.6000000000004</v>
          </cell>
          <cell r="N167">
            <v>4786.5600000000004</v>
          </cell>
          <cell r="O167">
            <v>5835.86</v>
          </cell>
          <cell r="P167">
            <v>5835.86</v>
          </cell>
          <cell r="Q167">
            <v>5835.86</v>
          </cell>
          <cell r="R167">
            <v>6909.66</v>
          </cell>
          <cell r="S167">
            <v>9055.77</v>
          </cell>
          <cell r="T167">
            <v>11144.54</v>
          </cell>
          <cell r="U167">
            <v>11105.34</v>
          </cell>
          <cell r="V167">
            <v>25436.43</v>
          </cell>
          <cell r="W167">
            <v>36306.67</v>
          </cell>
          <cell r="X167">
            <v>54104.11</v>
          </cell>
          <cell r="Y167">
            <v>58554.71</v>
          </cell>
          <cell r="Z167">
            <v>2026.92</v>
          </cell>
          <cell r="AA167">
            <v>3117.67</v>
          </cell>
          <cell r="AB167">
            <v>5201.49</v>
          </cell>
          <cell r="AC167">
            <v>8205.07</v>
          </cell>
          <cell r="AD167">
            <v>13157.36</v>
          </cell>
          <cell r="AE167">
            <v>13196.19</v>
          </cell>
          <cell r="AF167">
            <v>15136.29</v>
          </cell>
          <cell r="AG167">
            <v>15136.29</v>
          </cell>
          <cell r="AH167">
            <v>17107.75</v>
          </cell>
          <cell r="AI167">
            <v>18040.47</v>
          </cell>
          <cell r="AJ167">
            <v>18040.47</v>
          </cell>
          <cell r="AK167">
            <v>18038.02</v>
          </cell>
          <cell r="AL167">
            <v>0</v>
          </cell>
          <cell r="AM167">
            <v>2</v>
          </cell>
          <cell r="AN167" t="str">
            <v/>
          </cell>
          <cell r="AO167">
            <v>0</v>
          </cell>
          <cell r="AP167">
            <v>0</v>
          </cell>
          <cell r="AQ167">
            <v>0</v>
          </cell>
          <cell r="AR167">
            <v>600</v>
          </cell>
          <cell r="AS167">
            <v>0</v>
          </cell>
          <cell r="AT167" t="str">
            <v/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20310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 t="str">
            <v/>
          </cell>
          <cell r="BK167">
            <v>4000</v>
          </cell>
          <cell r="BL167" t="str">
            <v>0</v>
          </cell>
          <cell r="BM167" t="str">
            <v>1</v>
          </cell>
          <cell r="BN167" t="str">
            <v/>
          </cell>
          <cell r="BO167" t="str">
            <v/>
          </cell>
        </row>
        <row r="168">
          <cell r="A168">
            <v>1</v>
          </cell>
          <cell r="B168">
            <v>4113112</v>
          </cell>
          <cell r="C168" t="str">
            <v>N.R. SERV-A-PIS</v>
          </cell>
          <cell r="D168" t="str">
            <v>pn101311</v>
          </cell>
          <cell r="E168" t="str">
            <v>O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2</v>
          </cell>
          <cell r="AN168" t="str">
            <v/>
          </cell>
          <cell r="AO168">
            <v>0</v>
          </cell>
          <cell r="AP168">
            <v>0</v>
          </cell>
          <cell r="AQ168">
            <v>0</v>
          </cell>
          <cell r="AR168">
            <v>600</v>
          </cell>
          <cell r="AS168">
            <v>0</v>
          </cell>
          <cell r="AT168" t="str">
            <v/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 t="str">
            <v/>
          </cell>
          <cell r="BK168">
            <v>4000</v>
          </cell>
          <cell r="BL168" t="str">
            <v/>
          </cell>
          <cell r="BM168" t="str">
            <v>1</v>
          </cell>
          <cell r="BN168" t="str">
            <v/>
          </cell>
          <cell r="BO168" t="str">
            <v/>
          </cell>
        </row>
        <row r="169">
          <cell r="A169">
            <v>1</v>
          </cell>
          <cell r="B169">
            <v>4113122</v>
          </cell>
          <cell r="C169" t="str">
            <v>N.R. NAT.BLANC 8</v>
          </cell>
          <cell r="D169" t="str">
            <v>pn101312</v>
          </cell>
          <cell r="E169" t="str">
            <v>O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2</v>
          </cell>
          <cell r="AN169" t="str">
            <v/>
          </cell>
          <cell r="AO169">
            <v>0</v>
          </cell>
          <cell r="AP169">
            <v>0</v>
          </cell>
          <cell r="AQ169">
            <v>0</v>
          </cell>
          <cell r="AR169">
            <v>600</v>
          </cell>
          <cell r="AS169">
            <v>0</v>
          </cell>
          <cell r="AT169" t="str">
            <v/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 t="str">
            <v/>
          </cell>
          <cell r="BK169">
            <v>4000</v>
          </cell>
          <cell r="BL169" t="str">
            <v>0</v>
          </cell>
          <cell r="BM169" t="str">
            <v>1</v>
          </cell>
          <cell r="BN169" t="str">
            <v/>
          </cell>
          <cell r="BO169" t="str">
            <v/>
          </cell>
        </row>
        <row r="170">
          <cell r="A170">
            <v>1</v>
          </cell>
          <cell r="B170">
            <v>4113132</v>
          </cell>
          <cell r="C170" t="str">
            <v>N.R. NATUREL 8</v>
          </cell>
          <cell r="D170" t="str">
            <v>pn101313</v>
          </cell>
          <cell r="E170" t="str">
            <v>O</v>
          </cell>
          <cell r="F170">
            <v>0</v>
          </cell>
          <cell r="G170">
            <v>0</v>
          </cell>
          <cell r="H170">
            <v>348350.76</v>
          </cell>
          <cell r="I170">
            <v>2537.39</v>
          </cell>
          <cell r="J170">
            <v>350888.15</v>
          </cell>
          <cell r="K170">
            <v>0</v>
          </cell>
          <cell r="L170">
            <v>0</v>
          </cell>
          <cell r="M170">
            <v>19631.689999999999</v>
          </cell>
          <cell r="N170">
            <v>24647.38</v>
          </cell>
          <cell r="O170">
            <v>48246.68</v>
          </cell>
          <cell r="P170">
            <v>77171.58</v>
          </cell>
          <cell r="Q170">
            <v>98818.45</v>
          </cell>
          <cell r="R170">
            <v>138063.1</v>
          </cell>
          <cell r="S170">
            <v>180525.28</v>
          </cell>
          <cell r="T170">
            <v>204611.33</v>
          </cell>
          <cell r="U170">
            <v>236158.14</v>
          </cell>
          <cell r="V170">
            <v>268134.5</v>
          </cell>
          <cell r="W170">
            <v>308141.61</v>
          </cell>
          <cell r="X170">
            <v>348350.76</v>
          </cell>
          <cell r="Y170">
            <v>367982.45</v>
          </cell>
          <cell r="Z170">
            <v>39917.18</v>
          </cell>
          <cell r="AA170">
            <v>53726.42</v>
          </cell>
          <cell r="AB170">
            <v>88412.02</v>
          </cell>
          <cell r="AC170">
            <v>105733.77</v>
          </cell>
          <cell r="AD170">
            <v>132900.9</v>
          </cell>
          <cell r="AE170">
            <v>169633.51</v>
          </cell>
          <cell r="AF170">
            <v>181785.16</v>
          </cell>
          <cell r="AG170">
            <v>215717.62</v>
          </cell>
          <cell r="AH170">
            <v>264237.19</v>
          </cell>
          <cell r="AI170">
            <v>302830.21000000002</v>
          </cell>
          <cell r="AJ170">
            <v>328137.63</v>
          </cell>
          <cell r="AK170">
            <v>357719.86</v>
          </cell>
          <cell r="AL170">
            <v>0</v>
          </cell>
          <cell r="AM170">
            <v>2</v>
          </cell>
          <cell r="AN170" t="str">
            <v/>
          </cell>
          <cell r="AO170">
            <v>0</v>
          </cell>
          <cell r="AP170">
            <v>0</v>
          </cell>
          <cell r="AQ170">
            <v>0</v>
          </cell>
          <cell r="AR170">
            <v>600</v>
          </cell>
          <cell r="AS170">
            <v>0</v>
          </cell>
          <cell r="AT170" t="str">
            <v/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20313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 t="str">
            <v/>
          </cell>
          <cell r="BK170">
            <v>4000</v>
          </cell>
          <cell r="BL170" t="str">
            <v>0</v>
          </cell>
          <cell r="BM170" t="str">
            <v>1</v>
          </cell>
          <cell r="BN170" t="str">
            <v/>
          </cell>
          <cell r="BO170" t="str">
            <v/>
          </cell>
        </row>
        <row r="171">
          <cell r="A171">
            <v>1</v>
          </cell>
          <cell r="B171">
            <v>4113142</v>
          </cell>
          <cell r="C171" t="str">
            <v>N.R. BLANC 8</v>
          </cell>
          <cell r="D171" t="str">
            <v>pn101314</v>
          </cell>
          <cell r="E171" t="str">
            <v>O</v>
          </cell>
          <cell r="F171">
            <v>0</v>
          </cell>
          <cell r="G171">
            <v>0</v>
          </cell>
          <cell r="H171">
            <v>97178.67</v>
          </cell>
          <cell r="I171">
            <v>583.21</v>
          </cell>
          <cell r="J171">
            <v>97761.88</v>
          </cell>
          <cell r="K171">
            <v>0</v>
          </cell>
          <cell r="L171">
            <v>0</v>
          </cell>
          <cell r="M171">
            <v>6833.67</v>
          </cell>
          <cell r="N171">
            <v>8397.39</v>
          </cell>
          <cell r="O171">
            <v>12470.9</v>
          </cell>
          <cell r="P171">
            <v>22382.799999999999</v>
          </cell>
          <cell r="Q171">
            <v>28577.55</v>
          </cell>
          <cell r="R171">
            <v>50517.94</v>
          </cell>
          <cell r="S171">
            <v>55488.39</v>
          </cell>
          <cell r="T171">
            <v>63431.1</v>
          </cell>
          <cell r="U171">
            <v>70481.25</v>
          </cell>
          <cell r="V171">
            <v>75559.63</v>
          </cell>
          <cell r="W171">
            <v>85847.6</v>
          </cell>
          <cell r="X171">
            <v>97178.67</v>
          </cell>
          <cell r="Y171">
            <v>104012.34</v>
          </cell>
          <cell r="Z171">
            <v>9518.4699999999993</v>
          </cell>
          <cell r="AA171">
            <v>12964.93</v>
          </cell>
          <cell r="AB171">
            <v>32698.42</v>
          </cell>
          <cell r="AC171">
            <v>35520.39</v>
          </cell>
          <cell r="AD171">
            <v>43465.94</v>
          </cell>
          <cell r="AE171">
            <v>56913.91</v>
          </cell>
          <cell r="AF171">
            <v>72403.48</v>
          </cell>
          <cell r="AG171">
            <v>79571.55</v>
          </cell>
          <cell r="AH171">
            <v>87871.43</v>
          </cell>
          <cell r="AI171">
            <v>93451.31</v>
          </cell>
          <cell r="AJ171">
            <v>96970.09</v>
          </cell>
          <cell r="AK171">
            <v>100915.52</v>
          </cell>
          <cell r="AL171">
            <v>0</v>
          </cell>
          <cell r="AM171">
            <v>2</v>
          </cell>
          <cell r="AN171" t="str">
            <v/>
          </cell>
          <cell r="AO171">
            <v>0</v>
          </cell>
          <cell r="AP171">
            <v>0</v>
          </cell>
          <cell r="AQ171">
            <v>0</v>
          </cell>
          <cell r="AR171">
            <v>600</v>
          </cell>
          <cell r="AS171">
            <v>0</v>
          </cell>
          <cell r="AT171" t="str">
            <v/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20314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 t="str">
            <v/>
          </cell>
          <cell r="BK171">
            <v>4000</v>
          </cell>
          <cell r="BL171" t="str">
            <v>0</v>
          </cell>
          <cell r="BM171" t="str">
            <v>1</v>
          </cell>
          <cell r="BN171" t="str">
            <v/>
          </cell>
          <cell r="BO171" t="str">
            <v/>
          </cell>
        </row>
        <row r="172">
          <cell r="A172">
            <v>1</v>
          </cell>
          <cell r="B172">
            <v>4113152</v>
          </cell>
          <cell r="C172" t="str">
            <v>N.R. NATUREL P/M</v>
          </cell>
          <cell r="D172" t="str">
            <v>pn101315</v>
          </cell>
          <cell r="E172" t="str">
            <v>O</v>
          </cell>
          <cell r="F172">
            <v>0</v>
          </cell>
          <cell r="G172">
            <v>0</v>
          </cell>
          <cell r="H172">
            <v>417519.46</v>
          </cell>
          <cell r="I172">
            <v>12533.79</v>
          </cell>
          <cell r="J172">
            <v>430053.25</v>
          </cell>
          <cell r="K172">
            <v>0</v>
          </cell>
          <cell r="L172">
            <v>0</v>
          </cell>
          <cell r="M172">
            <v>35545.18</v>
          </cell>
          <cell r="N172">
            <v>48988.83</v>
          </cell>
          <cell r="O172">
            <v>77224.75</v>
          </cell>
          <cell r="P172">
            <v>94562.83</v>
          </cell>
          <cell r="Q172">
            <v>139550.25</v>
          </cell>
          <cell r="R172">
            <v>184300.83</v>
          </cell>
          <cell r="S172">
            <v>208220.59</v>
          </cell>
          <cell r="T172">
            <v>239209.05</v>
          </cell>
          <cell r="U172">
            <v>273691.87</v>
          </cell>
          <cell r="V172">
            <v>315739.56</v>
          </cell>
          <cell r="W172">
            <v>367112.66</v>
          </cell>
          <cell r="X172">
            <v>417519.46</v>
          </cell>
          <cell r="Y172">
            <v>453064.64</v>
          </cell>
          <cell r="Z172">
            <v>44523.48</v>
          </cell>
          <cell r="AA172">
            <v>69319.59</v>
          </cell>
          <cell r="AB172">
            <v>132236.48000000001</v>
          </cell>
          <cell r="AC172">
            <v>177530.82</v>
          </cell>
          <cell r="AD172">
            <v>197509.29</v>
          </cell>
          <cell r="AE172">
            <v>255636.58</v>
          </cell>
          <cell r="AF172">
            <v>302479.65999999997</v>
          </cell>
          <cell r="AG172">
            <v>344668.35</v>
          </cell>
          <cell r="AH172">
            <v>394785.91</v>
          </cell>
          <cell r="AI172">
            <v>438359.42</v>
          </cell>
          <cell r="AJ172">
            <v>473785.44</v>
          </cell>
          <cell r="AK172">
            <v>502367.18</v>
          </cell>
          <cell r="AL172">
            <v>0</v>
          </cell>
          <cell r="AM172">
            <v>2</v>
          </cell>
          <cell r="AN172" t="str">
            <v/>
          </cell>
          <cell r="AO172">
            <v>0</v>
          </cell>
          <cell r="AP172">
            <v>0</v>
          </cell>
          <cell r="AQ172">
            <v>0</v>
          </cell>
          <cell r="AR172">
            <v>600</v>
          </cell>
          <cell r="AS172">
            <v>0</v>
          </cell>
          <cell r="AT172" t="str">
            <v/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20315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 t="str">
            <v/>
          </cell>
          <cell r="BK172">
            <v>4000</v>
          </cell>
          <cell r="BL172" t="str">
            <v>0</v>
          </cell>
          <cell r="BM172" t="str">
            <v>1</v>
          </cell>
          <cell r="BN172" t="str">
            <v/>
          </cell>
          <cell r="BO172" t="str">
            <v/>
          </cell>
        </row>
        <row r="173">
          <cell r="A173">
            <v>1</v>
          </cell>
          <cell r="B173">
            <v>4113162</v>
          </cell>
          <cell r="C173" t="str">
            <v>NATURAL 8</v>
          </cell>
          <cell r="D173" t="str">
            <v>pn101316</v>
          </cell>
          <cell r="E173" t="str">
            <v>O</v>
          </cell>
          <cell r="F173">
            <v>0</v>
          </cell>
          <cell r="G173">
            <v>0</v>
          </cell>
          <cell r="H173">
            <v>5688</v>
          </cell>
          <cell r="I173">
            <v>4639.87</v>
          </cell>
          <cell r="J173">
            <v>10327.870000000001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10320</v>
          </cell>
          <cell r="P173">
            <v>5688</v>
          </cell>
          <cell r="Q173">
            <v>5688</v>
          </cell>
          <cell r="R173">
            <v>5688</v>
          </cell>
          <cell r="S173">
            <v>5688</v>
          </cell>
          <cell r="T173">
            <v>5688</v>
          </cell>
          <cell r="U173">
            <v>5688</v>
          </cell>
          <cell r="V173">
            <v>5688</v>
          </cell>
          <cell r="W173">
            <v>5688</v>
          </cell>
          <cell r="X173">
            <v>5688</v>
          </cell>
          <cell r="Y173">
            <v>5688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2</v>
          </cell>
          <cell r="AN173" t="str">
            <v/>
          </cell>
          <cell r="AO173">
            <v>0</v>
          </cell>
          <cell r="AP173">
            <v>0</v>
          </cell>
          <cell r="AQ173">
            <v>0</v>
          </cell>
          <cell r="AR173">
            <v>600</v>
          </cell>
          <cell r="AS173">
            <v>0</v>
          </cell>
          <cell r="AT173" t="str">
            <v/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20316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 t="str">
            <v/>
          </cell>
          <cell r="BK173">
            <v>4000</v>
          </cell>
          <cell r="BL173" t="str">
            <v>0</v>
          </cell>
          <cell r="BM173" t="str">
            <v>1</v>
          </cell>
          <cell r="BN173" t="str">
            <v/>
          </cell>
          <cell r="BO173" t="str">
            <v/>
          </cell>
        </row>
        <row r="174">
          <cell r="A174">
            <v>1</v>
          </cell>
          <cell r="B174">
            <v>4113202</v>
          </cell>
          <cell r="C174" t="str">
            <v>N.R. NAT.BLANC P/M</v>
          </cell>
          <cell r="D174" t="str">
            <v>pn101320</v>
          </cell>
          <cell r="E174" t="str">
            <v>O</v>
          </cell>
          <cell r="F174">
            <v>0</v>
          </cell>
          <cell r="G174">
            <v>0</v>
          </cell>
          <cell r="H174">
            <v>48078.69</v>
          </cell>
          <cell r="I174">
            <v>420.15</v>
          </cell>
          <cell r="J174">
            <v>48498.84</v>
          </cell>
          <cell r="K174">
            <v>0</v>
          </cell>
          <cell r="L174">
            <v>0</v>
          </cell>
          <cell r="M174">
            <v>7624.53</v>
          </cell>
          <cell r="N174">
            <v>2890.74</v>
          </cell>
          <cell r="O174">
            <v>8729.7000000000007</v>
          </cell>
          <cell r="P174">
            <v>11772.94</v>
          </cell>
          <cell r="Q174">
            <v>16201.21</v>
          </cell>
          <cell r="R174">
            <v>20251.02</v>
          </cell>
          <cell r="S174">
            <v>28549.47</v>
          </cell>
          <cell r="T174">
            <v>33127.82</v>
          </cell>
          <cell r="U174">
            <v>35378.980000000003</v>
          </cell>
          <cell r="V174">
            <v>40658.400000000001</v>
          </cell>
          <cell r="W174">
            <v>43900.49</v>
          </cell>
          <cell r="X174">
            <v>48078.69</v>
          </cell>
          <cell r="Y174">
            <v>55703.22</v>
          </cell>
          <cell r="Z174">
            <v>3005.24</v>
          </cell>
          <cell r="AA174">
            <v>12174.97</v>
          </cell>
          <cell r="AB174">
            <v>16157.02</v>
          </cell>
          <cell r="AC174">
            <v>28582.34</v>
          </cell>
          <cell r="AD174">
            <v>36990.19</v>
          </cell>
          <cell r="AE174">
            <v>41992.91</v>
          </cell>
          <cell r="AF174">
            <v>48240.67</v>
          </cell>
          <cell r="AG174">
            <v>55056.98</v>
          </cell>
          <cell r="AH174">
            <v>59996.480000000003</v>
          </cell>
          <cell r="AI174">
            <v>64997.42</v>
          </cell>
          <cell r="AJ174">
            <v>70812.78</v>
          </cell>
          <cell r="AK174">
            <v>77951.38</v>
          </cell>
          <cell r="AL174">
            <v>0</v>
          </cell>
          <cell r="AM174">
            <v>2</v>
          </cell>
          <cell r="AN174" t="str">
            <v/>
          </cell>
          <cell r="AO174">
            <v>0</v>
          </cell>
          <cell r="AP174">
            <v>0</v>
          </cell>
          <cell r="AQ174">
            <v>0</v>
          </cell>
          <cell r="AR174">
            <v>600</v>
          </cell>
          <cell r="AS174">
            <v>0</v>
          </cell>
          <cell r="AT174" t="str">
            <v/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20320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 t="str">
            <v/>
          </cell>
          <cell r="BK174">
            <v>4000</v>
          </cell>
          <cell r="BL174" t="str">
            <v>0</v>
          </cell>
          <cell r="BM174" t="str">
            <v>1</v>
          </cell>
          <cell r="BN174" t="str">
            <v/>
          </cell>
          <cell r="BO174" t="str">
            <v/>
          </cell>
        </row>
        <row r="175">
          <cell r="A175">
            <v>1</v>
          </cell>
          <cell r="B175">
            <v>4113252</v>
          </cell>
          <cell r="C175" t="str">
            <v>N.R. NATUREL 8</v>
          </cell>
          <cell r="D175" t="str">
            <v>pn101325</v>
          </cell>
          <cell r="E175" t="str">
            <v>O</v>
          </cell>
          <cell r="F175">
            <v>0</v>
          </cell>
          <cell r="G175">
            <v>0</v>
          </cell>
          <cell r="H175">
            <v>874499.38</v>
          </cell>
          <cell r="I175">
            <v>9586.57</v>
          </cell>
          <cell r="J175">
            <v>884085.95</v>
          </cell>
          <cell r="K175">
            <v>0</v>
          </cell>
          <cell r="L175">
            <v>0</v>
          </cell>
          <cell r="M175">
            <v>96624.3</v>
          </cell>
          <cell r="N175">
            <v>69900.320000000007</v>
          </cell>
          <cell r="O175">
            <v>238170.62</v>
          </cell>
          <cell r="P175">
            <v>277350.83</v>
          </cell>
          <cell r="Q175">
            <v>308750.18</v>
          </cell>
          <cell r="R175">
            <v>406762.68</v>
          </cell>
          <cell r="S175">
            <v>468818.12</v>
          </cell>
          <cell r="T175">
            <v>530275.25</v>
          </cell>
          <cell r="U175">
            <v>610940.1</v>
          </cell>
          <cell r="V175">
            <v>666154.52</v>
          </cell>
          <cell r="W175">
            <v>771614.49</v>
          </cell>
          <cell r="X175">
            <v>874499.38</v>
          </cell>
          <cell r="Y175">
            <v>971123.68</v>
          </cell>
          <cell r="Z175">
            <v>215053.53</v>
          </cell>
          <cell r="AA175">
            <v>295393.99</v>
          </cell>
          <cell r="AB175">
            <v>332424.78000000003</v>
          </cell>
          <cell r="AC175">
            <v>377048.22</v>
          </cell>
          <cell r="AD175">
            <v>465470.18</v>
          </cell>
          <cell r="AE175">
            <v>558309.84</v>
          </cell>
          <cell r="AF175">
            <v>630637.85</v>
          </cell>
          <cell r="AG175">
            <v>723561.14</v>
          </cell>
          <cell r="AH175">
            <v>920442.33</v>
          </cell>
          <cell r="AI175">
            <v>996123.91</v>
          </cell>
          <cell r="AJ175">
            <v>1030508.56</v>
          </cell>
          <cell r="AK175">
            <v>1076839.42</v>
          </cell>
          <cell r="AL175">
            <v>0</v>
          </cell>
          <cell r="AM175">
            <v>2</v>
          </cell>
          <cell r="AN175" t="str">
            <v/>
          </cell>
          <cell r="AO175">
            <v>0</v>
          </cell>
          <cell r="AP175">
            <v>0</v>
          </cell>
          <cell r="AQ175">
            <v>0</v>
          </cell>
          <cell r="AR175">
            <v>600</v>
          </cell>
          <cell r="AS175">
            <v>0</v>
          </cell>
          <cell r="AT175" t="str">
            <v/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20325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 t="str">
            <v/>
          </cell>
          <cell r="BK175">
            <v>4000</v>
          </cell>
          <cell r="BL175" t="str">
            <v>0</v>
          </cell>
          <cell r="BM175" t="str">
            <v>1</v>
          </cell>
          <cell r="BN175" t="str">
            <v/>
          </cell>
          <cell r="BO175" t="str">
            <v/>
          </cell>
        </row>
        <row r="176">
          <cell r="A176">
            <v>1</v>
          </cell>
          <cell r="B176">
            <v>4113302</v>
          </cell>
          <cell r="C176" t="str">
            <v>N.R. NAT.BLANC 8</v>
          </cell>
          <cell r="D176" t="str">
            <v>pn101330</v>
          </cell>
          <cell r="E176" t="str">
            <v>O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2</v>
          </cell>
          <cell r="AN176" t="str">
            <v/>
          </cell>
          <cell r="AO176">
            <v>0</v>
          </cell>
          <cell r="AP176">
            <v>0</v>
          </cell>
          <cell r="AQ176">
            <v>0</v>
          </cell>
          <cell r="AR176">
            <v>600</v>
          </cell>
          <cell r="AS176">
            <v>0</v>
          </cell>
          <cell r="AT176" t="str">
            <v/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 t="str">
            <v/>
          </cell>
          <cell r="BK176">
            <v>4000</v>
          </cell>
          <cell r="BL176" t="str">
            <v/>
          </cell>
          <cell r="BM176" t="str">
            <v>1</v>
          </cell>
          <cell r="BN176" t="str">
            <v/>
          </cell>
          <cell r="BO176" t="str">
            <v/>
          </cell>
        </row>
        <row r="177">
          <cell r="A177">
            <v>1</v>
          </cell>
          <cell r="B177">
            <v>4113372</v>
          </cell>
          <cell r="C177" t="str">
            <v>N.R. NATUREL 8</v>
          </cell>
          <cell r="D177" t="str">
            <v>pn101337</v>
          </cell>
          <cell r="E177" t="str">
            <v>O</v>
          </cell>
          <cell r="F177">
            <v>0</v>
          </cell>
          <cell r="G177">
            <v>0</v>
          </cell>
          <cell r="H177">
            <v>418904.52</v>
          </cell>
          <cell r="I177">
            <v>7625.65</v>
          </cell>
          <cell r="J177">
            <v>426530.17</v>
          </cell>
          <cell r="K177">
            <v>0</v>
          </cell>
          <cell r="L177">
            <v>0</v>
          </cell>
          <cell r="M177">
            <v>26385.48</v>
          </cell>
          <cell r="N177">
            <v>35975.72</v>
          </cell>
          <cell r="O177">
            <v>72198.789999999994</v>
          </cell>
          <cell r="P177">
            <v>88024.04</v>
          </cell>
          <cell r="Q177">
            <v>122782.08</v>
          </cell>
          <cell r="R177">
            <v>177532.26</v>
          </cell>
          <cell r="S177">
            <v>216581.54</v>
          </cell>
          <cell r="T177">
            <v>230601.85</v>
          </cell>
          <cell r="U177">
            <v>288182.88</v>
          </cell>
          <cell r="V177">
            <v>326981.89</v>
          </cell>
          <cell r="W177">
            <v>370730.98</v>
          </cell>
          <cell r="X177">
            <v>418904.52</v>
          </cell>
          <cell r="Y177">
            <v>445290</v>
          </cell>
          <cell r="Z177">
            <v>50733.81</v>
          </cell>
          <cell r="AA177">
            <v>66481.34</v>
          </cell>
          <cell r="AB177">
            <v>109534.93</v>
          </cell>
          <cell r="AC177">
            <v>147438.41</v>
          </cell>
          <cell r="AD177">
            <v>166161</v>
          </cell>
          <cell r="AE177">
            <v>201520.28</v>
          </cell>
          <cell r="AF177">
            <v>269004.08</v>
          </cell>
          <cell r="AG177">
            <v>301404.43</v>
          </cell>
          <cell r="AH177">
            <v>339283.04</v>
          </cell>
          <cell r="AI177">
            <v>361068.62</v>
          </cell>
          <cell r="AJ177">
            <v>399945.95</v>
          </cell>
          <cell r="AK177">
            <v>434663.43</v>
          </cell>
          <cell r="AL177">
            <v>0</v>
          </cell>
          <cell r="AM177">
            <v>2</v>
          </cell>
          <cell r="AN177" t="str">
            <v/>
          </cell>
          <cell r="AO177">
            <v>0</v>
          </cell>
          <cell r="AP177">
            <v>0</v>
          </cell>
          <cell r="AQ177">
            <v>0</v>
          </cell>
          <cell r="AR177">
            <v>600</v>
          </cell>
          <cell r="AS177">
            <v>0</v>
          </cell>
          <cell r="AT177" t="str">
            <v/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20337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 t="str">
            <v/>
          </cell>
          <cell r="BK177">
            <v>4000</v>
          </cell>
          <cell r="BL177" t="str">
            <v>0</v>
          </cell>
          <cell r="BM177" t="str">
            <v>1</v>
          </cell>
          <cell r="BN177" t="str">
            <v/>
          </cell>
          <cell r="BO177" t="str">
            <v/>
          </cell>
        </row>
        <row r="178">
          <cell r="A178">
            <v>1</v>
          </cell>
          <cell r="B178">
            <v>4113382</v>
          </cell>
          <cell r="C178" t="str">
            <v>N.R. 8</v>
          </cell>
          <cell r="D178" t="str">
            <v>pn101338</v>
          </cell>
          <cell r="E178" t="str">
            <v>O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2</v>
          </cell>
          <cell r="AN178" t="str">
            <v/>
          </cell>
          <cell r="AO178">
            <v>0</v>
          </cell>
          <cell r="AP178">
            <v>0</v>
          </cell>
          <cell r="AQ178">
            <v>0</v>
          </cell>
          <cell r="AR178">
            <v>600</v>
          </cell>
          <cell r="AS178">
            <v>0</v>
          </cell>
          <cell r="AT178" t="str">
            <v/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 t="str">
            <v/>
          </cell>
          <cell r="BK178">
            <v>4000</v>
          </cell>
          <cell r="BL178" t="str">
            <v/>
          </cell>
          <cell r="BM178" t="str">
            <v>1</v>
          </cell>
          <cell r="BN178" t="str">
            <v/>
          </cell>
          <cell r="BO178" t="str">
            <v/>
          </cell>
        </row>
        <row r="179">
          <cell r="A179">
            <v>1</v>
          </cell>
          <cell r="B179">
            <v>4113392</v>
          </cell>
          <cell r="C179" t="str">
            <v>N.R. NATUREL 8</v>
          </cell>
          <cell r="D179" t="str">
            <v>pn101339</v>
          </cell>
          <cell r="E179" t="str">
            <v>O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2</v>
          </cell>
          <cell r="AN179" t="str">
            <v/>
          </cell>
          <cell r="AO179">
            <v>0</v>
          </cell>
          <cell r="AP179">
            <v>0</v>
          </cell>
          <cell r="AQ179">
            <v>0</v>
          </cell>
          <cell r="AR179">
            <v>600</v>
          </cell>
          <cell r="AS179">
            <v>0</v>
          </cell>
          <cell r="AT179" t="str">
            <v/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20339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 t="str">
            <v/>
          </cell>
          <cell r="BK179">
            <v>4000</v>
          </cell>
          <cell r="BL179" t="str">
            <v>0</v>
          </cell>
          <cell r="BM179" t="str">
            <v>1</v>
          </cell>
          <cell r="BN179" t="str">
            <v/>
          </cell>
          <cell r="BO179" t="str">
            <v/>
          </cell>
        </row>
        <row r="180">
          <cell r="A180">
            <v>1</v>
          </cell>
          <cell r="B180">
            <v>4113402</v>
          </cell>
          <cell r="C180" t="str">
            <v>N.R. NAT.BLANC 8</v>
          </cell>
          <cell r="D180" t="str">
            <v>pn101340</v>
          </cell>
          <cell r="E180" t="str">
            <v>O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2</v>
          </cell>
          <cell r="AN180" t="str">
            <v/>
          </cell>
          <cell r="AO180">
            <v>0</v>
          </cell>
          <cell r="AP180">
            <v>0</v>
          </cell>
          <cell r="AQ180">
            <v>0</v>
          </cell>
          <cell r="AR180">
            <v>600</v>
          </cell>
          <cell r="AS180">
            <v>0</v>
          </cell>
          <cell r="AT180" t="str">
            <v/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 t="str">
            <v/>
          </cell>
          <cell r="BK180">
            <v>4000</v>
          </cell>
          <cell r="BL180" t="str">
            <v/>
          </cell>
          <cell r="BM180" t="str">
            <v>1</v>
          </cell>
          <cell r="BN180" t="str">
            <v/>
          </cell>
          <cell r="BO180" t="str">
            <v/>
          </cell>
        </row>
        <row r="181">
          <cell r="A181">
            <v>1</v>
          </cell>
          <cell r="B181">
            <v>4113412</v>
          </cell>
          <cell r="C181" t="str">
            <v>N.R. BLANC P/S</v>
          </cell>
          <cell r="D181" t="str">
            <v>pn101341</v>
          </cell>
          <cell r="E181" t="str">
            <v>O</v>
          </cell>
          <cell r="F181">
            <v>0</v>
          </cell>
          <cell r="G181">
            <v>0</v>
          </cell>
          <cell r="H181">
            <v>139016.69</v>
          </cell>
          <cell r="I181">
            <v>2648.34</v>
          </cell>
          <cell r="J181">
            <v>141665.03</v>
          </cell>
          <cell r="K181">
            <v>0</v>
          </cell>
          <cell r="L181">
            <v>0</v>
          </cell>
          <cell r="M181">
            <v>12588.46</v>
          </cell>
          <cell r="N181">
            <v>13081.86</v>
          </cell>
          <cell r="O181">
            <v>16928.96</v>
          </cell>
          <cell r="P181">
            <v>18790.64</v>
          </cell>
          <cell r="Q181">
            <v>49968.39</v>
          </cell>
          <cell r="R181">
            <v>63349.06</v>
          </cell>
          <cell r="S181">
            <v>69779.42</v>
          </cell>
          <cell r="T181">
            <v>93053.03</v>
          </cell>
          <cell r="U181">
            <v>106627.66</v>
          </cell>
          <cell r="V181">
            <v>118168.75</v>
          </cell>
          <cell r="W181">
            <v>128890.76</v>
          </cell>
          <cell r="X181">
            <v>139016.69</v>
          </cell>
          <cell r="Y181">
            <v>151605.15</v>
          </cell>
          <cell r="Z181">
            <v>5666.03</v>
          </cell>
          <cell r="AA181">
            <v>10675.67</v>
          </cell>
          <cell r="AB181">
            <v>25276.28</v>
          </cell>
          <cell r="AC181">
            <v>41202.26</v>
          </cell>
          <cell r="AD181">
            <v>48504.66</v>
          </cell>
          <cell r="AE181">
            <v>61260.73</v>
          </cell>
          <cell r="AF181">
            <v>66811.31</v>
          </cell>
          <cell r="AG181">
            <v>88592.43</v>
          </cell>
          <cell r="AH181">
            <v>100262.41</v>
          </cell>
          <cell r="AI181">
            <v>102571.86</v>
          </cell>
          <cell r="AJ181">
            <v>111904.04</v>
          </cell>
          <cell r="AK181">
            <v>115325.71</v>
          </cell>
          <cell r="AL181">
            <v>0</v>
          </cell>
          <cell r="AM181">
            <v>2</v>
          </cell>
          <cell r="AN181" t="str">
            <v/>
          </cell>
          <cell r="AO181">
            <v>0</v>
          </cell>
          <cell r="AP181">
            <v>0</v>
          </cell>
          <cell r="AQ181">
            <v>0</v>
          </cell>
          <cell r="AR181">
            <v>600</v>
          </cell>
          <cell r="AS181">
            <v>0</v>
          </cell>
          <cell r="AT181" t="str">
            <v/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20341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 t="str">
            <v/>
          </cell>
          <cell r="BK181">
            <v>4000</v>
          </cell>
          <cell r="BL181" t="str">
            <v>0</v>
          </cell>
          <cell r="BM181" t="str">
            <v>1</v>
          </cell>
          <cell r="BN181" t="str">
            <v/>
          </cell>
          <cell r="BO181" t="str">
            <v/>
          </cell>
        </row>
        <row r="182">
          <cell r="A182">
            <v>1</v>
          </cell>
          <cell r="B182">
            <v>4113422</v>
          </cell>
          <cell r="C182" t="str">
            <v>N.R. BLANC P/M</v>
          </cell>
          <cell r="D182" t="str">
            <v>pn101342</v>
          </cell>
          <cell r="E182" t="str">
            <v>O</v>
          </cell>
          <cell r="F182">
            <v>0</v>
          </cell>
          <cell r="G182">
            <v>0</v>
          </cell>
          <cell r="H182">
            <v>731395.44</v>
          </cell>
          <cell r="I182">
            <v>8448.11</v>
          </cell>
          <cell r="J182">
            <v>739843.55</v>
          </cell>
          <cell r="K182">
            <v>0</v>
          </cell>
          <cell r="L182">
            <v>0</v>
          </cell>
          <cell r="M182">
            <v>44403.56</v>
          </cell>
          <cell r="N182">
            <v>54480.04</v>
          </cell>
          <cell r="O182">
            <v>98380.59</v>
          </cell>
          <cell r="P182">
            <v>143616.85</v>
          </cell>
          <cell r="Q182">
            <v>214216.88</v>
          </cell>
          <cell r="R182">
            <v>270609.86</v>
          </cell>
          <cell r="S182">
            <v>333916.40999999997</v>
          </cell>
          <cell r="T182">
            <v>399460.26</v>
          </cell>
          <cell r="U182">
            <v>491570.78</v>
          </cell>
          <cell r="V182">
            <v>570006.37</v>
          </cell>
          <cell r="W182">
            <v>644184.77</v>
          </cell>
          <cell r="X182">
            <v>731395.44</v>
          </cell>
          <cell r="Y182">
            <v>775799</v>
          </cell>
          <cell r="Z182">
            <v>59685.3</v>
          </cell>
          <cell r="AA182">
            <v>120141.44</v>
          </cell>
          <cell r="AB182">
            <v>193577.36</v>
          </cell>
          <cell r="AC182">
            <v>258461.86</v>
          </cell>
          <cell r="AD182">
            <v>317084.71999999997</v>
          </cell>
          <cell r="AE182">
            <v>385190.12</v>
          </cell>
          <cell r="AF182">
            <v>444683.08</v>
          </cell>
          <cell r="AG182">
            <v>513514.61</v>
          </cell>
          <cell r="AH182">
            <v>582903.99</v>
          </cell>
          <cell r="AI182">
            <v>643027.9</v>
          </cell>
          <cell r="AJ182">
            <v>694985.61</v>
          </cell>
          <cell r="AK182">
            <v>756870.41</v>
          </cell>
          <cell r="AL182">
            <v>0</v>
          </cell>
          <cell r="AM182">
            <v>2</v>
          </cell>
          <cell r="AN182" t="str">
            <v/>
          </cell>
          <cell r="AO182">
            <v>0</v>
          </cell>
          <cell r="AP182">
            <v>0</v>
          </cell>
          <cell r="AQ182">
            <v>0</v>
          </cell>
          <cell r="AR182">
            <v>600</v>
          </cell>
          <cell r="AS182">
            <v>0</v>
          </cell>
          <cell r="AT182" t="str">
            <v/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20342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 t="str">
            <v/>
          </cell>
          <cell r="BK182">
            <v>4000</v>
          </cell>
          <cell r="BL182" t="str">
            <v>0</v>
          </cell>
          <cell r="BM182" t="str">
            <v>1</v>
          </cell>
          <cell r="BN182" t="str">
            <v/>
          </cell>
          <cell r="BO182" t="str">
            <v/>
          </cell>
        </row>
        <row r="183">
          <cell r="A183">
            <v>1</v>
          </cell>
          <cell r="B183">
            <v>4113472</v>
          </cell>
          <cell r="C183" t="str">
            <v>N.R. BLANC PLI EN</v>
          </cell>
          <cell r="D183" t="str">
            <v>pn101347</v>
          </cell>
          <cell r="E183" t="str">
            <v>O</v>
          </cell>
          <cell r="F183">
            <v>0</v>
          </cell>
          <cell r="G183">
            <v>0</v>
          </cell>
          <cell r="H183">
            <v>1019709.66</v>
          </cell>
          <cell r="I183">
            <v>8030.11</v>
          </cell>
          <cell r="J183">
            <v>1027739.77</v>
          </cell>
          <cell r="K183">
            <v>0</v>
          </cell>
          <cell r="L183">
            <v>0</v>
          </cell>
          <cell r="M183">
            <v>63771.96</v>
          </cell>
          <cell r="N183">
            <v>81589.61</v>
          </cell>
          <cell r="O183">
            <v>159273.73000000001</v>
          </cell>
          <cell r="P183">
            <v>254349.75</v>
          </cell>
          <cell r="Q183">
            <v>347509.03</v>
          </cell>
          <cell r="R183">
            <v>444914.72</v>
          </cell>
          <cell r="S183">
            <v>532415.41</v>
          </cell>
          <cell r="T183">
            <v>610759.98</v>
          </cell>
          <cell r="U183">
            <v>705878.97</v>
          </cell>
          <cell r="V183">
            <v>812900.63</v>
          </cell>
          <cell r="W183">
            <v>917803.54</v>
          </cell>
          <cell r="X183">
            <v>1019709.66</v>
          </cell>
          <cell r="Y183">
            <v>1083481.6200000001</v>
          </cell>
          <cell r="Z183">
            <v>70946.5</v>
          </cell>
          <cell r="AA183">
            <v>133395.92000000001</v>
          </cell>
          <cell r="AB183">
            <v>220583.26</v>
          </cell>
          <cell r="AC183">
            <v>300723.53000000003</v>
          </cell>
          <cell r="AD183">
            <v>360360.76</v>
          </cell>
          <cell r="AE183">
            <v>447499.56</v>
          </cell>
          <cell r="AF183">
            <v>561242.61</v>
          </cell>
          <cell r="AG183">
            <v>649901.15</v>
          </cell>
          <cell r="AH183">
            <v>740415.61</v>
          </cell>
          <cell r="AI183">
            <v>826213.4</v>
          </cell>
          <cell r="AJ183">
            <v>922333.15</v>
          </cell>
          <cell r="AK183">
            <v>1004559.69</v>
          </cell>
          <cell r="AL183">
            <v>0</v>
          </cell>
          <cell r="AM183">
            <v>2</v>
          </cell>
          <cell r="AN183" t="str">
            <v/>
          </cell>
          <cell r="AO183">
            <v>0</v>
          </cell>
          <cell r="AP183">
            <v>0</v>
          </cell>
          <cell r="AQ183">
            <v>0</v>
          </cell>
          <cell r="AR183">
            <v>600</v>
          </cell>
          <cell r="AS183">
            <v>0</v>
          </cell>
          <cell r="AT183" t="str">
            <v/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20347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 t="str">
            <v/>
          </cell>
          <cell r="BK183">
            <v>4000</v>
          </cell>
          <cell r="BL183" t="str">
            <v>0</v>
          </cell>
          <cell r="BM183" t="str">
            <v>1</v>
          </cell>
          <cell r="BN183" t="str">
            <v/>
          </cell>
          <cell r="BO183" t="str">
            <v/>
          </cell>
        </row>
        <row r="184">
          <cell r="A184">
            <v>1</v>
          </cell>
          <cell r="B184">
            <v>4113482</v>
          </cell>
          <cell r="C184" t="str">
            <v>NR 8</v>
          </cell>
          <cell r="D184" t="str">
            <v>pn101348</v>
          </cell>
          <cell r="E184" t="str">
            <v>O</v>
          </cell>
          <cell r="F184">
            <v>0</v>
          </cell>
          <cell r="G184">
            <v>0</v>
          </cell>
          <cell r="H184">
            <v>163894.54</v>
          </cell>
          <cell r="I184">
            <v>886.38</v>
          </cell>
          <cell r="J184">
            <v>164780.92000000001</v>
          </cell>
          <cell r="K184">
            <v>0</v>
          </cell>
          <cell r="L184">
            <v>0</v>
          </cell>
          <cell r="M184">
            <v>10485.209999999999</v>
          </cell>
          <cell r="N184">
            <v>8737.75</v>
          </cell>
          <cell r="O184">
            <v>25480.82</v>
          </cell>
          <cell r="P184">
            <v>37109.42</v>
          </cell>
          <cell r="Q184">
            <v>57420.800000000003</v>
          </cell>
          <cell r="R184">
            <v>67392.11</v>
          </cell>
          <cell r="S184">
            <v>86026.44</v>
          </cell>
          <cell r="T184">
            <v>104150.82</v>
          </cell>
          <cell r="U184">
            <v>116516.1</v>
          </cell>
          <cell r="V184">
            <v>137143.92000000001</v>
          </cell>
          <cell r="W184">
            <v>145327.32</v>
          </cell>
          <cell r="X184">
            <v>163894.54</v>
          </cell>
          <cell r="Y184">
            <v>174379.75</v>
          </cell>
          <cell r="Z184">
            <v>6560.16</v>
          </cell>
          <cell r="AA184">
            <v>18077.89</v>
          </cell>
          <cell r="AB184">
            <v>36040.69</v>
          </cell>
          <cell r="AC184">
            <v>48366.41</v>
          </cell>
          <cell r="AD184">
            <v>61197.26</v>
          </cell>
          <cell r="AE184">
            <v>82076.479999999996</v>
          </cell>
          <cell r="AF184">
            <v>99540.49</v>
          </cell>
          <cell r="AG184">
            <v>117532.38</v>
          </cell>
          <cell r="AH184">
            <v>135069.54</v>
          </cell>
          <cell r="AI184">
            <v>147404.79</v>
          </cell>
          <cell r="AJ184">
            <v>167393.82999999999</v>
          </cell>
          <cell r="AK184">
            <v>179138.56</v>
          </cell>
          <cell r="AL184">
            <v>0</v>
          </cell>
          <cell r="AM184">
            <v>2</v>
          </cell>
          <cell r="AN184" t="str">
            <v/>
          </cell>
          <cell r="AO184">
            <v>0</v>
          </cell>
          <cell r="AP184">
            <v>0</v>
          </cell>
          <cell r="AQ184">
            <v>0</v>
          </cell>
          <cell r="AR184">
            <v>600</v>
          </cell>
          <cell r="AS184">
            <v>0</v>
          </cell>
          <cell r="AT184" t="str">
            <v/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20348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 t="str">
            <v/>
          </cell>
          <cell r="BK184">
            <v>4000</v>
          </cell>
          <cell r="BL184" t="str">
            <v>0</v>
          </cell>
          <cell r="BM184" t="str">
            <v>1</v>
          </cell>
          <cell r="BN184" t="str">
            <v/>
          </cell>
          <cell r="BO184" t="str">
            <v/>
          </cell>
        </row>
        <row r="185">
          <cell r="A185">
            <v>1</v>
          </cell>
          <cell r="B185">
            <v>4113492</v>
          </cell>
          <cell r="C185" t="str">
            <v>N.R. BLANC 8</v>
          </cell>
          <cell r="D185" t="str">
            <v>pn101349</v>
          </cell>
          <cell r="E185" t="str">
            <v>O</v>
          </cell>
          <cell r="F185">
            <v>0</v>
          </cell>
          <cell r="G185">
            <v>0</v>
          </cell>
          <cell r="H185">
            <v>399045.1</v>
          </cell>
          <cell r="I185">
            <v>6965.71</v>
          </cell>
          <cell r="J185">
            <v>406010.81</v>
          </cell>
          <cell r="K185">
            <v>0</v>
          </cell>
          <cell r="L185">
            <v>0</v>
          </cell>
          <cell r="M185">
            <v>38109.74</v>
          </cell>
          <cell r="N185">
            <v>30241.360000000001</v>
          </cell>
          <cell r="O185">
            <v>51381.67</v>
          </cell>
          <cell r="P185">
            <v>79127.45</v>
          </cell>
          <cell r="Q185">
            <v>119882.36</v>
          </cell>
          <cell r="R185">
            <v>165053.16</v>
          </cell>
          <cell r="S185">
            <v>209631.34</v>
          </cell>
          <cell r="T185">
            <v>238739.51</v>
          </cell>
          <cell r="U185">
            <v>267991.55</v>
          </cell>
          <cell r="V185">
            <v>317771.40999999997</v>
          </cell>
          <cell r="W185">
            <v>368647.94</v>
          </cell>
          <cell r="X185">
            <v>399045.1</v>
          </cell>
          <cell r="Y185">
            <v>437154.84</v>
          </cell>
          <cell r="Z185">
            <v>40789.49</v>
          </cell>
          <cell r="AA185">
            <v>68726.460000000006</v>
          </cell>
          <cell r="AB185">
            <v>84241.66</v>
          </cell>
          <cell r="AC185">
            <v>125922.27</v>
          </cell>
          <cell r="AD185">
            <v>153862.24</v>
          </cell>
          <cell r="AE185">
            <v>208781.35</v>
          </cell>
          <cell r="AF185">
            <v>267402.64</v>
          </cell>
          <cell r="AG185">
            <v>308753.71999999997</v>
          </cell>
          <cell r="AH185">
            <v>335829.36</v>
          </cell>
          <cell r="AI185">
            <v>362190.99</v>
          </cell>
          <cell r="AJ185">
            <v>420106.79</v>
          </cell>
          <cell r="AK185">
            <v>449875.64</v>
          </cell>
          <cell r="AL185">
            <v>0</v>
          </cell>
          <cell r="AM185">
            <v>2</v>
          </cell>
          <cell r="AN185" t="str">
            <v/>
          </cell>
          <cell r="AO185">
            <v>0</v>
          </cell>
          <cell r="AP185">
            <v>0</v>
          </cell>
          <cell r="AQ185">
            <v>0</v>
          </cell>
          <cell r="AR185">
            <v>600</v>
          </cell>
          <cell r="AS185">
            <v>0</v>
          </cell>
          <cell r="AT185" t="str">
            <v/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20349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 t="str">
            <v/>
          </cell>
          <cell r="BK185">
            <v>4000</v>
          </cell>
          <cell r="BL185" t="str">
            <v>0</v>
          </cell>
          <cell r="BM185" t="str">
            <v>1</v>
          </cell>
          <cell r="BN185" t="str">
            <v/>
          </cell>
          <cell r="BO185" t="str">
            <v/>
          </cell>
        </row>
        <row r="186">
          <cell r="A186">
            <v>1</v>
          </cell>
          <cell r="B186">
            <v>4113502</v>
          </cell>
          <cell r="C186" t="str">
            <v>N.R. BLANC 8</v>
          </cell>
          <cell r="D186" t="str">
            <v>pn101350</v>
          </cell>
          <cell r="E186" t="str">
            <v>O</v>
          </cell>
          <cell r="F186">
            <v>0</v>
          </cell>
          <cell r="G186">
            <v>0</v>
          </cell>
          <cell r="H186">
            <v>656587.09</v>
          </cell>
          <cell r="I186">
            <v>9998.11</v>
          </cell>
          <cell r="J186">
            <v>666585.19999999995</v>
          </cell>
          <cell r="K186">
            <v>0</v>
          </cell>
          <cell r="L186">
            <v>0</v>
          </cell>
          <cell r="M186">
            <v>48175.66</v>
          </cell>
          <cell r="N186">
            <v>71344.95</v>
          </cell>
          <cell r="O186">
            <v>108908.8</v>
          </cell>
          <cell r="P186">
            <v>165538.29999999999</v>
          </cell>
          <cell r="Q186">
            <v>212582.56</v>
          </cell>
          <cell r="R186">
            <v>259116.23</v>
          </cell>
          <cell r="S186">
            <v>323090.42</v>
          </cell>
          <cell r="T186">
            <v>364268.76</v>
          </cell>
          <cell r="U186">
            <v>421662.53</v>
          </cell>
          <cell r="V186">
            <v>500532.81</v>
          </cell>
          <cell r="W186">
            <v>584271.98</v>
          </cell>
          <cell r="X186">
            <v>656587.09</v>
          </cell>
          <cell r="Y186">
            <v>704762.75</v>
          </cell>
          <cell r="Z186">
            <v>30469.8</v>
          </cell>
          <cell r="AA186">
            <v>81772.44</v>
          </cell>
          <cell r="AB186">
            <v>129092.05</v>
          </cell>
          <cell r="AC186">
            <v>156552.07</v>
          </cell>
          <cell r="AD186">
            <v>196401.11</v>
          </cell>
          <cell r="AE186">
            <v>242513.35</v>
          </cell>
          <cell r="AF186">
            <v>293188.47999999998</v>
          </cell>
          <cell r="AG186">
            <v>352426.78</v>
          </cell>
          <cell r="AH186">
            <v>398594.13</v>
          </cell>
          <cell r="AI186">
            <v>454177.89</v>
          </cell>
          <cell r="AJ186">
            <v>509926.43</v>
          </cell>
          <cell r="AK186">
            <v>567314.85</v>
          </cell>
          <cell r="AL186">
            <v>0</v>
          </cell>
          <cell r="AM186">
            <v>2</v>
          </cell>
          <cell r="AN186" t="str">
            <v/>
          </cell>
          <cell r="AO186">
            <v>0</v>
          </cell>
          <cell r="AP186">
            <v>0</v>
          </cell>
          <cell r="AQ186">
            <v>0</v>
          </cell>
          <cell r="AR186">
            <v>600</v>
          </cell>
          <cell r="AS186">
            <v>0</v>
          </cell>
          <cell r="AT186" t="str">
            <v/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20350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 t="str">
            <v/>
          </cell>
          <cell r="BK186">
            <v>4000</v>
          </cell>
          <cell r="BL186" t="str">
            <v>0</v>
          </cell>
          <cell r="BM186" t="str">
            <v>1</v>
          </cell>
          <cell r="BN186" t="str">
            <v/>
          </cell>
          <cell r="BO186" t="str">
            <v/>
          </cell>
        </row>
        <row r="187">
          <cell r="A187">
            <v>1</v>
          </cell>
          <cell r="B187">
            <v>4113512</v>
          </cell>
          <cell r="C187" t="str">
            <v>WHITE C/FOLD</v>
          </cell>
          <cell r="D187" t="str">
            <v>pn101351</v>
          </cell>
          <cell r="E187" t="str">
            <v>O</v>
          </cell>
          <cell r="F187">
            <v>0</v>
          </cell>
          <cell r="G187">
            <v>0</v>
          </cell>
          <cell r="H187">
            <v>114935.64</v>
          </cell>
          <cell r="I187">
            <v>876.26</v>
          </cell>
          <cell r="J187">
            <v>115811.9</v>
          </cell>
          <cell r="K187">
            <v>0</v>
          </cell>
          <cell r="L187">
            <v>0</v>
          </cell>
          <cell r="M187">
            <v>0</v>
          </cell>
          <cell r="N187">
            <v>17224.34</v>
          </cell>
          <cell r="O187">
            <v>17224.34</v>
          </cell>
          <cell r="P187">
            <v>35887.21</v>
          </cell>
          <cell r="Q187">
            <v>35887.21</v>
          </cell>
          <cell r="R187">
            <v>54914.36</v>
          </cell>
          <cell r="S187">
            <v>74219.08</v>
          </cell>
          <cell r="T187">
            <v>74219.08</v>
          </cell>
          <cell r="U187">
            <v>114935.64</v>
          </cell>
          <cell r="V187">
            <v>114935.64</v>
          </cell>
          <cell r="W187">
            <v>114935.64</v>
          </cell>
          <cell r="X187">
            <v>114935.64</v>
          </cell>
          <cell r="Y187">
            <v>114935.64</v>
          </cell>
          <cell r="Z187">
            <v>17998.71</v>
          </cell>
          <cell r="AA187">
            <v>17998.71</v>
          </cell>
          <cell r="AB187">
            <v>35092.629999999997</v>
          </cell>
          <cell r="AC187">
            <v>35092.629999999997</v>
          </cell>
          <cell r="AD187">
            <v>52195.74</v>
          </cell>
          <cell r="AE187">
            <v>69822.259999999995</v>
          </cell>
          <cell r="AF187">
            <v>69822.259999999995</v>
          </cell>
          <cell r="AG187">
            <v>87798.44</v>
          </cell>
          <cell r="AH187">
            <v>105102.6</v>
          </cell>
          <cell r="AI187">
            <v>105102.6</v>
          </cell>
          <cell r="AJ187">
            <v>105102.6</v>
          </cell>
          <cell r="AK187">
            <v>122173.3</v>
          </cell>
          <cell r="AL187">
            <v>0</v>
          </cell>
          <cell r="AM187">
            <v>2</v>
          </cell>
          <cell r="AN187" t="str">
            <v/>
          </cell>
          <cell r="AO187">
            <v>0</v>
          </cell>
          <cell r="AP187">
            <v>0</v>
          </cell>
          <cell r="AQ187">
            <v>0</v>
          </cell>
          <cell r="AR187">
            <v>600</v>
          </cell>
          <cell r="AS187">
            <v>0</v>
          </cell>
          <cell r="AT187" t="str">
            <v/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20351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 t="str">
            <v/>
          </cell>
          <cell r="BK187">
            <v>4000</v>
          </cell>
          <cell r="BL187" t="str">
            <v>0</v>
          </cell>
          <cell r="BM187" t="str">
            <v>1</v>
          </cell>
          <cell r="BN187" t="str">
            <v/>
          </cell>
          <cell r="BO187" t="str">
            <v/>
          </cell>
        </row>
        <row r="188">
          <cell r="A188">
            <v>1</v>
          </cell>
          <cell r="B188">
            <v>4114032</v>
          </cell>
          <cell r="C188" t="str">
            <v>HORIZON P/S NATUREL</v>
          </cell>
          <cell r="D188" t="str">
            <v>pn101403</v>
          </cell>
          <cell r="E188" t="str">
            <v>O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2</v>
          </cell>
          <cell r="AN188" t="str">
            <v/>
          </cell>
          <cell r="AO188">
            <v>0</v>
          </cell>
          <cell r="AP188">
            <v>0</v>
          </cell>
          <cell r="AQ188">
            <v>0</v>
          </cell>
          <cell r="AR188">
            <v>600</v>
          </cell>
          <cell r="AS188">
            <v>0</v>
          </cell>
          <cell r="AT188" t="str">
            <v/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 t="str">
            <v/>
          </cell>
          <cell r="BK188">
            <v>4000</v>
          </cell>
          <cell r="BL188" t="str">
            <v/>
          </cell>
          <cell r="BM188" t="str">
            <v>1</v>
          </cell>
          <cell r="BN188" t="str">
            <v/>
          </cell>
          <cell r="BO188" t="str">
            <v/>
          </cell>
        </row>
        <row r="189">
          <cell r="A189">
            <v>1</v>
          </cell>
          <cell r="B189">
            <v>4114052</v>
          </cell>
          <cell r="C189" t="str">
            <v>HORIZON P/S PERLE</v>
          </cell>
          <cell r="D189" t="str">
            <v>pn101405</v>
          </cell>
          <cell r="E189" t="str">
            <v>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</v>
          </cell>
          <cell r="AN189" t="str">
            <v/>
          </cell>
          <cell r="AO189">
            <v>0</v>
          </cell>
          <cell r="AP189">
            <v>0</v>
          </cell>
          <cell r="AQ189">
            <v>0</v>
          </cell>
          <cell r="AR189">
            <v>600</v>
          </cell>
          <cell r="AS189">
            <v>0</v>
          </cell>
          <cell r="AT189" t="str">
            <v/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 t="str">
            <v/>
          </cell>
          <cell r="BK189">
            <v>4000</v>
          </cell>
          <cell r="BL189" t="str">
            <v/>
          </cell>
          <cell r="BM189" t="str">
            <v>1</v>
          </cell>
          <cell r="BN189" t="str">
            <v/>
          </cell>
          <cell r="BO189" t="str">
            <v/>
          </cell>
        </row>
        <row r="190">
          <cell r="A190">
            <v>1</v>
          </cell>
          <cell r="B190">
            <v>4114072</v>
          </cell>
          <cell r="C190" t="str">
            <v>HORIZON P/M NATUREL</v>
          </cell>
          <cell r="D190" t="str">
            <v>pn101407</v>
          </cell>
          <cell r="E190" t="str">
            <v>O</v>
          </cell>
          <cell r="F190">
            <v>0</v>
          </cell>
          <cell r="G190">
            <v>0</v>
          </cell>
          <cell r="H190">
            <v>67186.69</v>
          </cell>
          <cell r="I190">
            <v>1911.45</v>
          </cell>
          <cell r="J190">
            <v>69098.14</v>
          </cell>
          <cell r="K190">
            <v>0</v>
          </cell>
          <cell r="L190">
            <v>8778.7000000000007</v>
          </cell>
          <cell r="M190">
            <v>0</v>
          </cell>
          <cell r="N190">
            <v>7423.38</v>
          </cell>
          <cell r="O190">
            <v>18105.3</v>
          </cell>
          <cell r="P190">
            <v>24397.14</v>
          </cell>
          <cell r="Q190">
            <v>34639.379999999997</v>
          </cell>
          <cell r="R190">
            <v>45890.28</v>
          </cell>
          <cell r="S190">
            <v>48457.51</v>
          </cell>
          <cell r="T190">
            <v>53982.43</v>
          </cell>
          <cell r="U190">
            <v>61834.87</v>
          </cell>
          <cell r="V190">
            <v>62377.21</v>
          </cell>
          <cell r="W190">
            <v>68865.31</v>
          </cell>
          <cell r="X190">
            <v>67186.69</v>
          </cell>
          <cell r="Y190">
            <v>58407.99</v>
          </cell>
          <cell r="Z190">
            <v>21029.01</v>
          </cell>
          <cell r="AA190">
            <v>26941.69</v>
          </cell>
          <cell r="AB190">
            <v>46718.34</v>
          </cell>
          <cell r="AC190">
            <v>48271.78</v>
          </cell>
          <cell r="AD190">
            <v>54915.02</v>
          </cell>
          <cell r="AE190">
            <v>47367.55</v>
          </cell>
          <cell r="AF190">
            <v>58823.81</v>
          </cell>
          <cell r="AG190">
            <v>70483.009999999995</v>
          </cell>
          <cell r="AH190">
            <v>81245.649999999994</v>
          </cell>
          <cell r="AI190">
            <v>98287.2</v>
          </cell>
          <cell r="AJ190">
            <v>107550.02</v>
          </cell>
          <cell r="AK190">
            <v>91692.67</v>
          </cell>
          <cell r="AL190">
            <v>0</v>
          </cell>
          <cell r="AM190">
            <v>2</v>
          </cell>
          <cell r="AN190" t="str">
            <v/>
          </cell>
          <cell r="AO190">
            <v>0</v>
          </cell>
          <cell r="AP190">
            <v>0</v>
          </cell>
          <cell r="AQ190">
            <v>0</v>
          </cell>
          <cell r="AR190">
            <v>600</v>
          </cell>
          <cell r="AS190">
            <v>0</v>
          </cell>
          <cell r="AT190" t="str">
            <v/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20407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 t="str">
            <v/>
          </cell>
          <cell r="BK190">
            <v>4000</v>
          </cell>
          <cell r="BL190" t="str">
            <v>0</v>
          </cell>
          <cell r="BM190" t="str">
            <v>1</v>
          </cell>
          <cell r="BN190" t="str">
            <v/>
          </cell>
          <cell r="BO190" t="str">
            <v/>
          </cell>
        </row>
        <row r="191">
          <cell r="A191">
            <v>1</v>
          </cell>
          <cell r="B191">
            <v>4114082</v>
          </cell>
          <cell r="C191" t="str">
            <v>HORIZON P/S NATUREL</v>
          </cell>
          <cell r="D191" t="str">
            <v>pn101408</v>
          </cell>
          <cell r="E191" t="str">
            <v>O</v>
          </cell>
          <cell r="F191">
            <v>0</v>
          </cell>
          <cell r="G191">
            <v>0</v>
          </cell>
          <cell r="H191">
            <v>47360.57</v>
          </cell>
          <cell r="I191">
            <v>12216.08</v>
          </cell>
          <cell r="J191">
            <v>59576.65</v>
          </cell>
          <cell r="K191">
            <v>0</v>
          </cell>
          <cell r="L191">
            <v>2188.1799999999998</v>
          </cell>
          <cell r="M191">
            <v>0</v>
          </cell>
          <cell r="N191">
            <v>9424.7800000000007</v>
          </cell>
          <cell r="O191">
            <v>18173.27</v>
          </cell>
          <cell r="P191">
            <v>26935.14</v>
          </cell>
          <cell r="Q191">
            <v>32299.62</v>
          </cell>
          <cell r="R191">
            <v>40848.839999999997</v>
          </cell>
          <cell r="S191">
            <v>54285.53</v>
          </cell>
          <cell r="T191">
            <v>58151.16</v>
          </cell>
          <cell r="U191">
            <v>59271.24</v>
          </cell>
          <cell r="V191">
            <v>54904.45</v>
          </cell>
          <cell r="W191">
            <v>49018.93</v>
          </cell>
          <cell r="X191">
            <v>47360.57</v>
          </cell>
          <cell r="Y191">
            <v>45172.39</v>
          </cell>
          <cell r="Z191">
            <v>2880.23</v>
          </cell>
          <cell r="AA191">
            <v>15196.56</v>
          </cell>
          <cell r="AB191">
            <v>24254.560000000001</v>
          </cell>
          <cell r="AC191">
            <v>28903.14</v>
          </cell>
          <cell r="AD191">
            <v>33535.800000000003</v>
          </cell>
          <cell r="AE191">
            <v>38360.800000000003</v>
          </cell>
          <cell r="AF191">
            <v>47959.44</v>
          </cell>
          <cell r="AG191">
            <v>56741.82</v>
          </cell>
          <cell r="AH191">
            <v>67135.98</v>
          </cell>
          <cell r="AI191">
            <v>69397.59</v>
          </cell>
          <cell r="AJ191">
            <v>77579.710000000006</v>
          </cell>
          <cell r="AK191">
            <v>82584.84</v>
          </cell>
          <cell r="AL191">
            <v>0</v>
          </cell>
          <cell r="AM191">
            <v>2</v>
          </cell>
          <cell r="AN191" t="str">
            <v/>
          </cell>
          <cell r="AO191">
            <v>0</v>
          </cell>
          <cell r="AP191">
            <v>0</v>
          </cell>
          <cell r="AQ191">
            <v>0</v>
          </cell>
          <cell r="AR191">
            <v>600</v>
          </cell>
          <cell r="AS191">
            <v>0</v>
          </cell>
          <cell r="AT191" t="str">
            <v/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20408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 t="str">
            <v/>
          </cell>
          <cell r="BK191">
            <v>4000</v>
          </cell>
          <cell r="BL191" t="str">
            <v>0</v>
          </cell>
          <cell r="BM191" t="str">
            <v>1</v>
          </cell>
          <cell r="BN191" t="str">
            <v/>
          </cell>
          <cell r="BO191" t="str">
            <v/>
          </cell>
        </row>
        <row r="192">
          <cell r="A192">
            <v>1</v>
          </cell>
          <cell r="B192">
            <v>4114092</v>
          </cell>
          <cell r="C192" t="str">
            <v>HORIZON P/M PERLE</v>
          </cell>
          <cell r="D192" t="str">
            <v>pn101409</v>
          </cell>
          <cell r="E192" t="str">
            <v>O</v>
          </cell>
          <cell r="F192">
            <v>0</v>
          </cell>
          <cell r="G192">
            <v>0</v>
          </cell>
          <cell r="H192">
            <v>71392.899999999994</v>
          </cell>
          <cell r="I192">
            <v>1009.54</v>
          </cell>
          <cell r="J192">
            <v>72402.44</v>
          </cell>
          <cell r="K192">
            <v>0</v>
          </cell>
          <cell r="L192">
            <v>8536.41</v>
          </cell>
          <cell r="M192">
            <v>0</v>
          </cell>
          <cell r="N192">
            <v>7114.02</v>
          </cell>
          <cell r="O192">
            <v>13918.71</v>
          </cell>
          <cell r="P192">
            <v>26092.81</v>
          </cell>
          <cell r="Q192">
            <v>32559.62</v>
          </cell>
          <cell r="R192">
            <v>42597.64</v>
          </cell>
          <cell r="S192">
            <v>51222.68</v>
          </cell>
          <cell r="T192">
            <v>57981.56</v>
          </cell>
          <cell r="U192">
            <v>64119.78</v>
          </cell>
          <cell r="V192">
            <v>63379.21</v>
          </cell>
          <cell r="W192">
            <v>66963.19</v>
          </cell>
          <cell r="X192">
            <v>71392.899999999994</v>
          </cell>
          <cell r="Y192">
            <v>62856.49</v>
          </cell>
          <cell r="Z192">
            <v>5325.88</v>
          </cell>
          <cell r="AA192">
            <v>18148.89</v>
          </cell>
          <cell r="AB192">
            <v>32468.82</v>
          </cell>
          <cell r="AC192">
            <v>37018.400000000001</v>
          </cell>
          <cell r="AD192">
            <v>35108.160000000003</v>
          </cell>
          <cell r="AE192">
            <v>35182.06</v>
          </cell>
          <cell r="AF192">
            <v>40616.42</v>
          </cell>
          <cell r="AG192">
            <v>45195.08</v>
          </cell>
          <cell r="AH192">
            <v>52418.34</v>
          </cell>
          <cell r="AI192">
            <v>61926.54</v>
          </cell>
          <cell r="AJ192">
            <v>71736.58</v>
          </cell>
          <cell r="AK192">
            <v>74334.73</v>
          </cell>
          <cell r="AL192">
            <v>0</v>
          </cell>
          <cell r="AM192">
            <v>2</v>
          </cell>
          <cell r="AN192" t="str">
            <v/>
          </cell>
          <cell r="AO192">
            <v>0</v>
          </cell>
          <cell r="AP192">
            <v>0</v>
          </cell>
          <cell r="AQ192">
            <v>0</v>
          </cell>
          <cell r="AR192">
            <v>600</v>
          </cell>
          <cell r="AS192">
            <v>0</v>
          </cell>
          <cell r="AT192" t="str">
            <v/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20409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 t="str">
            <v/>
          </cell>
          <cell r="BK192">
            <v>4000</v>
          </cell>
          <cell r="BL192" t="str">
            <v>0</v>
          </cell>
          <cell r="BM192" t="str">
            <v>1</v>
          </cell>
          <cell r="BN192" t="str">
            <v/>
          </cell>
          <cell r="BO192" t="str">
            <v/>
          </cell>
        </row>
        <row r="193">
          <cell r="A193">
            <v>1</v>
          </cell>
          <cell r="B193">
            <v>4114112</v>
          </cell>
          <cell r="C193" t="str">
            <v>HORIZON 8</v>
          </cell>
          <cell r="D193" t="str">
            <v>pn101411</v>
          </cell>
          <cell r="E193" t="str">
            <v>O</v>
          </cell>
          <cell r="F193">
            <v>0</v>
          </cell>
          <cell r="G193">
            <v>0</v>
          </cell>
          <cell r="H193">
            <v>33165.660000000003</v>
          </cell>
          <cell r="I193">
            <v>3538.19</v>
          </cell>
          <cell r="J193">
            <v>36703.85</v>
          </cell>
          <cell r="K193">
            <v>0</v>
          </cell>
          <cell r="L193">
            <v>1156.31</v>
          </cell>
          <cell r="M193">
            <v>0</v>
          </cell>
          <cell r="N193">
            <v>2253.64</v>
          </cell>
          <cell r="O193">
            <v>10617.32</v>
          </cell>
          <cell r="P193">
            <v>12534.07</v>
          </cell>
          <cell r="Q193">
            <v>18772.54</v>
          </cell>
          <cell r="R193">
            <v>25051.03</v>
          </cell>
          <cell r="S193">
            <v>30184.12</v>
          </cell>
          <cell r="T193">
            <v>32885.67</v>
          </cell>
          <cell r="U193">
            <v>36569.769999999997</v>
          </cell>
          <cell r="V193">
            <v>34946.32</v>
          </cell>
          <cell r="W193">
            <v>33965.480000000003</v>
          </cell>
          <cell r="X193">
            <v>33165.660000000003</v>
          </cell>
          <cell r="Y193">
            <v>32009.35</v>
          </cell>
          <cell r="Z193">
            <v>439.66</v>
          </cell>
          <cell r="AA193">
            <v>7276.58</v>
          </cell>
          <cell r="AB193">
            <v>13900.72</v>
          </cell>
          <cell r="AC193">
            <v>22862.23</v>
          </cell>
          <cell r="AD193">
            <v>30044.48</v>
          </cell>
          <cell r="AE193">
            <v>27251.55</v>
          </cell>
          <cell r="AF193">
            <v>41439.160000000003</v>
          </cell>
          <cell r="AG193">
            <v>47079.360000000001</v>
          </cell>
          <cell r="AH193">
            <v>50391.46</v>
          </cell>
          <cell r="AI193">
            <v>51336.87</v>
          </cell>
          <cell r="AJ193">
            <v>58004.31</v>
          </cell>
          <cell r="AK193">
            <v>62515.75</v>
          </cell>
          <cell r="AL193">
            <v>0</v>
          </cell>
          <cell r="AM193">
            <v>2</v>
          </cell>
          <cell r="AN193" t="str">
            <v/>
          </cell>
          <cell r="AO193">
            <v>0</v>
          </cell>
          <cell r="AP193">
            <v>0</v>
          </cell>
          <cell r="AQ193">
            <v>0</v>
          </cell>
          <cell r="AR193">
            <v>600</v>
          </cell>
          <cell r="AS193">
            <v>0</v>
          </cell>
          <cell r="AT193" t="str">
            <v/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20411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 t="str">
            <v/>
          </cell>
          <cell r="BK193">
            <v>4000</v>
          </cell>
          <cell r="BL193" t="str">
            <v>0</v>
          </cell>
          <cell r="BM193" t="str">
            <v>1</v>
          </cell>
          <cell r="BN193" t="str">
            <v/>
          </cell>
          <cell r="BO193" t="str">
            <v/>
          </cell>
        </row>
        <row r="194">
          <cell r="A194">
            <v>1</v>
          </cell>
          <cell r="B194">
            <v>4114122</v>
          </cell>
          <cell r="C194" t="str">
            <v>HORIZON P/S PERLE</v>
          </cell>
          <cell r="D194" t="str">
            <v>pn101412</v>
          </cell>
          <cell r="E194" t="str">
            <v>O</v>
          </cell>
          <cell r="F194">
            <v>0</v>
          </cell>
          <cell r="G194">
            <v>0</v>
          </cell>
          <cell r="H194">
            <v>146001.35</v>
          </cell>
          <cell r="I194">
            <v>7120.37</v>
          </cell>
          <cell r="J194">
            <v>153121.72</v>
          </cell>
          <cell r="K194">
            <v>0</v>
          </cell>
          <cell r="L194">
            <v>7363</v>
          </cell>
          <cell r="M194">
            <v>0</v>
          </cell>
          <cell r="N194">
            <v>11081.48</v>
          </cell>
          <cell r="O194">
            <v>32617.41</v>
          </cell>
          <cell r="P194">
            <v>33444.17</v>
          </cell>
          <cell r="Q194">
            <v>69217.81</v>
          </cell>
          <cell r="R194">
            <v>99986.2</v>
          </cell>
          <cell r="S194">
            <v>119802.26</v>
          </cell>
          <cell r="T194">
            <v>128240.1</v>
          </cell>
          <cell r="U194">
            <v>141609.18</v>
          </cell>
          <cell r="V194">
            <v>152073.49</v>
          </cell>
          <cell r="W194">
            <v>147333.41</v>
          </cell>
          <cell r="X194">
            <v>146001.35</v>
          </cell>
          <cell r="Y194">
            <v>138638.35</v>
          </cell>
          <cell r="Z194">
            <v>26821.7</v>
          </cell>
          <cell r="AA194">
            <v>46328.85</v>
          </cell>
          <cell r="AB194">
            <v>83271.53</v>
          </cell>
          <cell r="AC194">
            <v>102874.76</v>
          </cell>
          <cell r="AD194">
            <v>124849.95</v>
          </cell>
          <cell r="AE194">
            <v>147387.32999999999</v>
          </cell>
          <cell r="AF194">
            <v>158610.93</v>
          </cell>
          <cell r="AG194">
            <v>176182.6</v>
          </cell>
          <cell r="AH194">
            <v>176170.12</v>
          </cell>
          <cell r="AI194">
            <v>206684.19</v>
          </cell>
          <cell r="AJ194">
            <v>237239.88</v>
          </cell>
          <cell r="AK194">
            <v>232781.22</v>
          </cell>
          <cell r="AL194">
            <v>0</v>
          </cell>
          <cell r="AM194">
            <v>2</v>
          </cell>
          <cell r="AN194" t="str">
            <v/>
          </cell>
          <cell r="AO194">
            <v>0</v>
          </cell>
          <cell r="AP194">
            <v>0</v>
          </cell>
          <cell r="AQ194">
            <v>0</v>
          </cell>
          <cell r="AR194">
            <v>600</v>
          </cell>
          <cell r="AS194">
            <v>0</v>
          </cell>
          <cell r="AT194" t="str">
            <v/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20412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 t="str">
            <v/>
          </cell>
          <cell r="BK194">
            <v>4000</v>
          </cell>
          <cell r="BL194" t="str">
            <v>0</v>
          </cell>
          <cell r="BM194" t="str">
            <v>1</v>
          </cell>
          <cell r="BN194" t="str">
            <v/>
          </cell>
          <cell r="BO194" t="str">
            <v/>
          </cell>
        </row>
        <row r="195">
          <cell r="A195">
            <v>1</v>
          </cell>
          <cell r="B195">
            <v>4114132</v>
          </cell>
          <cell r="C195" t="str">
            <v>NORTH RIVER 8</v>
          </cell>
          <cell r="D195" t="str">
            <v>pn101413</v>
          </cell>
          <cell r="E195" t="str">
            <v>O</v>
          </cell>
          <cell r="F195">
            <v>0</v>
          </cell>
          <cell r="G195">
            <v>0</v>
          </cell>
          <cell r="H195">
            <v>176487.83</v>
          </cell>
          <cell r="I195">
            <v>1043.26</v>
          </cell>
          <cell r="J195">
            <v>177531.09</v>
          </cell>
          <cell r="K195">
            <v>0</v>
          </cell>
          <cell r="L195">
            <v>0</v>
          </cell>
          <cell r="M195">
            <v>14618.38</v>
          </cell>
          <cell r="N195">
            <v>21826.91</v>
          </cell>
          <cell r="O195">
            <v>29036.03</v>
          </cell>
          <cell r="P195">
            <v>45246.36</v>
          </cell>
          <cell r="Q195">
            <v>77728.98</v>
          </cell>
          <cell r="R195">
            <v>98670.76</v>
          </cell>
          <cell r="S195">
            <v>125970.81</v>
          </cell>
          <cell r="T195">
            <v>144081.76</v>
          </cell>
          <cell r="U195">
            <v>148097.09</v>
          </cell>
          <cell r="V195">
            <v>151757.85</v>
          </cell>
          <cell r="W195">
            <v>163927.96</v>
          </cell>
          <cell r="X195">
            <v>176487.83</v>
          </cell>
          <cell r="Y195">
            <v>191106.21</v>
          </cell>
          <cell r="Z195">
            <v>25855.17</v>
          </cell>
          <cell r="AA195">
            <v>48380.33</v>
          </cell>
          <cell r="AB195">
            <v>94683.51</v>
          </cell>
          <cell r="AC195">
            <v>126861.77</v>
          </cell>
          <cell r="AD195">
            <v>143667.03</v>
          </cell>
          <cell r="AE195">
            <v>178116.78</v>
          </cell>
          <cell r="AF195">
            <v>216075.46</v>
          </cell>
          <cell r="AG195">
            <v>235834.7</v>
          </cell>
          <cell r="AH195">
            <v>244724.89</v>
          </cell>
          <cell r="AI195">
            <v>269172.98</v>
          </cell>
          <cell r="AJ195">
            <v>295712.03999999998</v>
          </cell>
          <cell r="AK195">
            <v>299363.15000000002</v>
          </cell>
          <cell r="AL195">
            <v>0</v>
          </cell>
          <cell r="AM195">
            <v>2</v>
          </cell>
          <cell r="AN195" t="str">
            <v/>
          </cell>
          <cell r="AO195">
            <v>0</v>
          </cell>
          <cell r="AP195">
            <v>0</v>
          </cell>
          <cell r="AQ195">
            <v>0</v>
          </cell>
          <cell r="AR195">
            <v>600</v>
          </cell>
          <cell r="AS195">
            <v>0</v>
          </cell>
          <cell r="AT195" t="str">
            <v/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20413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 t="str">
            <v/>
          </cell>
          <cell r="BK195">
            <v>4000</v>
          </cell>
          <cell r="BL195" t="str">
            <v>0</v>
          </cell>
          <cell r="BM195" t="str">
            <v>1</v>
          </cell>
          <cell r="BN195" t="str">
            <v/>
          </cell>
          <cell r="BO195" t="str">
            <v/>
          </cell>
        </row>
        <row r="196">
          <cell r="A196">
            <v>1</v>
          </cell>
          <cell r="B196">
            <v>4114152</v>
          </cell>
          <cell r="C196" t="str">
            <v>HORIZON 8</v>
          </cell>
          <cell r="D196" t="str">
            <v>pn101415</v>
          </cell>
          <cell r="E196" t="str">
            <v>O</v>
          </cell>
          <cell r="F196">
            <v>0</v>
          </cell>
          <cell r="G196">
            <v>0</v>
          </cell>
          <cell r="H196">
            <v>57137.99</v>
          </cell>
          <cell r="I196">
            <v>1645.56</v>
          </cell>
          <cell r="J196">
            <v>58783.55</v>
          </cell>
          <cell r="K196">
            <v>0</v>
          </cell>
          <cell r="L196">
            <v>840.74</v>
          </cell>
          <cell r="M196">
            <v>0</v>
          </cell>
          <cell r="N196">
            <v>9778.86</v>
          </cell>
          <cell r="O196">
            <v>16130.01</v>
          </cell>
          <cell r="P196">
            <v>23077.29</v>
          </cell>
          <cell r="Q196">
            <v>32154.27</v>
          </cell>
          <cell r="R196">
            <v>41111.43</v>
          </cell>
          <cell r="S196">
            <v>46841.05</v>
          </cell>
          <cell r="T196">
            <v>58183.6</v>
          </cell>
          <cell r="U196">
            <v>58131.35</v>
          </cell>
          <cell r="V196">
            <v>58131.35</v>
          </cell>
          <cell r="W196">
            <v>57612.1</v>
          </cell>
          <cell r="X196">
            <v>57137.99</v>
          </cell>
          <cell r="Y196">
            <v>56297.25</v>
          </cell>
          <cell r="Z196">
            <v>13024.24</v>
          </cell>
          <cell r="AA196">
            <v>25617.99</v>
          </cell>
          <cell r="AB196">
            <v>35478.44</v>
          </cell>
          <cell r="AC196">
            <v>44665.34</v>
          </cell>
          <cell r="AD196">
            <v>57810.64</v>
          </cell>
          <cell r="AE196">
            <v>72564.820000000007</v>
          </cell>
          <cell r="AF196">
            <v>68766.66</v>
          </cell>
          <cell r="AG196">
            <v>75912.649999999994</v>
          </cell>
          <cell r="AH196">
            <v>82692.350000000006</v>
          </cell>
          <cell r="AI196">
            <v>90191.96</v>
          </cell>
          <cell r="AJ196">
            <v>91700.19</v>
          </cell>
          <cell r="AK196">
            <v>94099.56</v>
          </cell>
          <cell r="AL196">
            <v>0</v>
          </cell>
          <cell r="AM196">
            <v>2</v>
          </cell>
          <cell r="AN196" t="str">
            <v/>
          </cell>
          <cell r="AO196">
            <v>0</v>
          </cell>
          <cell r="AP196">
            <v>0</v>
          </cell>
          <cell r="AQ196">
            <v>0</v>
          </cell>
          <cell r="AR196">
            <v>600</v>
          </cell>
          <cell r="AS196">
            <v>0</v>
          </cell>
          <cell r="AT196" t="str">
            <v/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20415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 t="str">
            <v/>
          </cell>
          <cell r="BK196">
            <v>4000</v>
          </cell>
          <cell r="BL196" t="str">
            <v>0</v>
          </cell>
          <cell r="BM196" t="str">
            <v>1</v>
          </cell>
          <cell r="BN196" t="str">
            <v/>
          </cell>
          <cell r="BO196" t="str">
            <v/>
          </cell>
        </row>
        <row r="197">
          <cell r="A197">
            <v>1</v>
          </cell>
          <cell r="B197">
            <v>4114172</v>
          </cell>
          <cell r="C197" t="str">
            <v>NORTH RIVER 8</v>
          </cell>
          <cell r="D197" t="str">
            <v>pn101417</v>
          </cell>
          <cell r="E197" t="str">
            <v>O</v>
          </cell>
          <cell r="F197">
            <v>0</v>
          </cell>
          <cell r="G197">
            <v>0</v>
          </cell>
          <cell r="H197">
            <v>25070.21</v>
          </cell>
          <cell r="I197">
            <v>511.37</v>
          </cell>
          <cell r="J197">
            <v>25581.58</v>
          </cell>
          <cell r="K197">
            <v>0</v>
          </cell>
          <cell r="L197">
            <v>0</v>
          </cell>
          <cell r="M197">
            <v>1562.71</v>
          </cell>
          <cell r="N197">
            <v>1856.58</v>
          </cell>
          <cell r="O197">
            <v>2032.63</v>
          </cell>
          <cell r="P197">
            <v>5248.52</v>
          </cell>
          <cell r="Q197">
            <v>6938.6</v>
          </cell>
          <cell r="R197">
            <v>10702.49</v>
          </cell>
          <cell r="S197">
            <v>12297.53</v>
          </cell>
          <cell r="T197">
            <v>17174.509999999998</v>
          </cell>
          <cell r="U197">
            <v>19136.82</v>
          </cell>
          <cell r="V197">
            <v>18706.13</v>
          </cell>
          <cell r="W197">
            <v>22424.86</v>
          </cell>
          <cell r="X197">
            <v>25070.21</v>
          </cell>
          <cell r="Y197">
            <v>26632.92</v>
          </cell>
          <cell r="Z197">
            <v>1292.76</v>
          </cell>
          <cell r="AA197">
            <v>3163.32</v>
          </cell>
          <cell r="AB197">
            <v>4901.45</v>
          </cell>
          <cell r="AC197">
            <v>5742.94</v>
          </cell>
          <cell r="AD197">
            <v>8668.2999999999993</v>
          </cell>
          <cell r="AE197">
            <v>16415.86</v>
          </cell>
          <cell r="AF197">
            <v>24326.5</v>
          </cell>
          <cell r="AG197">
            <v>24942.1</v>
          </cell>
          <cell r="AH197">
            <v>27768.43</v>
          </cell>
          <cell r="AI197">
            <v>34690.800000000003</v>
          </cell>
          <cell r="AJ197">
            <v>37149.72</v>
          </cell>
          <cell r="AK197">
            <v>37779.589999999997</v>
          </cell>
          <cell r="AL197">
            <v>0</v>
          </cell>
          <cell r="AM197">
            <v>2</v>
          </cell>
          <cell r="AN197" t="str">
            <v/>
          </cell>
          <cell r="AO197">
            <v>0</v>
          </cell>
          <cell r="AP197">
            <v>0</v>
          </cell>
          <cell r="AQ197">
            <v>0</v>
          </cell>
          <cell r="AR197">
            <v>600</v>
          </cell>
          <cell r="AS197">
            <v>0</v>
          </cell>
          <cell r="AT197" t="str">
            <v/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20417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 t="str">
            <v/>
          </cell>
          <cell r="BK197">
            <v>4000</v>
          </cell>
          <cell r="BL197" t="str">
            <v>0</v>
          </cell>
          <cell r="BM197" t="str">
            <v>1</v>
          </cell>
          <cell r="BN197" t="str">
            <v/>
          </cell>
          <cell r="BO197" t="str">
            <v/>
          </cell>
        </row>
        <row r="198">
          <cell r="A198">
            <v>1</v>
          </cell>
          <cell r="B198">
            <v>4114182</v>
          </cell>
          <cell r="C198" t="str">
            <v>CASCADES PRIME #1 8</v>
          </cell>
          <cell r="D198" t="str">
            <v>pn101418</v>
          </cell>
          <cell r="E198" t="str">
            <v>O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2</v>
          </cell>
          <cell r="AN198" t="str">
            <v/>
          </cell>
          <cell r="AO198">
            <v>0</v>
          </cell>
          <cell r="AP198">
            <v>0</v>
          </cell>
          <cell r="AQ198">
            <v>0</v>
          </cell>
          <cell r="AR198">
            <v>600</v>
          </cell>
          <cell r="AS198">
            <v>0</v>
          </cell>
          <cell r="AT198" t="str">
            <v/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 t="str">
            <v/>
          </cell>
          <cell r="BK198">
            <v>4000</v>
          </cell>
          <cell r="BL198" t="str">
            <v/>
          </cell>
          <cell r="BM198" t="str">
            <v>1</v>
          </cell>
          <cell r="BN198" t="str">
            <v/>
          </cell>
          <cell r="BO198" t="str">
            <v/>
          </cell>
        </row>
        <row r="199">
          <cell r="A199">
            <v>1</v>
          </cell>
          <cell r="B199">
            <v>4114202</v>
          </cell>
          <cell r="C199" t="str">
            <v>NORTH RIVER 8</v>
          </cell>
          <cell r="D199" t="str">
            <v>pn101420</v>
          </cell>
          <cell r="E199" t="str">
            <v>O</v>
          </cell>
          <cell r="F199">
            <v>0</v>
          </cell>
          <cell r="G199">
            <v>0</v>
          </cell>
          <cell r="H199">
            <v>1135437.42</v>
          </cell>
          <cell r="I199">
            <v>12916.53</v>
          </cell>
          <cell r="J199">
            <v>1148353.95</v>
          </cell>
          <cell r="K199">
            <v>0</v>
          </cell>
          <cell r="L199">
            <v>0</v>
          </cell>
          <cell r="M199">
            <v>86930.59</v>
          </cell>
          <cell r="N199">
            <v>99317.48</v>
          </cell>
          <cell r="O199">
            <v>173068.9</v>
          </cell>
          <cell r="P199">
            <v>241075.43</v>
          </cell>
          <cell r="Q199">
            <v>329938.51</v>
          </cell>
          <cell r="R199">
            <v>417495.16</v>
          </cell>
          <cell r="S199">
            <v>519384.64</v>
          </cell>
          <cell r="T199">
            <v>675254.35</v>
          </cell>
          <cell r="U199">
            <v>779329.87</v>
          </cell>
          <cell r="V199">
            <v>892610.73</v>
          </cell>
          <cell r="W199">
            <v>1004482.86</v>
          </cell>
          <cell r="X199">
            <v>1135437.42</v>
          </cell>
          <cell r="Y199">
            <v>1222368.01</v>
          </cell>
          <cell r="Z199">
            <v>64424.6</v>
          </cell>
          <cell r="AA199">
            <v>140634.23000000001</v>
          </cell>
          <cell r="AB199">
            <v>238943.79</v>
          </cell>
          <cell r="AC199">
            <v>313475.21000000002</v>
          </cell>
          <cell r="AD199">
            <v>383963.13</v>
          </cell>
          <cell r="AE199">
            <v>494053.67</v>
          </cell>
          <cell r="AF199">
            <v>581152.82999999996</v>
          </cell>
          <cell r="AG199">
            <v>660488.56000000006</v>
          </cell>
          <cell r="AH199">
            <v>763301.32</v>
          </cell>
          <cell r="AI199">
            <v>870879.67</v>
          </cell>
          <cell r="AJ199">
            <v>951289.12</v>
          </cell>
          <cell r="AK199">
            <v>1033309.64</v>
          </cell>
          <cell r="AL199">
            <v>0</v>
          </cell>
          <cell r="AM199">
            <v>2</v>
          </cell>
          <cell r="AN199" t="str">
            <v/>
          </cell>
          <cell r="AO199">
            <v>0</v>
          </cell>
          <cell r="AP199">
            <v>0</v>
          </cell>
          <cell r="AQ199">
            <v>0</v>
          </cell>
          <cell r="AR199">
            <v>600</v>
          </cell>
          <cell r="AS199">
            <v>0</v>
          </cell>
          <cell r="AT199" t="str">
            <v/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20420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 t="str">
            <v/>
          </cell>
          <cell r="BK199">
            <v>4000</v>
          </cell>
          <cell r="BL199" t="str">
            <v>0</v>
          </cell>
          <cell r="BM199" t="str">
            <v>1</v>
          </cell>
          <cell r="BN199" t="str">
            <v/>
          </cell>
          <cell r="BO199" t="str">
            <v/>
          </cell>
        </row>
        <row r="200">
          <cell r="A200">
            <v>1</v>
          </cell>
          <cell r="B200">
            <v>4114222</v>
          </cell>
          <cell r="C200" t="str">
            <v>NORTH RIVER 8</v>
          </cell>
          <cell r="D200" t="str">
            <v>pn101422</v>
          </cell>
          <cell r="E200" t="str">
            <v>O</v>
          </cell>
          <cell r="F200">
            <v>0</v>
          </cell>
          <cell r="G200">
            <v>0</v>
          </cell>
          <cell r="H200">
            <v>95990.55</v>
          </cell>
          <cell r="I200">
            <v>1844.7</v>
          </cell>
          <cell r="J200">
            <v>97835.25</v>
          </cell>
          <cell r="K200">
            <v>0</v>
          </cell>
          <cell r="L200">
            <v>0</v>
          </cell>
          <cell r="M200">
            <v>8874.6299999999992</v>
          </cell>
          <cell r="N200">
            <v>15831.24</v>
          </cell>
          <cell r="O200">
            <v>17325.689999999999</v>
          </cell>
          <cell r="P200">
            <v>22979.98</v>
          </cell>
          <cell r="Q200">
            <v>30321.87</v>
          </cell>
          <cell r="R200">
            <v>35613.25</v>
          </cell>
          <cell r="S200">
            <v>54630.83</v>
          </cell>
          <cell r="T200">
            <v>60316.43</v>
          </cell>
          <cell r="U200">
            <v>69979.759999999995</v>
          </cell>
          <cell r="V200">
            <v>84128.66</v>
          </cell>
          <cell r="W200">
            <v>87942.29</v>
          </cell>
          <cell r="X200">
            <v>95990.55</v>
          </cell>
          <cell r="Y200">
            <v>104865.18</v>
          </cell>
          <cell r="Z200">
            <v>9148.5499999999993</v>
          </cell>
          <cell r="AA200">
            <v>22196.76</v>
          </cell>
          <cell r="AB200">
            <v>34359.24</v>
          </cell>
          <cell r="AC200">
            <v>47046.77</v>
          </cell>
          <cell r="AD200">
            <v>48907.34</v>
          </cell>
          <cell r="AE200">
            <v>54776.61</v>
          </cell>
          <cell r="AF200">
            <v>68175.55</v>
          </cell>
          <cell r="AG200">
            <v>80049.55</v>
          </cell>
          <cell r="AH200">
            <v>96690.3</v>
          </cell>
          <cell r="AI200">
            <v>115256.14</v>
          </cell>
          <cell r="AJ200">
            <v>124144.72</v>
          </cell>
          <cell r="AK200">
            <v>135897.74</v>
          </cell>
          <cell r="AL200">
            <v>0</v>
          </cell>
          <cell r="AM200">
            <v>2</v>
          </cell>
          <cell r="AN200" t="str">
            <v/>
          </cell>
          <cell r="AO200">
            <v>0</v>
          </cell>
          <cell r="AP200">
            <v>0</v>
          </cell>
          <cell r="AQ200">
            <v>0</v>
          </cell>
          <cell r="AR200">
            <v>600</v>
          </cell>
          <cell r="AS200">
            <v>0</v>
          </cell>
          <cell r="AT200" t="str">
            <v/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20422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 t="str">
            <v/>
          </cell>
          <cell r="BK200">
            <v>4000</v>
          </cell>
          <cell r="BL200" t="str">
            <v>0</v>
          </cell>
          <cell r="BM200" t="str">
            <v>1</v>
          </cell>
          <cell r="BN200" t="str">
            <v/>
          </cell>
          <cell r="BO200" t="str">
            <v/>
          </cell>
        </row>
        <row r="201">
          <cell r="A201">
            <v>1</v>
          </cell>
          <cell r="B201">
            <v>4114232</v>
          </cell>
          <cell r="C201" t="str">
            <v>HORIZON 10</v>
          </cell>
          <cell r="D201" t="str">
            <v>pn101423</v>
          </cell>
          <cell r="E201" t="str">
            <v>O</v>
          </cell>
          <cell r="F201">
            <v>0</v>
          </cell>
          <cell r="G201">
            <v>0</v>
          </cell>
          <cell r="H201">
            <v>13560.71</v>
          </cell>
          <cell r="I201">
            <v>1455.73</v>
          </cell>
          <cell r="J201">
            <v>15016.44</v>
          </cell>
          <cell r="K201">
            <v>0</v>
          </cell>
          <cell r="L201">
            <v>507.89</v>
          </cell>
          <cell r="M201">
            <v>0</v>
          </cell>
          <cell r="N201">
            <v>2702.68</v>
          </cell>
          <cell r="O201">
            <v>4329.72</v>
          </cell>
          <cell r="P201">
            <v>11080.72</v>
          </cell>
          <cell r="Q201">
            <v>13088.28</v>
          </cell>
          <cell r="R201">
            <v>14189.25</v>
          </cell>
          <cell r="S201">
            <v>14778.45</v>
          </cell>
          <cell r="T201">
            <v>14671.65</v>
          </cell>
          <cell r="U201">
            <v>14634.27</v>
          </cell>
          <cell r="V201">
            <v>14624.07</v>
          </cell>
          <cell r="W201">
            <v>13780.02</v>
          </cell>
          <cell r="X201">
            <v>13560.71</v>
          </cell>
          <cell r="Y201">
            <v>13052.82</v>
          </cell>
          <cell r="Z201">
            <v>1575.09</v>
          </cell>
          <cell r="AA201">
            <v>4468.1400000000003</v>
          </cell>
          <cell r="AB201">
            <v>6799.75</v>
          </cell>
          <cell r="AC201">
            <v>10953.05</v>
          </cell>
          <cell r="AD201">
            <v>15087.96</v>
          </cell>
          <cell r="AE201">
            <v>21313.43</v>
          </cell>
          <cell r="AF201">
            <v>28455.9</v>
          </cell>
          <cell r="AG201">
            <v>33241.51</v>
          </cell>
          <cell r="AH201">
            <v>34384.04</v>
          </cell>
          <cell r="AI201">
            <v>37431.440000000002</v>
          </cell>
          <cell r="AJ201">
            <v>42750.35</v>
          </cell>
          <cell r="AK201">
            <v>46715.24</v>
          </cell>
          <cell r="AL201">
            <v>0</v>
          </cell>
          <cell r="AM201">
            <v>2</v>
          </cell>
          <cell r="AN201" t="str">
            <v/>
          </cell>
          <cell r="AO201">
            <v>0</v>
          </cell>
          <cell r="AP201">
            <v>0</v>
          </cell>
          <cell r="AQ201">
            <v>0</v>
          </cell>
          <cell r="AR201">
            <v>600</v>
          </cell>
          <cell r="AS201">
            <v>0</v>
          </cell>
          <cell r="AT201" t="str">
            <v/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20423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 t="str">
            <v/>
          </cell>
          <cell r="BK201">
            <v>4000</v>
          </cell>
          <cell r="BL201" t="str">
            <v>0</v>
          </cell>
          <cell r="BM201" t="str">
            <v>1</v>
          </cell>
          <cell r="BN201" t="str">
            <v/>
          </cell>
          <cell r="BO201" t="str">
            <v/>
          </cell>
        </row>
        <row r="202">
          <cell r="A202">
            <v>1</v>
          </cell>
          <cell r="B202">
            <v>4114252</v>
          </cell>
          <cell r="C202" t="str">
            <v>NORTH RIVER 10</v>
          </cell>
          <cell r="D202" t="str">
            <v>pn101425</v>
          </cell>
          <cell r="E202" t="str">
            <v>O</v>
          </cell>
          <cell r="F202">
            <v>0</v>
          </cell>
          <cell r="G202">
            <v>0</v>
          </cell>
          <cell r="H202">
            <v>245483.66</v>
          </cell>
          <cell r="I202">
            <v>1750.55</v>
          </cell>
          <cell r="J202">
            <v>247234.21</v>
          </cell>
          <cell r="K202">
            <v>0</v>
          </cell>
          <cell r="L202">
            <v>0</v>
          </cell>
          <cell r="M202">
            <v>10657.96</v>
          </cell>
          <cell r="N202">
            <v>22417.94</v>
          </cell>
          <cell r="O202">
            <v>36003.699999999997</v>
          </cell>
          <cell r="P202">
            <v>53082.25</v>
          </cell>
          <cell r="Q202">
            <v>74571.73</v>
          </cell>
          <cell r="R202">
            <v>105445.28</v>
          </cell>
          <cell r="S202">
            <v>131384.69</v>
          </cell>
          <cell r="T202">
            <v>158806.54999999999</v>
          </cell>
          <cell r="U202">
            <v>184162.03</v>
          </cell>
          <cell r="V202">
            <v>214372.34</v>
          </cell>
          <cell r="W202">
            <v>229964.64</v>
          </cell>
          <cell r="X202">
            <v>245483.66</v>
          </cell>
          <cell r="Y202">
            <v>256141.62</v>
          </cell>
          <cell r="Z202">
            <v>14746.25</v>
          </cell>
          <cell r="AA202">
            <v>36778.57</v>
          </cell>
          <cell r="AB202">
            <v>53634.83</v>
          </cell>
          <cell r="AC202">
            <v>74665.77</v>
          </cell>
          <cell r="AD202">
            <v>88743.88</v>
          </cell>
          <cell r="AE202">
            <v>107974.97</v>
          </cell>
          <cell r="AF202">
            <v>140178.62</v>
          </cell>
          <cell r="AG202">
            <v>153763.99</v>
          </cell>
          <cell r="AH202">
            <v>171544.69</v>
          </cell>
          <cell r="AI202">
            <v>197069.55</v>
          </cell>
          <cell r="AJ202">
            <v>221655.16</v>
          </cell>
          <cell r="AK202">
            <v>237016.31</v>
          </cell>
          <cell r="AL202">
            <v>0</v>
          </cell>
          <cell r="AM202">
            <v>2</v>
          </cell>
          <cell r="AN202" t="str">
            <v/>
          </cell>
          <cell r="AO202">
            <v>0</v>
          </cell>
          <cell r="AP202">
            <v>0</v>
          </cell>
          <cell r="AQ202">
            <v>0</v>
          </cell>
          <cell r="AR202">
            <v>600</v>
          </cell>
          <cell r="AS202">
            <v>0</v>
          </cell>
          <cell r="AT202" t="str">
            <v/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20425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 t="str">
            <v/>
          </cell>
          <cell r="BK202">
            <v>4000</v>
          </cell>
          <cell r="BL202" t="str">
            <v>0</v>
          </cell>
          <cell r="BM202" t="str">
            <v>1</v>
          </cell>
          <cell r="BN202" t="str">
            <v/>
          </cell>
          <cell r="BO202" t="str">
            <v/>
          </cell>
        </row>
        <row r="203">
          <cell r="A203">
            <v>1</v>
          </cell>
          <cell r="B203">
            <v>4115492</v>
          </cell>
          <cell r="C203" t="str">
            <v>B27 PROTEC 2</v>
          </cell>
          <cell r="D203" t="str">
            <v>pn101549</v>
          </cell>
          <cell r="E203" t="str">
            <v>O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2</v>
          </cell>
          <cell r="AN203" t="str">
            <v/>
          </cell>
          <cell r="AO203">
            <v>0</v>
          </cell>
          <cell r="AP203">
            <v>0</v>
          </cell>
          <cell r="AQ203">
            <v>0</v>
          </cell>
          <cell r="AR203">
            <v>600</v>
          </cell>
          <cell r="AS203">
            <v>0</v>
          </cell>
          <cell r="AT203" t="str">
            <v/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 t="str">
            <v/>
          </cell>
          <cell r="BK203">
            <v>4000</v>
          </cell>
          <cell r="BL203" t="str">
            <v>0</v>
          </cell>
          <cell r="BM203" t="str">
            <v>1</v>
          </cell>
          <cell r="BN203" t="str">
            <v/>
          </cell>
          <cell r="BO203" t="str">
            <v/>
          </cell>
        </row>
        <row r="204">
          <cell r="A204">
            <v>1</v>
          </cell>
          <cell r="B204">
            <v>4115502</v>
          </cell>
          <cell r="C204" t="str">
            <v>DECOR NATUREL P/S 4M</v>
          </cell>
          <cell r="D204" t="str">
            <v>pn101750</v>
          </cell>
          <cell r="E204" t="str">
            <v>O</v>
          </cell>
          <cell r="F204">
            <v>0</v>
          </cell>
          <cell r="G204">
            <v>0</v>
          </cell>
          <cell r="H204">
            <v>6959268.5099999998</v>
          </cell>
          <cell r="I204">
            <v>110004.61</v>
          </cell>
          <cell r="J204">
            <v>7069273.1200000001</v>
          </cell>
          <cell r="K204">
            <v>0</v>
          </cell>
          <cell r="L204">
            <v>0</v>
          </cell>
          <cell r="M204">
            <v>730506.49</v>
          </cell>
          <cell r="N204">
            <v>579545.68999999994</v>
          </cell>
          <cell r="O204">
            <v>1032149.74</v>
          </cell>
          <cell r="P204">
            <v>1560987.03</v>
          </cell>
          <cell r="Q204">
            <v>2187132.9900000002</v>
          </cell>
          <cell r="R204">
            <v>2916779.07</v>
          </cell>
          <cell r="S204">
            <v>3617231.05</v>
          </cell>
          <cell r="T204">
            <v>4215436.22</v>
          </cell>
          <cell r="U204">
            <v>4973402.7300000004</v>
          </cell>
          <cell r="V204">
            <v>5625305.9199999999</v>
          </cell>
          <cell r="W204">
            <v>6188882.7000000002</v>
          </cell>
          <cell r="X204">
            <v>6959268.5099999998</v>
          </cell>
          <cell r="Y204">
            <v>7689775</v>
          </cell>
          <cell r="Z204">
            <v>518746.1</v>
          </cell>
          <cell r="AA204">
            <v>1080544.1499999999</v>
          </cell>
          <cell r="AB204">
            <v>1751660.57</v>
          </cell>
          <cell r="AC204">
            <v>2255279.8199999998</v>
          </cell>
          <cell r="AD204">
            <v>2832037.37</v>
          </cell>
          <cell r="AE204">
            <v>3486911.97</v>
          </cell>
          <cell r="AF204">
            <v>4325102.4800000004</v>
          </cell>
          <cell r="AG204">
            <v>4897732.08</v>
          </cell>
          <cell r="AH204">
            <v>5575682</v>
          </cell>
          <cell r="AI204">
            <v>6101679.5700000003</v>
          </cell>
          <cell r="AJ204">
            <v>6714594.1799999997</v>
          </cell>
          <cell r="AK204">
            <v>7316735.46</v>
          </cell>
          <cell r="AL204">
            <v>0</v>
          </cell>
          <cell r="AM204">
            <v>2</v>
          </cell>
          <cell r="AN204" t="str">
            <v/>
          </cell>
          <cell r="AO204">
            <v>0</v>
          </cell>
          <cell r="AP204">
            <v>0</v>
          </cell>
          <cell r="AQ204">
            <v>0</v>
          </cell>
          <cell r="AR204">
            <v>600</v>
          </cell>
          <cell r="AS204">
            <v>0</v>
          </cell>
          <cell r="AT204" t="str">
            <v/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20750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 t="str">
            <v/>
          </cell>
          <cell r="BK204">
            <v>4000</v>
          </cell>
          <cell r="BL204" t="str">
            <v>0</v>
          </cell>
          <cell r="BM204" t="str">
            <v>1</v>
          </cell>
          <cell r="BN204" t="str">
            <v/>
          </cell>
          <cell r="BO204" t="str">
            <v/>
          </cell>
        </row>
        <row r="205">
          <cell r="A205">
            <v>1</v>
          </cell>
          <cell r="B205">
            <v>4115512</v>
          </cell>
          <cell r="C205" t="str">
            <v>DECORP/M NATUREL 4M</v>
          </cell>
          <cell r="D205" t="str">
            <v>pn101751</v>
          </cell>
          <cell r="E205" t="str">
            <v>O</v>
          </cell>
          <cell r="F205">
            <v>0</v>
          </cell>
          <cell r="G205">
            <v>0</v>
          </cell>
          <cell r="H205">
            <v>5846336.25</v>
          </cell>
          <cell r="I205">
            <v>67719.5</v>
          </cell>
          <cell r="J205">
            <v>5914055.75</v>
          </cell>
          <cell r="K205">
            <v>0</v>
          </cell>
          <cell r="L205">
            <v>0</v>
          </cell>
          <cell r="M205">
            <v>443999.39</v>
          </cell>
          <cell r="N205">
            <v>483053.54</v>
          </cell>
          <cell r="O205">
            <v>835522.7</v>
          </cell>
          <cell r="P205">
            <v>1290090.8700000001</v>
          </cell>
          <cell r="Q205">
            <v>1732180.01</v>
          </cell>
          <cell r="R205">
            <v>2253314.06</v>
          </cell>
          <cell r="S205">
            <v>2817609.74</v>
          </cell>
          <cell r="T205">
            <v>3417691.78</v>
          </cell>
          <cell r="U205">
            <v>4125073.52</v>
          </cell>
          <cell r="V205">
            <v>4781422.13</v>
          </cell>
          <cell r="W205">
            <v>5279134.25</v>
          </cell>
          <cell r="X205">
            <v>5846336.25</v>
          </cell>
          <cell r="Y205">
            <v>6290335.6399999997</v>
          </cell>
          <cell r="Z205">
            <v>410107.42</v>
          </cell>
          <cell r="AA205">
            <v>997069.95</v>
          </cell>
          <cell r="AB205">
            <v>1445601.21</v>
          </cell>
          <cell r="AC205">
            <v>1868379.46</v>
          </cell>
          <cell r="AD205">
            <v>2328873.64</v>
          </cell>
          <cell r="AE205">
            <v>2933484.17</v>
          </cell>
          <cell r="AF205">
            <v>3586331.92</v>
          </cell>
          <cell r="AG205">
            <v>4253984.04</v>
          </cell>
          <cell r="AH205">
            <v>4825076.16</v>
          </cell>
          <cell r="AI205">
            <v>5376940.1900000004</v>
          </cell>
          <cell r="AJ205">
            <v>5853426.0300000003</v>
          </cell>
          <cell r="AK205">
            <v>6335180.0599999996</v>
          </cell>
          <cell r="AL205">
            <v>0</v>
          </cell>
          <cell r="AM205">
            <v>2</v>
          </cell>
          <cell r="AN205" t="str">
            <v/>
          </cell>
          <cell r="AO205">
            <v>0</v>
          </cell>
          <cell r="AP205">
            <v>0</v>
          </cell>
          <cell r="AQ205">
            <v>0</v>
          </cell>
          <cell r="AR205">
            <v>600</v>
          </cell>
          <cell r="AS205">
            <v>0</v>
          </cell>
          <cell r="AT205" t="str">
            <v/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20751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 t="str">
            <v/>
          </cell>
          <cell r="BK205">
            <v>4000</v>
          </cell>
          <cell r="BL205" t="str">
            <v>0</v>
          </cell>
          <cell r="BM205" t="str">
            <v>1</v>
          </cell>
          <cell r="BN205" t="str">
            <v/>
          </cell>
          <cell r="BO205" t="str">
            <v/>
          </cell>
        </row>
        <row r="206">
          <cell r="A206">
            <v>1</v>
          </cell>
          <cell r="B206">
            <v>4115522</v>
          </cell>
          <cell r="C206" t="str">
            <v>DECOR P/S NATUREL</v>
          </cell>
          <cell r="D206" t="str">
            <v>pn101752</v>
          </cell>
          <cell r="E206" t="str">
            <v>O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2</v>
          </cell>
          <cell r="AN206" t="str">
            <v/>
          </cell>
          <cell r="AO206">
            <v>0</v>
          </cell>
          <cell r="AP206">
            <v>0</v>
          </cell>
          <cell r="AQ206">
            <v>0</v>
          </cell>
          <cell r="AR206">
            <v>600</v>
          </cell>
          <cell r="AS206">
            <v>0</v>
          </cell>
          <cell r="AT206" t="str">
            <v/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 t="str">
            <v/>
          </cell>
          <cell r="BK206">
            <v>4000</v>
          </cell>
          <cell r="BL206" t="str">
            <v>0</v>
          </cell>
          <cell r="BM206" t="str">
            <v>1</v>
          </cell>
          <cell r="BN206" t="str">
            <v/>
          </cell>
          <cell r="BO206" t="str">
            <v/>
          </cell>
        </row>
        <row r="207">
          <cell r="A207">
            <v>1</v>
          </cell>
          <cell r="B207">
            <v>4115532</v>
          </cell>
          <cell r="C207" t="str">
            <v>DECOR P/M NATUREL</v>
          </cell>
          <cell r="D207" t="str">
            <v>pn101753</v>
          </cell>
          <cell r="E207" t="str">
            <v>O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2</v>
          </cell>
          <cell r="AN207" t="str">
            <v/>
          </cell>
          <cell r="AO207">
            <v>0</v>
          </cell>
          <cell r="AP207">
            <v>0</v>
          </cell>
          <cell r="AQ207">
            <v>0</v>
          </cell>
          <cell r="AR207">
            <v>600</v>
          </cell>
          <cell r="AS207">
            <v>0</v>
          </cell>
          <cell r="AT207" t="str">
            <v/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 t="str">
            <v/>
          </cell>
          <cell r="BK207">
            <v>4000</v>
          </cell>
          <cell r="BL207" t="str">
            <v>0</v>
          </cell>
          <cell r="BM207" t="str">
            <v>1</v>
          </cell>
          <cell r="BN207" t="str">
            <v/>
          </cell>
          <cell r="BO207" t="str">
            <v/>
          </cell>
        </row>
        <row r="208">
          <cell r="A208">
            <v>1</v>
          </cell>
          <cell r="B208">
            <v>4115542</v>
          </cell>
          <cell r="C208" t="str">
            <v>DECOR PLI EN</v>
          </cell>
          <cell r="D208" t="str">
            <v>pn101754</v>
          </cell>
          <cell r="E208" t="str">
            <v>O</v>
          </cell>
          <cell r="F208">
            <v>0</v>
          </cell>
          <cell r="G208">
            <v>0</v>
          </cell>
          <cell r="H208">
            <v>289992.76</v>
          </cell>
          <cell r="I208">
            <v>21432.52</v>
          </cell>
          <cell r="J208">
            <v>311425.28000000003</v>
          </cell>
          <cell r="K208">
            <v>0</v>
          </cell>
          <cell r="L208">
            <v>0</v>
          </cell>
          <cell r="M208">
            <v>20082.64</v>
          </cell>
          <cell r="N208">
            <v>13006.73</v>
          </cell>
          <cell r="O208">
            <v>44246.46</v>
          </cell>
          <cell r="P208">
            <v>65903.509999999995</v>
          </cell>
          <cell r="Q208">
            <v>79307.199999999997</v>
          </cell>
          <cell r="R208">
            <v>114380.89</v>
          </cell>
          <cell r="S208">
            <v>140112.41</v>
          </cell>
          <cell r="T208">
            <v>172044.48</v>
          </cell>
          <cell r="U208">
            <v>214482.56</v>
          </cell>
          <cell r="V208">
            <v>247703.01</v>
          </cell>
          <cell r="W208">
            <v>262064.21</v>
          </cell>
          <cell r="X208">
            <v>289992.76</v>
          </cell>
          <cell r="Y208">
            <v>310075.40000000002</v>
          </cell>
          <cell r="Z208">
            <v>6604.91</v>
          </cell>
          <cell r="AA208">
            <v>38221.51</v>
          </cell>
          <cell r="AB208">
            <v>69112.679999999993</v>
          </cell>
          <cell r="AC208">
            <v>84589.16</v>
          </cell>
          <cell r="AD208">
            <v>120743.25</v>
          </cell>
          <cell r="AE208">
            <v>141078.12</v>
          </cell>
          <cell r="AF208">
            <v>164982.25</v>
          </cell>
          <cell r="AG208">
            <v>195627.07</v>
          </cell>
          <cell r="AH208">
            <v>260360.61</v>
          </cell>
          <cell r="AI208">
            <v>304631.37</v>
          </cell>
          <cell r="AJ208">
            <v>338169.96</v>
          </cell>
          <cell r="AK208">
            <v>361593.74</v>
          </cell>
          <cell r="AL208">
            <v>0</v>
          </cell>
          <cell r="AM208">
            <v>2</v>
          </cell>
          <cell r="AN208" t="str">
            <v/>
          </cell>
          <cell r="AO208">
            <v>0</v>
          </cell>
          <cell r="AP208">
            <v>0</v>
          </cell>
          <cell r="AQ208">
            <v>0</v>
          </cell>
          <cell r="AR208">
            <v>600</v>
          </cell>
          <cell r="AS208">
            <v>0</v>
          </cell>
          <cell r="AT208" t="str">
            <v/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20754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 t="str">
            <v/>
          </cell>
          <cell r="BK208">
            <v>4000</v>
          </cell>
          <cell r="BL208" t="str">
            <v>0</v>
          </cell>
          <cell r="BM208" t="str">
            <v>1</v>
          </cell>
          <cell r="BN208" t="str">
            <v/>
          </cell>
          <cell r="BO208" t="str">
            <v/>
          </cell>
        </row>
        <row r="209">
          <cell r="A209">
            <v>1</v>
          </cell>
          <cell r="B209">
            <v>4115562</v>
          </cell>
          <cell r="C209" t="str">
            <v>DECOR 8</v>
          </cell>
          <cell r="D209" t="str">
            <v>pn101756</v>
          </cell>
          <cell r="E209" t="str">
            <v>O</v>
          </cell>
          <cell r="F209">
            <v>0</v>
          </cell>
          <cell r="G209">
            <v>0</v>
          </cell>
          <cell r="H209">
            <v>5555739.3600000003</v>
          </cell>
          <cell r="I209">
            <v>36532.89</v>
          </cell>
          <cell r="J209">
            <v>5592272.25</v>
          </cell>
          <cell r="K209">
            <v>0</v>
          </cell>
          <cell r="L209">
            <v>0</v>
          </cell>
          <cell r="M209">
            <v>572795.56000000006</v>
          </cell>
          <cell r="N209">
            <v>382332.15</v>
          </cell>
          <cell r="O209">
            <v>731757.49</v>
          </cell>
          <cell r="P209">
            <v>1132151.3</v>
          </cell>
          <cell r="Q209">
            <v>1598908.56</v>
          </cell>
          <cell r="R209">
            <v>2147478.29</v>
          </cell>
          <cell r="S209">
            <v>2620770.04</v>
          </cell>
          <cell r="T209">
            <v>3167369.8</v>
          </cell>
          <cell r="U209">
            <v>3736866.99</v>
          </cell>
          <cell r="V209">
            <v>4256631.07</v>
          </cell>
          <cell r="W209">
            <v>4832591.3</v>
          </cell>
          <cell r="X209">
            <v>5555739.3600000003</v>
          </cell>
          <cell r="Y209">
            <v>6128534.9199999999</v>
          </cell>
          <cell r="Z209">
            <v>361622.45</v>
          </cell>
          <cell r="AA209">
            <v>708524.14</v>
          </cell>
          <cell r="AB209">
            <v>1168950.25</v>
          </cell>
          <cell r="AC209">
            <v>1620704.41</v>
          </cell>
          <cell r="AD209">
            <v>2050255.71</v>
          </cell>
          <cell r="AE209">
            <v>2618809.5</v>
          </cell>
          <cell r="AF209">
            <v>3117318.43</v>
          </cell>
          <cell r="AG209">
            <v>3585014.4</v>
          </cell>
          <cell r="AH209">
            <v>4094285.47</v>
          </cell>
          <cell r="AI209">
            <v>4557197.1100000003</v>
          </cell>
          <cell r="AJ209">
            <v>4919363.59</v>
          </cell>
          <cell r="AK209">
            <v>5453531.0800000001</v>
          </cell>
          <cell r="AL209">
            <v>0</v>
          </cell>
          <cell r="AM209">
            <v>2</v>
          </cell>
          <cell r="AN209" t="str">
            <v/>
          </cell>
          <cell r="AO209">
            <v>0</v>
          </cell>
          <cell r="AP209">
            <v>0</v>
          </cell>
          <cell r="AQ209">
            <v>0</v>
          </cell>
          <cell r="AR209">
            <v>600</v>
          </cell>
          <cell r="AS209">
            <v>0</v>
          </cell>
          <cell r="AT209" t="str">
            <v/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20756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 t="str">
            <v/>
          </cell>
          <cell r="BK209">
            <v>4000</v>
          </cell>
          <cell r="BL209" t="str">
            <v>0</v>
          </cell>
          <cell r="BM209" t="str">
            <v>1</v>
          </cell>
          <cell r="BN209" t="str">
            <v/>
          </cell>
          <cell r="BO209" t="str">
            <v/>
          </cell>
        </row>
        <row r="210">
          <cell r="A210">
            <v>1</v>
          </cell>
          <cell r="B210">
            <v>4115572</v>
          </cell>
          <cell r="C210" t="str">
            <v>ECONO 8</v>
          </cell>
          <cell r="D210" t="str">
            <v>pn101757</v>
          </cell>
          <cell r="E210" t="str">
            <v>O</v>
          </cell>
          <cell r="F210">
            <v>0</v>
          </cell>
          <cell r="G210">
            <v>0</v>
          </cell>
          <cell r="H210">
            <v>1214500.3799999999</v>
          </cell>
          <cell r="I210">
            <v>8864.35</v>
          </cell>
          <cell r="J210">
            <v>1223364.73</v>
          </cell>
          <cell r="K210">
            <v>0</v>
          </cell>
          <cell r="L210">
            <v>0</v>
          </cell>
          <cell r="M210">
            <v>109088.45</v>
          </cell>
          <cell r="N210">
            <v>80997.33</v>
          </cell>
          <cell r="O210">
            <v>132771.23000000001</v>
          </cell>
          <cell r="P210">
            <v>204865.8</v>
          </cell>
          <cell r="Q210">
            <v>313548.96000000002</v>
          </cell>
          <cell r="R210">
            <v>403059.95</v>
          </cell>
          <cell r="S210">
            <v>534670.43000000005</v>
          </cell>
          <cell r="T210">
            <v>693631.47</v>
          </cell>
          <cell r="U210">
            <v>840388.67</v>
          </cell>
          <cell r="V210">
            <v>955805.75</v>
          </cell>
          <cell r="W210">
            <v>1108353.3700000001</v>
          </cell>
          <cell r="X210">
            <v>1214500.3799999999</v>
          </cell>
          <cell r="Y210">
            <v>1323588.83</v>
          </cell>
          <cell r="Z210">
            <v>87162.28</v>
          </cell>
          <cell r="AA210">
            <v>161842.46</v>
          </cell>
          <cell r="AB210">
            <v>289166.25</v>
          </cell>
          <cell r="AC210">
            <v>341543.11</v>
          </cell>
          <cell r="AD210">
            <v>412012.15</v>
          </cell>
          <cell r="AE210">
            <v>521388.87</v>
          </cell>
          <cell r="AF210">
            <v>650271.02</v>
          </cell>
          <cell r="AG210">
            <v>758225.17</v>
          </cell>
          <cell r="AH210">
            <v>873000.53</v>
          </cell>
          <cell r="AI210">
            <v>951752.7</v>
          </cell>
          <cell r="AJ210">
            <v>1058807.1200000001</v>
          </cell>
          <cell r="AK210">
            <v>1122567.52</v>
          </cell>
          <cell r="AL210">
            <v>0</v>
          </cell>
          <cell r="AM210">
            <v>2</v>
          </cell>
          <cell r="AN210" t="str">
            <v/>
          </cell>
          <cell r="AO210">
            <v>0</v>
          </cell>
          <cell r="AP210">
            <v>0</v>
          </cell>
          <cell r="AQ210">
            <v>0</v>
          </cell>
          <cell r="AR210">
            <v>600</v>
          </cell>
          <cell r="AS210">
            <v>0</v>
          </cell>
          <cell r="AT210" t="str">
            <v/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20757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 t="str">
            <v/>
          </cell>
          <cell r="BK210">
            <v>4000</v>
          </cell>
          <cell r="BL210" t="str">
            <v>0</v>
          </cell>
          <cell r="BM210" t="str">
            <v>1</v>
          </cell>
          <cell r="BN210" t="str">
            <v/>
          </cell>
          <cell r="BO210" t="str">
            <v/>
          </cell>
        </row>
        <row r="211">
          <cell r="A211">
            <v>1</v>
          </cell>
          <cell r="B211">
            <v>4115582</v>
          </cell>
          <cell r="C211" t="str">
            <v>WILDRY PRE-BAIN DETRAYONS</v>
          </cell>
          <cell r="D211" t="str">
            <v>pn101558</v>
          </cell>
          <cell r="E211" t="str">
            <v>O</v>
          </cell>
          <cell r="F211">
            <v>0</v>
          </cell>
          <cell r="G211">
            <v>0</v>
          </cell>
          <cell r="H211">
            <v>-137.5</v>
          </cell>
          <cell r="I211">
            <v>137.5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-137.5</v>
          </cell>
          <cell r="S211">
            <v>-137.5</v>
          </cell>
          <cell r="T211">
            <v>-137.5</v>
          </cell>
          <cell r="U211">
            <v>-137.5</v>
          </cell>
          <cell r="V211">
            <v>-137.5</v>
          </cell>
          <cell r="W211">
            <v>-137.5</v>
          </cell>
          <cell r="X211">
            <v>-137.5</v>
          </cell>
          <cell r="Y211">
            <v>-137.5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-16.989999999999998</v>
          </cell>
          <cell r="AJ211">
            <v>-16.989999999999998</v>
          </cell>
          <cell r="AK211">
            <v>-16.989999999999998</v>
          </cell>
          <cell r="AL211">
            <v>0</v>
          </cell>
          <cell r="AM211">
            <v>2</v>
          </cell>
          <cell r="AN211" t="str">
            <v/>
          </cell>
          <cell r="AO211">
            <v>0</v>
          </cell>
          <cell r="AP211">
            <v>0</v>
          </cell>
          <cell r="AQ211">
            <v>0</v>
          </cell>
          <cell r="AR211">
            <v>600</v>
          </cell>
          <cell r="AS211">
            <v>0</v>
          </cell>
          <cell r="AT211" t="str">
            <v/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 t="str">
            <v/>
          </cell>
          <cell r="BK211">
            <v>4000</v>
          </cell>
          <cell r="BL211" t="str">
            <v>0</v>
          </cell>
          <cell r="BM211" t="str">
            <v>1</v>
          </cell>
          <cell r="BN211" t="str">
            <v/>
          </cell>
          <cell r="BO211" t="str">
            <v/>
          </cell>
        </row>
        <row r="212">
          <cell r="A212">
            <v>1</v>
          </cell>
          <cell r="B212">
            <v>4115592</v>
          </cell>
          <cell r="C212" t="str">
            <v>DECOR P/M BLANC</v>
          </cell>
          <cell r="D212" t="str">
            <v>pn101759</v>
          </cell>
          <cell r="E212" t="str">
            <v>O</v>
          </cell>
          <cell r="F212">
            <v>0</v>
          </cell>
          <cell r="G212">
            <v>0</v>
          </cell>
          <cell r="H212">
            <v>2160886.7400000002</v>
          </cell>
          <cell r="I212">
            <v>37049.82</v>
          </cell>
          <cell r="J212">
            <v>2197936.56</v>
          </cell>
          <cell r="K212">
            <v>0</v>
          </cell>
          <cell r="L212">
            <v>0</v>
          </cell>
          <cell r="M212">
            <v>144669.54999999999</v>
          </cell>
          <cell r="N212">
            <v>188183.24</v>
          </cell>
          <cell r="O212">
            <v>384477.38</v>
          </cell>
          <cell r="P212">
            <v>549284.37</v>
          </cell>
          <cell r="Q212">
            <v>749035.28</v>
          </cell>
          <cell r="R212">
            <v>963592.47</v>
          </cell>
          <cell r="S212">
            <v>1167689.8899999999</v>
          </cell>
          <cell r="T212">
            <v>1366023.07</v>
          </cell>
          <cell r="U212">
            <v>1560511.82</v>
          </cell>
          <cell r="V212">
            <v>1772954.87</v>
          </cell>
          <cell r="W212">
            <v>1970249.12</v>
          </cell>
          <cell r="X212">
            <v>2160886.7400000002</v>
          </cell>
          <cell r="Y212">
            <v>2305556.29</v>
          </cell>
          <cell r="Z212">
            <v>167611.9</v>
          </cell>
          <cell r="AA212">
            <v>334142.99</v>
          </cell>
          <cell r="AB212">
            <v>546042.78</v>
          </cell>
          <cell r="AC212">
            <v>737233.63</v>
          </cell>
          <cell r="AD212">
            <v>897499.32</v>
          </cell>
          <cell r="AE212">
            <v>1118710.26</v>
          </cell>
          <cell r="AF212">
            <v>1386493.16</v>
          </cell>
          <cell r="AG212">
            <v>1561874.42</v>
          </cell>
          <cell r="AH212">
            <v>1745695.34</v>
          </cell>
          <cell r="AI212">
            <v>1884049.53</v>
          </cell>
          <cell r="AJ212">
            <v>2085960.65</v>
          </cell>
          <cell r="AK212">
            <v>2221776.27</v>
          </cell>
          <cell r="AL212">
            <v>0</v>
          </cell>
          <cell r="AM212">
            <v>2</v>
          </cell>
          <cell r="AN212" t="str">
            <v/>
          </cell>
          <cell r="AO212">
            <v>0</v>
          </cell>
          <cell r="AP212">
            <v>0</v>
          </cell>
          <cell r="AQ212">
            <v>0</v>
          </cell>
          <cell r="AR212">
            <v>600</v>
          </cell>
          <cell r="AS212">
            <v>0</v>
          </cell>
          <cell r="AT212" t="str">
            <v/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20759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 t="str">
            <v/>
          </cell>
          <cell r="BK212">
            <v>4000</v>
          </cell>
          <cell r="BL212" t="str">
            <v>0</v>
          </cell>
          <cell r="BM212" t="str">
            <v>1</v>
          </cell>
          <cell r="BN212" t="str">
            <v/>
          </cell>
          <cell r="BO212" t="str">
            <v/>
          </cell>
        </row>
        <row r="213">
          <cell r="A213">
            <v>1</v>
          </cell>
          <cell r="B213">
            <v>4115602</v>
          </cell>
          <cell r="C213" t="str">
            <v>DECOR P/S BLANC</v>
          </cell>
          <cell r="D213" t="str">
            <v>pn101760</v>
          </cell>
          <cell r="E213" t="str">
            <v>O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2</v>
          </cell>
          <cell r="AN213" t="str">
            <v/>
          </cell>
          <cell r="AO213">
            <v>0</v>
          </cell>
          <cell r="AP213">
            <v>0</v>
          </cell>
          <cell r="AQ213">
            <v>0</v>
          </cell>
          <cell r="AR213">
            <v>600</v>
          </cell>
          <cell r="AS213">
            <v>0</v>
          </cell>
          <cell r="AT213" t="str">
            <v/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 t="str">
            <v/>
          </cell>
          <cell r="BK213">
            <v>4000</v>
          </cell>
          <cell r="BL213" t="str">
            <v>0</v>
          </cell>
          <cell r="BM213" t="str">
            <v>1</v>
          </cell>
          <cell r="BN213" t="str">
            <v/>
          </cell>
          <cell r="BO213" t="str">
            <v/>
          </cell>
        </row>
        <row r="214">
          <cell r="A214">
            <v>1</v>
          </cell>
          <cell r="B214">
            <v>4115612</v>
          </cell>
          <cell r="C214" t="str">
            <v>DECOR 8</v>
          </cell>
          <cell r="D214" t="str">
            <v>pn101761</v>
          </cell>
          <cell r="E214" t="str">
            <v>O</v>
          </cell>
          <cell r="F214">
            <v>0</v>
          </cell>
          <cell r="G214">
            <v>0</v>
          </cell>
          <cell r="H214">
            <v>1287856.2</v>
          </cell>
          <cell r="I214">
            <v>9322.44</v>
          </cell>
          <cell r="J214">
            <v>1297178.6399999999</v>
          </cell>
          <cell r="K214">
            <v>0</v>
          </cell>
          <cell r="L214">
            <v>0</v>
          </cell>
          <cell r="M214">
            <v>108781.01</v>
          </cell>
          <cell r="N214">
            <v>90704.9</v>
          </cell>
          <cell r="O214">
            <v>191640.65</v>
          </cell>
          <cell r="P214">
            <v>278298.13</v>
          </cell>
          <cell r="Q214">
            <v>373637.53</v>
          </cell>
          <cell r="R214">
            <v>499181.63</v>
          </cell>
          <cell r="S214">
            <v>644503.67000000004</v>
          </cell>
          <cell r="T214">
            <v>780248.23</v>
          </cell>
          <cell r="U214">
            <v>915709.46</v>
          </cell>
          <cell r="V214">
            <v>1053960.8899999999</v>
          </cell>
          <cell r="W214">
            <v>1155456.98</v>
          </cell>
          <cell r="X214">
            <v>1287856.2</v>
          </cell>
          <cell r="Y214">
            <v>1396637.21</v>
          </cell>
          <cell r="Z214">
            <v>83731.710000000006</v>
          </cell>
          <cell r="AA214">
            <v>165008.60999999999</v>
          </cell>
          <cell r="AB214">
            <v>264205.24</v>
          </cell>
          <cell r="AC214">
            <v>345230.23</v>
          </cell>
          <cell r="AD214">
            <v>427777.72</v>
          </cell>
          <cell r="AE214">
            <v>524741.59</v>
          </cell>
          <cell r="AF214">
            <v>635979.15</v>
          </cell>
          <cell r="AG214">
            <v>719113.14</v>
          </cell>
          <cell r="AH214">
            <v>827274.48</v>
          </cell>
          <cell r="AI214">
            <v>938840.27</v>
          </cell>
          <cell r="AJ214">
            <v>1042129.17</v>
          </cell>
          <cell r="AK214">
            <v>1146502.22</v>
          </cell>
          <cell r="AL214">
            <v>0</v>
          </cell>
          <cell r="AM214">
            <v>2</v>
          </cell>
          <cell r="AN214" t="str">
            <v/>
          </cell>
          <cell r="AO214">
            <v>0</v>
          </cell>
          <cell r="AP214">
            <v>0</v>
          </cell>
          <cell r="AQ214">
            <v>0</v>
          </cell>
          <cell r="AR214">
            <v>600</v>
          </cell>
          <cell r="AS214">
            <v>0</v>
          </cell>
          <cell r="AT214" t="str">
            <v/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20761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 t="str">
            <v/>
          </cell>
          <cell r="BK214">
            <v>4000</v>
          </cell>
          <cell r="BL214" t="str">
            <v>0</v>
          </cell>
          <cell r="BM214" t="str">
            <v>1</v>
          </cell>
          <cell r="BN214" t="str">
            <v/>
          </cell>
          <cell r="BO214" t="str">
            <v/>
          </cell>
        </row>
        <row r="215">
          <cell r="A215">
            <v>1</v>
          </cell>
          <cell r="B215">
            <v>4115622</v>
          </cell>
          <cell r="C215" t="str">
            <v>DECOR M/F NATURAL 4M ENG.</v>
          </cell>
          <cell r="D215" t="str">
            <v>pn101762</v>
          </cell>
          <cell r="E215" t="str">
            <v>O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2</v>
          </cell>
          <cell r="AN215" t="str">
            <v/>
          </cell>
          <cell r="AO215">
            <v>0</v>
          </cell>
          <cell r="AP215">
            <v>0</v>
          </cell>
          <cell r="AQ215">
            <v>0</v>
          </cell>
          <cell r="AR215">
            <v>600</v>
          </cell>
          <cell r="AS215">
            <v>0</v>
          </cell>
          <cell r="AT215" t="str">
            <v/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 t="str">
            <v/>
          </cell>
          <cell r="BK215">
            <v>4000</v>
          </cell>
          <cell r="BL215" t="str">
            <v>0</v>
          </cell>
          <cell r="BM215" t="str">
            <v>1</v>
          </cell>
          <cell r="BN215" t="str">
            <v/>
          </cell>
          <cell r="BO215" t="str">
            <v/>
          </cell>
        </row>
        <row r="216">
          <cell r="A216">
            <v>1</v>
          </cell>
          <cell r="B216">
            <v>4115632</v>
          </cell>
          <cell r="C216" t="str">
            <v>DECOR NATUREL S/F 4M ENG.</v>
          </cell>
          <cell r="D216" t="str">
            <v>pn101763</v>
          </cell>
          <cell r="E216" t="str">
            <v>O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2</v>
          </cell>
          <cell r="AN216" t="str">
            <v/>
          </cell>
          <cell r="AO216">
            <v>0</v>
          </cell>
          <cell r="AP216">
            <v>0</v>
          </cell>
          <cell r="AQ216">
            <v>0</v>
          </cell>
          <cell r="AR216">
            <v>600</v>
          </cell>
          <cell r="AS216">
            <v>0</v>
          </cell>
          <cell r="AT216" t="str">
            <v/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 t="str">
            <v/>
          </cell>
          <cell r="BK216">
            <v>4000</v>
          </cell>
          <cell r="BL216" t="str">
            <v>0</v>
          </cell>
          <cell r="BM216" t="str">
            <v>1</v>
          </cell>
          <cell r="BN216" t="str">
            <v/>
          </cell>
          <cell r="BO216" t="str">
            <v/>
          </cell>
        </row>
        <row r="217">
          <cell r="A217">
            <v>1</v>
          </cell>
          <cell r="B217">
            <v>4115642</v>
          </cell>
          <cell r="C217" t="str">
            <v>DECOR PLI EN</v>
          </cell>
          <cell r="D217" t="str">
            <v>pn101764</v>
          </cell>
          <cell r="E217" t="str">
            <v>O</v>
          </cell>
          <cell r="F217">
            <v>0</v>
          </cell>
          <cell r="G217">
            <v>0</v>
          </cell>
          <cell r="H217">
            <v>2097040.58</v>
          </cell>
          <cell r="I217">
            <v>46387.87</v>
          </cell>
          <cell r="J217">
            <v>2143428.4500000002</v>
          </cell>
          <cell r="K217">
            <v>0</v>
          </cell>
          <cell r="L217">
            <v>0</v>
          </cell>
          <cell r="M217">
            <v>176428.26</v>
          </cell>
          <cell r="N217">
            <v>217407.52</v>
          </cell>
          <cell r="O217">
            <v>350257.18</v>
          </cell>
          <cell r="P217">
            <v>558061.43000000005</v>
          </cell>
          <cell r="Q217">
            <v>729219.52</v>
          </cell>
          <cell r="R217">
            <v>911342.27</v>
          </cell>
          <cell r="S217">
            <v>1146317.82</v>
          </cell>
          <cell r="T217">
            <v>1322503.3899999999</v>
          </cell>
          <cell r="U217">
            <v>1587481.19</v>
          </cell>
          <cell r="V217">
            <v>1775043.58</v>
          </cell>
          <cell r="W217">
            <v>1921297.49</v>
          </cell>
          <cell r="X217">
            <v>2097040.58</v>
          </cell>
          <cell r="Y217">
            <v>2273468.84</v>
          </cell>
          <cell r="Z217">
            <v>107195.72</v>
          </cell>
          <cell r="AA217">
            <v>265121.44</v>
          </cell>
          <cell r="AB217">
            <v>492940.87</v>
          </cell>
          <cell r="AC217">
            <v>620144.18999999994</v>
          </cell>
          <cell r="AD217">
            <v>793422.45</v>
          </cell>
          <cell r="AE217">
            <v>999319.46</v>
          </cell>
          <cell r="AF217">
            <v>1203208.4099999999</v>
          </cell>
          <cell r="AG217">
            <v>1382644.18</v>
          </cell>
          <cell r="AH217">
            <v>1543395.39</v>
          </cell>
          <cell r="AI217">
            <v>1742182.57</v>
          </cell>
          <cell r="AJ217">
            <v>1915850.44</v>
          </cell>
          <cell r="AK217">
            <v>2064325.72</v>
          </cell>
          <cell r="AL217">
            <v>0</v>
          </cell>
          <cell r="AM217">
            <v>2</v>
          </cell>
          <cell r="AN217" t="str">
            <v/>
          </cell>
          <cell r="AO217">
            <v>0</v>
          </cell>
          <cell r="AP217">
            <v>0</v>
          </cell>
          <cell r="AQ217">
            <v>0</v>
          </cell>
          <cell r="AR217">
            <v>600</v>
          </cell>
          <cell r="AS217">
            <v>0</v>
          </cell>
          <cell r="AT217" t="str">
            <v/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20764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 t="str">
            <v/>
          </cell>
          <cell r="BK217">
            <v>4000</v>
          </cell>
          <cell r="BL217" t="str">
            <v>0</v>
          </cell>
          <cell r="BM217" t="str">
            <v>1</v>
          </cell>
          <cell r="BN217" t="str">
            <v/>
          </cell>
          <cell r="BO217" t="str">
            <v/>
          </cell>
        </row>
        <row r="218">
          <cell r="A218">
            <v>1</v>
          </cell>
          <cell r="B218">
            <v>4115652</v>
          </cell>
          <cell r="C218" t="str">
            <v>DECOR 8</v>
          </cell>
          <cell r="D218" t="str">
            <v>pn101765</v>
          </cell>
          <cell r="E218" t="str">
            <v>O</v>
          </cell>
          <cell r="F218">
            <v>0</v>
          </cell>
          <cell r="G218">
            <v>0</v>
          </cell>
          <cell r="H218">
            <v>440732.67</v>
          </cell>
          <cell r="I218">
            <v>5831.51</v>
          </cell>
          <cell r="J218">
            <v>446564.18</v>
          </cell>
          <cell r="K218">
            <v>0</v>
          </cell>
          <cell r="L218">
            <v>0</v>
          </cell>
          <cell r="M218">
            <v>27475.48</v>
          </cell>
          <cell r="N218">
            <v>47398.66</v>
          </cell>
          <cell r="O218">
            <v>73666.36</v>
          </cell>
          <cell r="P218">
            <v>116412.32</v>
          </cell>
          <cell r="Q218">
            <v>151980.93</v>
          </cell>
          <cell r="R218">
            <v>181513.2</v>
          </cell>
          <cell r="S218">
            <v>232907.13</v>
          </cell>
          <cell r="T218">
            <v>259409.33</v>
          </cell>
          <cell r="U218">
            <v>312498.03000000003</v>
          </cell>
          <cell r="V218">
            <v>357742.11</v>
          </cell>
          <cell r="W218">
            <v>401873.58</v>
          </cell>
          <cell r="X218">
            <v>440732.67</v>
          </cell>
          <cell r="Y218">
            <v>468208.15</v>
          </cell>
          <cell r="Z218">
            <v>28393.51</v>
          </cell>
          <cell r="AA218">
            <v>61729.37</v>
          </cell>
          <cell r="AB218">
            <v>87035.57</v>
          </cell>
          <cell r="AC218">
            <v>112488.25</v>
          </cell>
          <cell r="AD218">
            <v>134897.26</v>
          </cell>
          <cell r="AE218">
            <v>172994.1</v>
          </cell>
          <cell r="AF218">
            <v>205852.44</v>
          </cell>
          <cell r="AG218">
            <v>238576.06</v>
          </cell>
          <cell r="AH218">
            <v>277347.14</v>
          </cell>
          <cell r="AI218">
            <v>318971.12</v>
          </cell>
          <cell r="AJ218">
            <v>349759.28</v>
          </cell>
          <cell r="AK218">
            <v>371188.51</v>
          </cell>
          <cell r="AL218">
            <v>0</v>
          </cell>
          <cell r="AM218">
            <v>2</v>
          </cell>
          <cell r="AN218" t="str">
            <v/>
          </cell>
          <cell r="AO218">
            <v>0</v>
          </cell>
          <cell r="AP218">
            <v>0</v>
          </cell>
          <cell r="AQ218">
            <v>0</v>
          </cell>
          <cell r="AR218">
            <v>600</v>
          </cell>
          <cell r="AS218">
            <v>0</v>
          </cell>
          <cell r="AT218" t="str">
            <v/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20765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 t="str">
            <v/>
          </cell>
          <cell r="BK218">
            <v>4000</v>
          </cell>
          <cell r="BL218" t="str">
            <v>0</v>
          </cell>
          <cell r="BM218" t="str">
            <v>1</v>
          </cell>
          <cell r="BN218" t="str">
            <v/>
          </cell>
          <cell r="BO218" t="str">
            <v/>
          </cell>
        </row>
        <row r="219">
          <cell r="A219">
            <v>1</v>
          </cell>
          <cell r="B219">
            <v>4115662</v>
          </cell>
          <cell r="C219" t="str">
            <v>DECOR P/S BLANC 4M</v>
          </cell>
          <cell r="D219" t="str">
            <v>pn101766</v>
          </cell>
          <cell r="E219" t="str">
            <v>O</v>
          </cell>
          <cell r="F219">
            <v>0</v>
          </cell>
          <cell r="G219">
            <v>0</v>
          </cell>
          <cell r="H219">
            <v>1339898.49</v>
          </cell>
          <cell r="I219">
            <v>8681.4500000000007</v>
          </cell>
          <cell r="J219">
            <v>1348579.94</v>
          </cell>
          <cell r="K219">
            <v>0</v>
          </cell>
          <cell r="L219">
            <v>0</v>
          </cell>
          <cell r="M219">
            <v>104506.78</v>
          </cell>
          <cell r="N219">
            <v>105735.6</v>
          </cell>
          <cell r="O219">
            <v>204734.26</v>
          </cell>
          <cell r="P219">
            <v>310684.83</v>
          </cell>
          <cell r="Q219">
            <v>444023.88</v>
          </cell>
          <cell r="R219">
            <v>587263.39</v>
          </cell>
          <cell r="S219">
            <v>739285.44</v>
          </cell>
          <cell r="T219">
            <v>856077.66</v>
          </cell>
          <cell r="U219">
            <v>952941.21</v>
          </cell>
          <cell r="V219">
            <v>1086764.8799999999</v>
          </cell>
          <cell r="W219">
            <v>1180716.58</v>
          </cell>
          <cell r="X219">
            <v>1339898.49</v>
          </cell>
          <cell r="Y219">
            <v>1444405.27</v>
          </cell>
          <cell r="Z219">
            <v>95077.55</v>
          </cell>
          <cell r="AA219">
            <v>182266.35</v>
          </cell>
          <cell r="AB219">
            <v>312751.78999999998</v>
          </cell>
          <cell r="AC219">
            <v>403530.6</v>
          </cell>
          <cell r="AD219">
            <v>529034.94999999995</v>
          </cell>
          <cell r="AE219">
            <v>691666.11</v>
          </cell>
          <cell r="AF219">
            <v>851438.82</v>
          </cell>
          <cell r="AG219">
            <v>971200.41</v>
          </cell>
          <cell r="AH219">
            <v>1128307.97</v>
          </cell>
          <cell r="AI219">
            <v>1227026.69</v>
          </cell>
          <cell r="AJ219">
            <v>1341461.8600000001</v>
          </cell>
          <cell r="AK219">
            <v>1456133.02</v>
          </cell>
          <cell r="AL219">
            <v>0</v>
          </cell>
          <cell r="AM219">
            <v>2</v>
          </cell>
          <cell r="AN219" t="str">
            <v/>
          </cell>
          <cell r="AO219">
            <v>0</v>
          </cell>
          <cell r="AP219">
            <v>0</v>
          </cell>
          <cell r="AQ219">
            <v>0</v>
          </cell>
          <cell r="AR219">
            <v>600</v>
          </cell>
          <cell r="AS219">
            <v>0</v>
          </cell>
          <cell r="AT219" t="str">
            <v/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20766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 t="str">
            <v/>
          </cell>
          <cell r="BK219">
            <v>4000</v>
          </cell>
          <cell r="BL219" t="str">
            <v>0</v>
          </cell>
          <cell r="BM219" t="str">
            <v>1</v>
          </cell>
          <cell r="BN219" t="str">
            <v/>
          </cell>
          <cell r="BO219" t="str">
            <v/>
          </cell>
        </row>
        <row r="220">
          <cell r="A220">
            <v>1</v>
          </cell>
          <cell r="B220">
            <v>4115672</v>
          </cell>
          <cell r="C220" t="str">
            <v>DECOR 8</v>
          </cell>
          <cell r="D220" t="str">
            <v>pn101767</v>
          </cell>
          <cell r="E220" t="str">
            <v>O</v>
          </cell>
          <cell r="F220">
            <v>0</v>
          </cell>
          <cell r="G220">
            <v>0</v>
          </cell>
          <cell r="H220">
            <v>2434440.13</v>
          </cell>
          <cell r="I220">
            <v>31521.51</v>
          </cell>
          <cell r="J220">
            <v>2465961.64</v>
          </cell>
          <cell r="K220">
            <v>0</v>
          </cell>
          <cell r="L220">
            <v>0</v>
          </cell>
          <cell r="M220">
            <v>237231.38</v>
          </cell>
          <cell r="N220">
            <v>170635.92</v>
          </cell>
          <cell r="O220">
            <v>320814.71999999997</v>
          </cell>
          <cell r="P220">
            <v>488575.06</v>
          </cell>
          <cell r="Q220">
            <v>673076.64</v>
          </cell>
          <cell r="R220">
            <v>904911.67</v>
          </cell>
          <cell r="S220">
            <v>1159345.18</v>
          </cell>
          <cell r="T220">
            <v>1422796.25</v>
          </cell>
          <cell r="U220">
            <v>1694896.71</v>
          </cell>
          <cell r="V220">
            <v>1931822.04</v>
          </cell>
          <cell r="W220">
            <v>2142136.15</v>
          </cell>
          <cell r="X220">
            <v>2434440.13</v>
          </cell>
          <cell r="Y220">
            <v>2671671.5099999998</v>
          </cell>
          <cell r="Z220">
            <v>142122.72</v>
          </cell>
          <cell r="AA220">
            <v>368716.06</v>
          </cell>
          <cell r="AB220">
            <v>507177.44</v>
          </cell>
          <cell r="AC220">
            <v>653212.28</v>
          </cell>
          <cell r="AD220">
            <v>802362.61</v>
          </cell>
          <cell r="AE220">
            <v>1025611.92</v>
          </cell>
          <cell r="AF220">
            <v>1256549.1499999999</v>
          </cell>
          <cell r="AG220">
            <v>1443916.22</v>
          </cell>
          <cell r="AH220">
            <v>1637827.56</v>
          </cell>
          <cell r="AI220">
            <v>1837153.01</v>
          </cell>
          <cell r="AJ220">
            <v>2032801.59</v>
          </cell>
          <cell r="AK220">
            <v>2213293.9500000002</v>
          </cell>
          <cell r="AL220">
            <v>0</v>
          </cell>
          <cell r="AM220">
            <v>2</v>
          </cell>
          <cell r="AN220" t="str">
            <v/>
          </cell>
          <cell r="AO220">
            <v>0</v>
          </cell>
          <cell r="AP220">
            <v>0</v>
          </cell>
          <cell r="AQ220">
            <v>0</v>
          </cell>
          <cell r="AR220">
            <v>600</v>
          </cell>
          <cell r="AS220">
            <v>0</v>
          </cell>
          <cell r="AT220" t="str">
            <v/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20767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 t="str">
            <v/>
          </cell>
          <cell r="BK220">
            <v>4000</v>
          </cell>
          <cell r="BL220" t="str">
            <v>0</v>
          </cell>
          <cell r="BM220" t="str">
            <v>1</v>
          </cell>
          <cell r="BN220" t="str">
            <v/>
          </cell>
          <cell r="BO220" t="str">
            <v/>
          </cell>
        </row>
        <row r="221">
          <cell r="A221">
            <v>1</v>
          </cell>
          <cell r="B221">
            <v>4115682</v>
          </cell>
          <cell r="C221" t="str">
            <v>DECOR 8</v>
          </cell>
          <cell r="D221" t="str">
            <v>pn101768</v>
          </cell>
          <cell r="E221" t="str">
            <v>O</v>
          </cell>
          <cell r="F221">
            <v>0</v>
          </cell>
          <cell r="G221">
            <v>0</v>
          </cell>
          <cell r="H221">
            <v>1190054.79</v>
          </cell>
          <cell r="I221">
            <v>9249.76</v>
          </cell>
          <cell r="J221">
            <v>1199304.55</v>
          </cell>
          <cell r="K221">
            <v>0</v>
          </cell>
          <cell r="L221">
            <v>0</v>
          </cell>
          <cell r="M221">
            <v>78939.23</v>
          </cell>
          <cell r="N221">
            <v>106404.74</v>
          </cell>
          <cell r="O221">
            <v>161625.78</v>
          </cell>
          <cell r="P221">
            <v>258827.67</v>
          </cell>
          <cell r="Q221">
            <v>332979.03000000003</v>
          </cell>
          <cell r="R221">
            <v>448800.99</v>
          </cell>
          <cell r="S221">
            <v>556043.93999999994</v>
          </cell>
          <cell r="T221">
            <v>681808.02</v>
          </cell>
          <cell r="U221">
            <v>819790.79</v>
          </cell>
          <cell r="V221">
            <v>927025.51</v>
          </cell>
          <cell r="W221">
            <v>1061984.69</v>
          </cell>
          <cell r="X221">
            <v>1190054.79</v>
          </cell>
          <cell r="Y221">
            <v>1268994.02</v>
          </cell>
          <cell r="Z221">
            <v>80239.009999999995</v>
          </cell>
          <cell r="AA221">
            <v>157645.28</v>
          </cell>
          <cell r="AB221">
            <v>241885.96</v>
          </cell>
          <cell r="AC221">
            <v>310487.88</v>
          </cell>
          <cell r="AD221">
            <v>380018.42</v>
          </cell>
          <cell r="AE221">
            <v>472758.77</v>
          </cell>
          <cell r="AF221">
            <v>535316.30000000005</v>
          </cell>
          <cell r="AG221">
            <v>613886.18000000005</v>
          </cell>
          <cell r="AH221">
            <v>733023.01</v>
          </cell>
          <cell r="AI221">
            <v>822694.85</v>
          </cell>
          <cell r="AJ221">
            <v>889422.22</v>
          </cell>
          <cell r="AK221">
            <v>977808.22</v>
          </cell>
          <cell r="AL221">
            <v>0</v>
          </cell>
          <cell r="AM221">
            <v>2</v>
          </cell>
          <cell r="AN221" t="str">
            <v/>
          </cell>
          <cell r="AO221">
            <v>0</v>
          </cell>
          <cell r="AP221">
            <v>0</v>
          </cell>
          <cell r="AQ221">
            <v>0</v>
          </cell>
          <cell r="AR221">
            <v>600</v>
          </cell>
          <cell r="AS221">
            <v>0</v>
          </cell>
          <cell r="AT221" t="str">
            <v/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20768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 t="str">
            <v/>
          </cell>
          <cell r="BK221">
            <v>4000</v>
          </cell>
          <cell r="BL221" t="str">
            <v>0</v>
          </cell>
          <cell r="BM221" t="str">
            <v>1</v>
          </cell>
          <cell r="BN221" t="str">
            <v/>
          </cell>
          <cell r="BO221" t="str">
            <v/>
          </cell>
        </row>
        <row r="222">
          <cell r="A222">
            <v>1</v>
          </cell>
          <cell r="B222">
            <v>4115692</v>
          </cell>
          <cell r="C222" t="str">
            <v>PERKINS 8</v>
          </cell>
          <cell r="D222" t="str">
            <v>pn101569</v>
          </cell>
          <cell r="E222" t="str">
            <v>O</v>
          </cell>
          <cell r="F222">
            <v>0</v>
          </cell>
          <cell r="G222">
            <v>0</v>
          </cell>
          <cell r="H222">
            <v>881939.67</v>
          </cell>
          <cell r="I222">
            <v>14597.34</v>
          </cell>
          <cell r="J222">
            <v>896537.01</v>
          </cell>
          <cell r="K222">
            <v>0</v>
          </cell>
          <cell r="L222">
            <v>0</v>
          </cell>
          <cell r="M222">
            <v>65294.35</v>
          </cell>
          <cell r="N222">
            <v>57276</v>
          </cell>
          <cell r="O222">
            <v>115557.49</v>
          </cell>
          <cell r="P222">
            <v>192424.47</v>
          </cell>
          <cell r="Q222">
            <v>262184.96999999997</v>
          </cell>
          <cell r="R222">
            <v>358983.17</v>
          </cell>
          <cell r="S222">
            <v>434731.02</v>
          </cell>
          <cell r="T222">
            <v>518093.52</v>
          </cell>
          <cell r="U222">
            <v>598180.62</v>
          </cell>
          <cell r="V222">
            <v>730308.97</v>
          </cell>
          <cell r="W222">
            <v>797137.82</v>
          </cell>
          <cell r="X222">
            <v>881939.67</v>
          </cell>
          <cell r="Y222">
            <v>947234.02</v>
          </cell>
          <cell r="Z222">
            <v>66690</v>
          </cell>
          <cell r="AA222">
            <v>108972</v>
          </cell>
          <cell r="AB222">
            <v>173892</v>
          </cell>
          <cell r="AC222">
            <v>234006</v>
          </cell>
          <cell r="AD222">
            <v>294894</v>
          </cell>
          <cell r="AE222">
            <v>380550</v>
          </cell>
          <cell r="AF222">
            <v>480396</v>
          </cell>
          <cell r="AG222">
            <v>539736</v>
          </cell>
          <cell r="AH222">
            <v>619458</v>
          </cell>
          <cell r="AI222">
            <v>689118</v>
          </cell>
          <cell r="AJ222">
            <v>738396</v>
          </cell>
          <cell r="AK222">
            <v>817604.92</v>
          </cell>
          <cell r="AL222">
            <v>0</v>
          </cell>
          <cell r="AM222">
            <v>2</v>
          </cell>
          <cell r="AN222" t="str">
            <v/>
          </cell>
          <cell r="AO222">
            <v>0</v>
          </cell>
          <cell r="AP222">
            <v>0</v>
          </cell>
          <cell r="AQ222">
            <v>0</v>
          </cell>
          <cell r="AR222">
            <v>600</v>
          </cell>
          <cell r="AS222">
            <v>0</v>
          </cell>
          <cell r="AT222" t="str">
            <v/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20569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 t="str">
            <v/>
          </cell>
          <cell r="BK222">
            <v>4000</v>
          </cell>
          <cell r="BL222" t="str">
            <v>0</v>
          </cell>
          <cell r="BM222" t="str">
            <v>1</v>
          </cell>
          <cell r="BN222" t="str">
            <v/>
          </cell>
          <cell r="BO222" t="str">
            <v/>
          </cell>
        </row>
        <row r="223">
          <cell r="A223">
            <v>1</v>
          </cell>
          <cell r="B223">
            <v>4115702</v>
          </cell>
          <cell r="C223" t="str">
            <v>DECOR 8</v>
          </cell>
          <cell r="D223" t="str">
            <v>pn101770</v>
          </cell>
          <cell r="E223" t="str">
            <v>O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-185.41</v>
          </cell>
          <cell r="AB223">
            <v>-185.41</v>
          </cell>
          <cell r="AC223">
            <v>-185.41</v>
          </cell>
          <cell r="AD223">
            <v>-185.41</v>
          </cell>
          <cell r="AE223">
            <v>-185.41</v>
          </cell>
          <cell r="AF223">
            <v>-870.63</v>
          </cell>
          <cell r="AG223">
            <v>-870.63</v>
          </cell>
          <cell r="AH223">
            <v>-870.63</v>
          </cell>
          <cell r="AI223">
            <v>-870.63</v>
          </cell>
          <cell r="AJ223">
            <v>-870.63</v>
          </cell>
          <cell r="AK223">
            <v>-870.63</v>
          </cell>
          <cell r="AL223">
            <v>0</v>
          </cell>
          <cell r="AM223">
            <v>2</v>
          </cell>
          <cell r="AN223" t="str">
            <v/>
          </cell>
          <cell r="AO223">
            <v>0</v>
          </cell>
          <cell r="AP223">
            <v>0</v>
          </cell>
          <cell r="AQ223">
            <v>0</v>
          </cell>
          <cell r="AR223">
            <v>600</v>
          </cell>
          <cell r="AS223">
            <v>0</v>
          </cell>
          <cell r="AT223" t="str">
            <v/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20570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str">
            <v/>
          </cell>
          <cell r="BK223">
            <v>4000</v>
          </cell>
          <cell r="BL223" t="str">
            <v>0</v>
          </cell>
          <cell r="BM223" t="str">
            <v>1</v>
          </cell>
          <cell r="BN223" t="str">
            <v/>
          </cell>
          <cell r="BO223" t="str">
            <v/>
          </cell>
        </row>
        <row r="224">
          <cell r="A224">
            <v>1</v>
          </cell>
          <cell r="B224">
            <v>4115712</v>
          </cell>
          <cell r="C224" t="str">
            <v>DECOR 10</v>
          </cell>
          <cell r="D224" t="str">
            <v>pn101771</v>
          </cell>
          <cell r="E224" t="str">
            <v>O</v>
          </cell>
          <cell r="F224">
            <v>0</v>
          </cell>
          <cell r="G224">
            <v>0</v>
          </cell>
          <cell r="H224">
            <v>320776.78999999998</v>
          </cell>
          <cell r="I224">
            <v>2373.13</v>
          </cell>
          <cell r="J224">
            <v>323149.92</v>
          </cell>
          <cell r="K224">
            <v>0</v>
          </cell>
          <cell r="L224">
            <v>0</v>
          </cell>
          <cell r="M224">
            <v>35931.47</v>
          </cell>
          <cell r="N224">
            <v>17292.009999999998</v>
          </cell>
          <cell r="O224">
            <v>47166.45</v>
          </cell>
          <cell r="P224">
            <v>86049.85</v>
          </cell>
          <cell r="Q224">
            <v>109631.39</v>
          </cell>
          <cell r="R224">
            <v>141454.31</v>
          </cell>
          <cell r="S224">
            <v>162024.9</v>
          </cell>
          <cell r="T224">
            <v>191536.58</v>
          </cell>
          <cell r="U224">
            <v>221050.01</v>
          </cell>
          <cell r="V224">
            <v>269490.39</v>
          </cell>
          <cell r="W224">
            <v>285799.78000000003</v>
          </cell>
          <cell r="X224">
            <v>320776.78999999998</v>
          </cell>
          <cell r="Y224">
            <v>356708.26</v>
          </cell>
          <cell r="Z224">
            <v>15330.87</v>
          </cell>
          <cell r="AA224">
            <v>49466.89</v>
          </cell>
          <cell r="AB224">
            <v>79450.89</v>
          </cell>
          <cell r="AC224">
            <v>118205.37</v>
          </cell>
          <cell r="AD224">
            <v>134101.07</v>
          </cell>
          <cell r="AE224">
            <v>175554.53</v>
          </cell>
          <cell r="AF224">
            <v>206742.43</v>
          </cell>
          <cell r="AG224">
            <v>227638.66</v>
          </cell>
          <cell r="AH224">
            <v>250223.41</v>
          </cell>
          <cell r="AI224">
            <v>275452.79999999999</v>
          </cell>
          <cell r="AJ224">
            <v>297181.98</v>
          </cell>
          <cell r="AK224">
            <v>333098.33</v>
          </cell>
          <cell r="AL224">
            <v>0</v>
          </cell>
          <cell r="AM224">
            <v>2</v>
          </cell>
          <cell r="AN224" t="str">
            <v/>
          </cell>
          <cell r="AO224">
            <v>0</v>
          </cell>
          <cell r="AP224">
            <v>0</v>
          </cell>
          <cell r="AQ224">
            <v>0</v>
          </cell>
          <cell r="AR224">
            <v>600</v>
          </cell>
          <cell r="AS224">
            <v>0</v>
          </cell>
          <cell r="AT224" t="str">
            <v/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20771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 t="str">
            <v/>
          </cell>
          <cell r="BK224">
            <v>4000</v>
          </cell>
          <cell r="BL224" t="str">
            <v>0</v>
          </cell>
          <cell r="BM224" t="str">
            <v>1</v>
          </cell>
          <cell r="BN224" t="str">
            <v/>
          </cell>
          <cell r="BO224" t="str">
            <v/>
          </cell>
        </row>
        <row r="225">
          <cell r="A225">
            <v>1</v>
          </cell>
          <cell r="B225">
            <v>4115772</v>
          </cell>
          <cell r="C225" t="str">
            <v>B29 PROTEC SERV.DAIRY RND</v>
          </cell>
          <cell r="D225" t="str">
            <v>pn101577</v>
          </cell>
          <cell r="E225" t="str">
            <v>O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2</v>
          </cell>
          <cell r="AN225" t="str">
            <v/>
          </cell>
          <cell r="AO225">
            <v>0</v>
          </cell>
          <cell r="AP225">
            <v>0</v>
          </cell>
          <cell r="AQ225">
            <v>0</v>
          </cell>
          <cell r="AR225">
            <v>600</v>
          </cell>
          <cell r="AS225">
            <v>0</v>
          </cell>
          <cell r="AT225" t="str">
            <v/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20577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 t="str">
            <v/>
          </cell>
          <cell r="BK225">
            <v>4000</v>
          </cell>
          <cell r="BL225" t="str">
            <v>0</v>
          </cell>
          <cell r="BM225" t="str">
            <v>1</v>
          </cell>
          <cell r="BN225" t="str">
            <v/>
          </cell>
          <cell r="BO225" t="str">
            <v/>
          </cell>
        </row>
        <row r="226">
          <cell r="A226">
            <v>1</v>
          </cell>
          <cell r="B226">
            <v>4116152</v>
          </cell>
          <cell r="C226" t="str">
            <v>CASCADES PLIS/MULTIPLES B</v>
          </cell>
          <cell r="D226" t="str">
            <v>pn101615</v>
          </cell>
          <cell r="E226" t="str">
            <v>O</v>
          </cell>
          <cell r="F226">
            <v>0</v>
          </cell>
          <cell r="G226">
            <v>0</v>
          </cell>
          <cell r="H226">
            <v>34973.17</v>
          </cell>
          <cell r="I226">
            <v>94.61</v>
          </cell>
          <cell r="J226">
            <v>35067.78</v>
          </cell>
          <cell r="K226">
            <v>0</v>
          </cell>
          <cell r="L226">
            <v>0</v>
          </cell>
          <cell r="M226">
            <v>1726.2</v>
          </cell>
          <cell r="N226">
            <v>6653.64</v>
          </cell>
          <cell r="O226">
            <v>7742.15</v>
          </cell>
          <cell r="P226">
            <v>10154.39</v>
          </cell>
          <cell r="Q226">
            <v>13669.67</v>
          </cell>
          <cell r="R226">
            <v>16685.82</v>
          </cell>
          <cell r="S226">
            <v>18481.46</v>
          </cell>
          <cell r="T226">
            <v>23039.23</v>
          </cell>
          <cell r="U226">
            <v>26341.96</v>
          </cell>
          <cell r="V226">
            <v>28554.97</v>
          </cell>
          <cell r="W226">
            <v>32242.13</v>
          </cell>
          <cell r="X226">
            <v>34973.17</v>
          </cell>
          <cell r="Y226">
            <v>36699.370000000003</v>
          </cell>
          <cell r="Z226">
            <v>7706.78</v>
          </cell>
          <cell r="AA226">
            <v>15620.49</v>
          </cell>
          <cell r="AB226">
            <v>26606.13</v>
          </cell>
          <cell r="AC226">
            <v>40593.21</v>
          </cell>
          <cell r="AD226">
            <v>49830.41</v>
          </cell>
          <cell r="AE226">
            <v>49830.41</v>
          </cell>
          <cell r="AF226">
            <v>61634.45</v>
          </cell>
          <cell r="AG226">
            <v>70757.8</v>
          </cell>
          <cell r="AH226">
            <v>79079.7</v>
          </cell>
          <cell r="AI226">
            <v>85943.69</v>
          </cell>
          <cell r="AJ226">
            <v>97790.27</v>
          </cell>
          <cell r="AK226">
            <v>101034.58</v>
          </cell>
          <cell r="AL226">
            <v>0</v>
          </cell>
          <cell r="AM226">
            <v>2</v>
          </cell>
          <cell r="AN226" t="str">
            <v/>
          </cell>
          <cell r="AO226">
            <v>0</v>
          </cell>
          <cell r="AP226">
            <v>0</v>
          </cell>
          <cell r="AQ226">
            <v>0</v>
          </cell>
          <cell r="AR226">
            <v>600</v>
          </cell>
          <cell r="AS226">
            <v>0</v>
          </cell>
          <cell r="AT226" t="str">
            <v/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20615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 t="str">
            <v/>
          </cell>
          <cell r="BK226">
            <v>4000</v>
          </cell>
          <cell r="BL226" t="str">
            <v>0</v>
          </cell>
          <cell r="BM226" t="str">
            <v>1</v>
          </cell>
          <cell r="BN226" t="str">
            <v/>
          </cell>
          <cell r="BO226" t="str">
            <v/>
          </cell>
        </row>
        <row r="227">
          <cell r="A227">
            <v>1</v>
          </cell>
          <cell r="B227">
            <v>4116252</v>
          </cell>
          <cell r="C227" t="str">
            <v>CASCADES C/FOLD BLANC</v>
          </cell>
          <cell r="D227" t="str">
            <v>pn101625</v>
          </cell>
          <cell r="E227" t="str">
            <v>O</v>
          </cell>
          <cell r="F227">
            <v>0</v>
          </cell>
          <cell r="G227">
            <v>0</v>
          </cell>
          <cell r="H227">
            <v>40386.17</v>
          </cell>
          <cell r="I227">
            <v>303.77999999999997</v>
          </cell>
          <cell r="J227">
            <v>40689.949999999997</v>
          </cell>
          <cell r="K227">
            <v>0</v>
          </cell>
          <cell r="L227">
            <v>0</v>
          </cell>
          <cell r="M227">
            <v>7463.75</v>
          </cell>
          <cell r="N227">
            <v>1341.31</v>
          </cell>
          <cell r="O227">
            <v>1949.77</v>
          </cell>
          <cell r="P227">
            <v>4571.8100000000004</v>
          </cell>
          <cell r="Q227">
            <v>5454.65</v>
          </cell>
          <cell r="R227">
            <v>7653.04</v>
          </cell>
          <cell r="S227">
            <v>12106.25</v>
          </cell>
          <cell r="T227">
            <v>17770.55</v>
          </cell>
          <cell r="U227">
            <v>24764.85</v>
          </cell>
          <cell r="V227">
            <v>31303.37</v>
          </cell>
          <cell r="W227">
            <v>39266.31</v>
          </cell>
          <cell r="X227">
            <v>40386.17</v>
          </cell>
          <cell r="Y227">
            <v>47849.919999999998</v>
          </cell>
          <cell r="Z227">
            <v>5020.1099999999997</v>
          </cell>
          <cell r="AA227">
            <v>5564.78</v>
          </cell>
          <cell r="AB227">
            <v>7730</v>
          </cell>
          <cell r="AC227">
            <v>7902.46</v>
          </cell>
          <cell r="AD227">
            <v>10486.69</v>
          </cell>
          <cell r="AE227">
            <v>12622.52</v>
          </cell>
          <cell r="AF227">
            <v>15731.07</v>
          </cell>
          <cell r="AG227">
            <v>17749.169999999998</v>
          </cell>
          <cell r="AH227">
            <v>19208.150000000001</v>
          </cell>
          <cell r="AI227">
            <v>19818.38</v>
          </cell>
          <cell r="AJ227">
            <v>21136.45</v>
          </cell>
          <cell r="AK227">
            <v>22372.13</v>
          </cell>
          <cell r="AL227">
            <v>0</v>
          </cell>
          <cell r="AM227">
            <v>2</v>
          </cell>
          <cell r="AN227" t="str">
            <v/>
          </cell>
          <cell r="AO227">
            <v>0</v>
          </cell>
          <cell r="AP227">
            <v>0</v>
          </cell>
          <cell r="AQ227">
            <v>0</v>
          </cell>
          <cell r="AR227">
            <v>600</v>
          </cell>
          <cell r="AS227">
            <v>0</v>
          </cell>
          <cell r="AT227" t="str">
            <v/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20625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 t="str">
            <v/>
          </cell>
          <cell r="BK227">
            <v>4000</v>
          </cell>
          <cell r="BL227" t="str">
            <v>0</v>
          </cell>
          <cell r="BM227" t="str">
            <v>1</v>
          </cell>
          <cell r="BN227" t="str">
            <v/>
          </cell>
          <cell r="BO227" t="str">
            <v/>
          </cell>
        </row>
        <row r="228">
          <cell r="A228">
            <v>1</v>
          </cell>
          <cell r="B228">
            <v>4116352</v>
          </cell>
          <cell r="C228" t="str">
            <v>CASCADES PLIS/SIMPLES BLA</v>
          </cell>
          <cell r="D228" t="str">
            <v>pn101635</v>
          </cell>
          <cell r="E228" t="str">
            <v>O</v>
          </cell>
          <cell r="F228">
            <v>0</v>
          </cell>
          <cell r="G228">
            <v>0</v>
          </cell>
          <cell r="H228">
            <v>-7576.5</v>
          </cell>
          <cell r="I228">
            <v>7936.5</v>
          </cell>
          <cell r="J228">
            <v>360</v>
          </cell>
          <cell r="K228">
            <v>0</v>
          </cell>
          <cell r="L228">
            <v>0</v>
          </cell>
          <cell r="M228">
            <v>0</v>
          </cell>
          <cell r="N228">
            <v>360</v>
          </cell>
          <cell r="O228">
            <v>360</v>
          </cell>
          <cell r="P228">
            <v>360</v>
          </cell>
          <cell r="Q228">
            <v>-7576.5</v>
          </cell>
          <cell r="R228">
            <v>-7576.5</v>
          </cell>
          <cell r="S228">
            <v>-7576.5</v>
          </cell>
          <cell r="T228">
            <v>-7576.5</v>
          </cell>
          <cell r="U228">
            <v>-7576.5</v>
          </cell>
          <cell r="V228">
            <v>-7576.5</v>
          </cell>
          <cell r="W228">
            <v>-7576.5</v>
          </cell>
          <cell r="X228">
            <v>-7576.5</v>
          </cell>
          <cell r="Y228">
            <v>-7576.5</v>
          </cell>
          <cell r="Z228">
            <v>2400</v>
          </cell>
          <cell r="AA228">
            <v>3786</v>
          </cell>
          <cell r="AB228">
            <v>6558</v>
          </cell>
          <cell r="AC228">
            <v>6778</v>
          </cell>
          <cell r="AD228">
            <v>8098</v>
          </cell>
          <cell r="AE228">
            <v>11860</v>
          </cell>
          <cell r="AF228">
            <v>15209.5</v>
          </cell>
          <cell r="AG228">
            <v>15209.5</v>
          </cell>
          <cell r="AH228">
            <v>17206</v>
          </cell>
          <cell r="AI228">
            <v>18658</v>
          </cell>
          <cell r="AJ228">
            <v>20644</v>
          </cell>
          <cell r="AK228">
            <v>89027.5</v>
          </cell>
          <cell r="AL228">
            <v>0</v>
          </cell>
          <cell r="AM228">
            <v>2</v>
          </cell>
          <cell r="AN228" t="str">
            <v/>
          </cell>
          <cell r="AO228">
            <v>0</v>
          </cell>
          <cell r="AP228">
            <v>0</v>
          </cell>
          <cell r="AQ228">
            <v>0</v>
          </cell>
          <cell r="AR228">
            <v>600</v>
          </cell>
          <cell r="AS228">
            <v>0</v>
          </cell>
          <cell r="AT228" t="str">
            <v/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20635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 t="str">
            <v/>
          </cell>
          <cell r="BK228">
            <v>4000</v>
          </cell>
          <cell r="BL228" t="str">
            <v>0</v>
          </cell>
          <cell r="BM228" t="str">
            <v>1</v>
          </cell>
          <cell r="BN228" t="str">
            <v/>
          </cell>
          <cell r="BO228" t="str">
            <v/>
          </cell>
        </row>
        <row r="229">
          <cell r="A229">
            <v>1</v>
          </cell>
          <cell r="B229">
            <v>4116452</v>
          </cell>
          <cell r="C229" t="str">
            <v>CASCADES RLX. 8 X 425' BL</v>
          </cell>
          <cell r="D229" t="str">
            <v>pn101645</v>
          </cell>
          <cell r="E229" t="str">
            <v>O</v>
          </cell>
          <cell r="F229">
            <v>0</v>
          </cell>
          <cell r="G229">
            <v>0</v>
          </cell>
          <cell r="H229">
            <v>54706.2</v>
          </cell>
          <cell r="I229">
            <v>172.69</v>
          </cell>
          <cell r="J229">
            <v>54878.89</v>
          </cell>
          <cell r="K229">
            <v>0</v>
          </cell>
          <cell r="L229">
            <v>0</v>
          </cell>
          <cell r="M229">
            <v>3495</v>
          </cell>
          <cell r="N229">
            <v>4891.95</v>
          </cell>
          <cell r="O229">
            <v>7932.19</v>
          </cell>
          <cell r="P229">
            <v>10104.31</v>
          </cell>
          <cell r="Q229">
            <v>15030.8</v>
          </cell>
          <cell r="R229">
            <v>16885.86</v>
          </cell>
          <cell r="S229">
            <v>30938.959999999999</v>
          </cell>
          <cell r="T229">
            <v>36068.5</v>
          </cell>
          <cell r="U229">
            <v>42531.96</v>
          </cell>
          <cell r="V229">
            <v>45939.96</v>
          </cell>
          <cell r="W229">
            <v>50236.160000000003</v>
          </cell>
          <cell r="X229">
            <v>54706.2</v>
          </cell>
          <cell r="Y229">
            <v>58201.2</v>
          </cell>
          <cell r="Z229">
            <v>10519.77</v>
          </cell>
          <cell r="AA229">
            <v>22598.34</v>
          </cell>
          <cell r="AB229">
            <v>35723.800000000003</v>
          </cell>
          <cell r="AC229">
            <v>42516.11</v>
          </cell>
          <cell r="AD229">
            <v>57625.94</v>
          </cell>
          <cell r="AE229">
            <v>68664.160000000003</v>
          </cell>
          <cell r="AF229">
            <v>81207.64</v>
          </cell>
          <cell r="AG229">
            <v>88306.67</v>
          </cell>
          <cell r="AH229">
            <v>96914</v>
          </cell>
          <cell r="AI229">
            <v>106287.49</v>
          </cell>
          <cell r="AJ229">
            <v>112426.1</v>
          </cell>
          <cell r="AK229">
            <v>119487.25</v>
          </cell>
          <cell r="AL229">
            <v>0</v>
          </cell>
          <cell r="AM229">
            <v>2</v>
          </cell>
          <cell r="AN229" t="str">
            <v/>
          </cell>
          <cell r="AO229">
            <v>0</v>
          </cell>
          <cell r="AP229">
            <v>0</v>
          </cell>
          <cell r="AQ229">
            <v>0</v>
          </cell>
          <cell r="AR229">
            <v>600</v>
          </cell>
          <cell r="AS229">
            <v>0</v>
          </cell>
          <cell r="AT229" t="str">
            <v/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20645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 t="str">
            <v/>
          </cell>
          <cell r="BK229">
            <v>4000</v>
          </cell>
          <cell r="BL229" t="str">
            <v>0</v>
          </cell>
          <cell r="BM229" t="str">
            <v>1</v>
          </cell>
          <cell r="BN229" t="str">
            <v/>
          </cell>
          <cell r="BO229" t="str">
            <v/>
          </cell>
        </row>
        <row r="230">
          <cell r="A230">
            <v>1</v>
          </cell>
          <cell r="B230">
            <v>4118502</v>
          </cell>
          <cell r="C230" t="str">
            <v>W.T. NATUREL PLI/SIMPLE 4</v>
          </cell>
          <cell r="D230" t="str">
            <v>pn101850</v>
          </cell>
          <cell r="E230" t="str">
            <v>O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-17.02</v>
          </cell>
          <cell r="AB230">
            <v>-17.02</v>
          </cell>
          <cell r="AC230">
            <v>-17.02</v>
          </cell>
          <cell r="AD230">
            <v>-17.02</v>
          </cell>
          <cell r="AE230">
            <v>-17.02</v>
          </cell>
          <cell r="AF230">
            <v>-17.02</v>
          </cell>
          <cell r="AG230">
            <v>-17.02</v>
          </cell>
          <cell r="AH230">
            <v>-17.02</v>
          </cell>
          <cell r="AI230">
            <v>-17.02</v>
          </cell>
          <cell r="AJ230">
            <v>-17.02</v>
          </cell>
          <cell r="AK230">
            <v>-17.02</v>
          </cell>
          <cell r="AL230">
            <v>0</v>
          </cell>
          <cell r="AM230">
            <v>2</v>
          </cell>
          <cell r="AN230" t="str">
            <v/>
          </cell>
          <cell r="AO230">
            <v>0</v>
          </cell>
          <cell r="AP230">
            <v>0</v>
          </cell>
          <cell r="AQ230">
            <v>0</v>
          </cell>
          <cell r="AR230">
            <v>600</v>
          </cell>
          <cell r="AS230">
            <v>0</v>
          </cell>
          <cell r="AT230" t="str">
            <v/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 t="str">
            <v/>
          </cell>
          <cell r="BK230">
            <v>4000</v>
          </cell>
          <cell r="BL230" t="str">
            <v/>
          </cell>
          <cell r="BM230" t="str">
            <v>1</v>
          </cell>
          <cell r="BN230" t="str">
            <v/>
          </cell>
          <cell r="BO230" t="str">
            <v/>
          </cell>
        </row>
        <row r="231">
          <cell r="A231">
            <v>1</v>
          </cell>
          <cell r="B231">
            <v>4130932</v>
          </cell>
          <cell r="C231" t="str">
            <v>ESCOMPTE</v>
          </cell>
          <cell r="D231" t="str">
            <v>SERV-A-PIS  PROTEC</v>
          </cell>
          <cell r="E231" t="str">
            <v>O</v>
          </cell>
          <cell r="F231">
            <v>0</v>
          </cell>
          <cell r="G231">
            <v>0</v>
          </cell>
          <cell r="H231">
            <v>-32.46</v>
          </cell>
          <cell r="I231">
            <v>0</v>
          </cell>
          <cell r="J231">
            <v>32.46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-32.46</v>
          </cell>
          <cell r="Y231">
            <v>-32.46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2</v>
          </cell>
          <cell r="AN231" t="str">
            <v/>
          </cell>
          <cell r="AO231">
            <v>0</v>
          </cell>
          <cell r="AP231">
            <v>0</v>
          </cell>
          <cell r="AQ231">
            <v>0</v>
          </cell>
          <cell r="AR231">
            <v>600</v>
          </cell>
          <cell r="AS231">
            <v>0</v>
          </cell>
          <cell r="AT231" t="str">
            <v/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 t="str">
            <v/>
          </cell>
          <cell r="BK231">
            <v>4300</v>
          </cell>
          <cell r="BL231" t="str">
            <v>0</v>
          </cell>
          <cell r="BM231" t="str">
            <v>1</v>
          </cell>
          <cell r="BN231" t="str">
            <v/>
          </cell>
          <cell r="BO231" t="str">
            <v/>
          </cell>
        </row>
        <row r="232">
          <cell r="A232">
            <v>1</v>
          </cell>
          <cell r="B232">
            <v>4133052</v>
          </cell>
          <cell r="C232" t="str">
            <v>ESCOMPTE</v>
          </cell>
          <cell r="D232" t="str">
            <v>N.R. NATUREL P/S</v>
          </cell>
          <cell r="E232" t="str">
            <v>O</v>
          </cell>
          <cell r="F232">
            <v>0</v>
          </cell>
          <cell r="G232">
            <v>0</v>
          </cell>
          <cell r="H232">
            <v>28152.3</v>
          </cell>
          <cell r="I232">
            <v>30626.32</v>
          </cell>
          <cell r="J232">
            <v>2474.02</v>
          </cell>
          <cell r="K232">
            <v>0</v>
          </cell>
          <cell r="L232">
            <v>5420.35</v>
          </cell>
          <cell r="M232">
            <v>0</v>
          </cell>
          <cell r="N232">
            <v>0</v>
          </cell>
          <cell r="O232">
            <v>1335.52</v>
          </cell>
          <cell r="P232">
            <v>1502.87</v>
          </cell>
          <cell r="Q232">
            <v>2916.26</v>
          </cell>
          <cell r="R232">
            <v>11936.24</v>
          </cell>
          <cell r="S232">
            <v>13563.4</v>
          </cell>
          <cell r="T232">
            <v>15978.69</v>
          </cell>
          <cell r="U232">
            <v>18630.830000000002</v>
          </cell>
          <cell r="V232">
            <v>23196.69</v>
          </cell>
          <cell r="W232">
            <v>24097.85</v>
          </cell>
          <cell r="X232">
            <v>28152.3</v>
          </cell>
          <cell r="Y232">
            <v>33572.65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2</v>
          </cell>
          <cell r="AN232" t="str">
            <v/>
          </cell>
          <cell r="AO232">
            <v>0</v>
          </cell>
          <cell r="AP232">
            <v>0</v>
          </cell>
          <cell r="AQ232">
            <v>0</v>
          </cell>
          <cell r="AR232">
            <v>600</v>
          </cell>
          <cell r="AS232">
            <v>0</v>
          </cell>
          <cell r="AT232" t="str">
            <v/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20305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 t="str">
            <v/>
          </cell>
          <cell r="BK232">
            <v>4300</v>
          </cell>
          <cell r="BL232" t="str">
            <v>0</v>
          </cell>
          <cell r="BM232" t="str">
            <v>1</v>
          </cell>
          <cell r="BN232" t="str">
            <v/>
          </cell>
          <cell r="BO232" t="str">
            <v/>
          </cell>
        </row>
        <row r="233">
          <cell r="A233">
            <v>1</v>
          </cell>
          <cell r="B233">
            <v>4133062</v>
          </cell>
          <cell r="C233" t="str">
            <v>ESCOMPTE</v>
          </cell>
          <cell r="D233" t="str">
            <v>N.R. NAT.PLI EN</v>
          </cell>
          <cell r="E233" t="str">
            <v>O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</v>
          </cell>
          <cell r="AN233" t="str">
            <v/>
          </cell>
          <cell r="AO233">
            <v>0</v>
          </cell>
          <cell r="AP233">
            <v>0</v>
          </cell>
          <cell r="AQ233">
            <v>0</v>
          </cell>
          <cell r="AR233">
            <v>600</v>
          </cell>
          <cell r="AS233">
            <v>0</v>
          </cell>
          <cell r="AT233" t="str">
            <v/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20306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 t="str">
            <v/>
          </cell>
          <cell r="BK233">
            <v>4300</v>
          </cell>
          <cell r="BL233" t="str">
            <v>0</v>
          </cell>
          <cell r="BM233" t="str">
            <v>1</v>
          </cell>
          <cell r="BN233" t="str">
            <v/>
          </cell>
          <cell r="BO233" t="str">
            <v/>
          </cell>
        </row>
        <row r="234">
          <cell r="A234">
            <v>1</v>
          </cell>
          <cell r="B234">
            <v>4133092</v>
          </cell>
          <cell r="C234" t="str">
            <v>ESCOMPTE</v>
          </cell>
          <cell r="D234" t="str">
            <v>N.R. NAT.BLANC PLI EN</v>
          </cell>
          <cell r="E234" t="str">
            <v>O</v>
          </cell>
          <cell r="F234">
            <v>0</v>
          </cell>
          <cell r="G234">
            <v>0</v>
          </cell>
          <cell r="H234">
            <v>265.58</v>
          </cell>
          <cell r="I234">
            <v>308.52999999999997</v>
          </cell>
          <cell r="J234">
            <v>42.95</v>
          </cell>
          <cell r="K234">
            <v>0</v>
          </cell>
          <cell r="L234">
            <v>39.979999999999997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24.6</v>
          </cell>
          <cell r="R234">
            <v>79.38</v>
          </cell>
          <cell r="S234">
            <v>154.5</v>
          </cell>
          <cell r="T234">
            <v>166.16</v>
          </cell>
          <cell r="U234">
            <v>191.85</v>
          </cell>
          <cell r="V234">
            <v>271.11</v>
          </cell>
          <cell r="W234">
            <v>246.75</v>
          </cell>
          <cell r="X234">
            <v>265.58</v>
          </cell>
          <cell r="Y234">
            <v>305.56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2</v>
          </cell>
          <cell r="AN234" t="str">
            <v/>
          </cell>
          <cell r="AO234">
            <v>0</v>
          </cell>
          <cell r="AP234">
            <v>0</v>
          </cell>
          <cell r="AQ234">
            <v>0</v>
          </cell>
          <cell r="AR234">
            <v>600</v>
          </cell>
          <cell r="AS234">
            <v>0</v>
          </cell>
          <cell r="AT234" t="str">
            <v/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20309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 t="str">
            <v/>
          </cell>
          <cell r="BK234">
            <v>4300</v>
          </cell>
          <cell r="BL234" t="str">
            <v>0</v>
          </cell>
          <cell r="BM234" t="str">
            <v>1</v>
          </cell>
          <cell r="BN234" t="str">
            <v/>
          </cell>
          <cell r="BO234" t="str">
            <v/>
          </cell>
        </row>
        <row r="235">
          <cell r="A235">
            <v>1</v>
          </cell>
          <cell r="B235">
            <v>4133102</v>
          </cell>
          <cell r="C235" t="str">
            <v>ESCOMPTE</v>
          </cell>
          <cell r="D235" t="str">
            <v>N.R. NAT.BLANC P/S</v>
          </cell>
          <cell r="E235" t="str">
            <v>O</v>
          </cell>
          <cell r="F235">
            <v>0</v>
          </cell>
          <cell r="G235">
            <v>0</v>
          </cell>
          <cell r="H235">
            <v>2651.95</v>
          </cell>
          <cell r="I235">
            <v>2974.73</v>
          </cell>
          <cell r="J235">
            <v>322.77999999999997</v>
          </cell>
          <cell r="K235">
            <v>0</v>
          </cell>
          <cell r="L235">
            <v>227.38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29.46</v>
          </cell>
          <cell r="R235">
            <v>90.48</v>
          </cell>
          <cell r="S235">
            <v>163.92</v>
          </cell>
          <cell r="T235">
            <v>219.02</v>
          </cell>
          <cell r="U235">
            <v>218.28</v>
          </cell>
          <cell r="V235">
            <v>812.61</v>
          </cell>
          <cell r="W235">
            <v>1374.18</v>
          </cell>
          <cell r="X235">
            <v>2651.95</v>
          </cell>
          <cell r="Y235">
            <v>2879.33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2</v>
          </cell>
          <cell r="AN235" t="str">
            <v/>
          </cell>
          <cell r="AO235">
            <v>0</v>
          </cell>
          <cell r="AP235">
            <v>0</v>
          </cell>
          <cell r="AQ235">
            <v>0</v>
          </cell>
          <cell r="AR235">
            <v>600</v>
          </cell>
          <cell r="AS235">
            <v>0</v>
          </cell>
          <cell r="AT235" t="str">
            <v/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20310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str">
            <v/>
          </cell>
          <cell r="BK235">
            <v>4300</v>
          </cell>
          <cell r="BL235" t="str">
            <v>0</v>
          </cell>
          <cell r="BM235" t="str">
            <v>1</v>
          </cell>
          <cell r="BN235" t="str">
            <v/>
          </cell>
          <cell r="BO235" t="str">
            <v/>
          </cell>
        </row>
        <row r="236">
          <cell r="A236">
            <v>1</v>
          </cell>
          <cell r="B236">
            <v>4133112</v>
          </cell>
          <cell r="C236" t="str">
            <v>ESCOMPTE</v>
          </cell>
          <cell r="D236" t="str">
            <v>N.R. SERV-A-PIS</v>
          </cell>
          <cell r="E236" t="str">
            <v>O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2</v>
          </cell>
          <cell r="AN236" t="str">
            <v/>
          </cell>
          <cell r="AO236">
            <v>0</v>
          </cell>
          <cell r="AP236">
            <v>0</v>
          </cell>
          <cell r="AQ236">
            <v>0</v>
          </cell>
          <cell r="AR236">
            <v>600</v>
          </cell>
          <cell r="AS236">
            <v>0</v>
          </cell>
          <cell r="AT236" t="str">
            <v/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 t="str">
            <v/>
          </cell>
          <cell r="BK236">
            <v>4300</v>
          </cell>
          <cell r="BL236" t="str">
            <v/>
          </cell>
          <cell r="BM236" t="str">
            <v>1</v>
          </cell>
          <cell r="BN236" t="str">
            <v/>
          </cell>
          <cell r="BO236" t="str">
            <v/>
          </cell>
        </row>
        <row r="237">
          <cell r="A237">
            <v>1</v>
          </cell>
          <cell r="B237">
            <v>4133122</v>
          </cell>
          <cell r="C237" t="str">
            <v>ESCOMPTE</v>
          </cell>
          <cell r="D237" t="str">
            <v>N.R. NAT.BLANC 8</v>
          </cell>
          <cell r="E237" t="str">
            <v>O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2</v>
          </cell>
          <cell r="AN237" t="str">
            <v/>
          </cell>
          <cell r="AO237">
            <v>0</v>
          </cell>
          <cell r="AP237">
            <v>0</v>
          </cell>
          <cell r="AQ237">
            <v>0</v>
          </cell>
          <cell r="AR237">
            <v>600</v>
          </cell>
          <cell r="AS237">
            <v>0</v>
          </cell>
          <cell r="AT237" t="str">
            <v/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 t="str">
            <v/>
          </cell>
          <cell r="BK237">
            <v>4300</v>
          </cell>
          <cell r="BL237" t="str">
            <v/>
          </cell>
          <cell r="BM237" t="str">
            <v>1</v>
          </cell>
          <cell r="BN237" t="str">
            <v/>
          </cell>
          <cell r="BO237" t="str">
            <v/>
          </cell>
        </row>
        <row r="238">
          <cell r="A238">
            <v>1</v>
          </cell>
          <cell r="B238">
            <v>4133132</v>
          </cell>
          <cell r="C238" t="str">
            <v>ESCOMPTE</v>
          </cell>
          <cell r="D238" t="str">
            <v>N.R. NATUREL 8</v>
          </cell>
          <cell r="E238" t="str">
            <v>O</v>
          </cell>
          <cell r="F238">
            <v>0</v>
          </cell>
          <cell r="G238">
            <v>0</v>
          </cell>
          <cell r="H238">
            <v>10977.45</v>
          </cell>
          <cell r="I238">
            <v>11696</v>
          </cell>
          <cell r="J238">
            <v>718.55</v>
          </cell>
          <cell r="K238">
            <v>0</v>
          </cell>
          <cell r="L238">
            <v>814.41</v>
          </cell>
          <cell r="M238">
            <v>0</v>
          </cell>
          <cell r="N238">
            <v>0</v>
          </cell>
          <cell r="O238">
            <v>643.17999999999995</v>
          </cell>
          <cell r="P238">
            <v>1343.28</v>
          </cell>
          <cell r="Q238">
            <v>1765.57</v>
          </cell>
          <cell r="R238">
            <v>4684.3900000000003</v>
          </cell>
          <cell r="S238">
            <v>5779.04</v>
          </cell>
          <cell r="T238">
            <v>6993.52</v>
          </cell>
          <cell r="U238">
            <v>8069.3</v>
          </cell>
          <cell r="V238">
            <v>9395.4</v>
          </cell>
          <cell r="W238">
            <v>9837.09</v>
          </cell>
          <cell r="X238">
            <v>10977.45</v>
          </cell>
          <cell r="Y238">
            <v>11791.86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2</v>
          </cell>
          <cell r="AN238" t="str">
            <v/>
          </cell>
          <cell r="AO238">
            <v>0</v>
          </cell>
          <cell r="AP238">
            <v>0</v>
          </cell>
          <cell r="AQ238">
            <v>0</v>
          </cell>
          <cell r="AR238">
            <v>600</v>
          </cell>
          <cell r="AS238">
            <v>0</v>
          </cell>
          <cell r="AT238" t="str">
            <v/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20313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 t="str">
            <v/>
          </cell>
          <cell r="BK238">
            <v>4300</v>
          </cell>
          <cell r="BL238" t="str">
            <v>0</v>
          </cell>
          <cell r="BM238" t="str">
            <v>1</v>
          </cell>
          <cell r="BN238" t="str">
            <v/>
          </cell>
          <cell r="BO238" t="str">
            <v/>
          </cell>
        </row>
        <row r="239">
          <cell r="A239">
            <v>1</v>
          </cell>
          <cell r="B239">
            <v>4133142</v>
          </cell>
          <cell r="C239" t="str">
            <v>ESCOMPTE</v>
          </cell>
          <cell r="D239" t="str">
            <v>N.R. BLANC 8</v>
          </cell>
          <cell r="E239" t="str">
            <v>O</v>
          </cell>
          <cell r="F239">
            <v>0</v>
          </cell>
          <cell r="G239">
            <v>0</v>
          </cell>
          <cell r="H239">
            <v>3599.58</v>
          </cell>
          <cell r="I239">
            <v>3713.7</v>
          </cell>
          <cell r="J239">
            <v>114.12</v>
          </cell>
          <cell r="K239">
            <v>0</v>
          </cell>
          <cell r="L239">
            <v>182.66</v>
          </cell>
          <cell r="M239">
            <v>0</v>
          </cell>
          <cell r="N239">
            <v>0</v>
          </cell>
          <cell r="O239">
            <v>244.41</v>
          </cell>
          <cell r="P239">
            <v>571.9</v>
          </cell>
          <cell r="Q239">
            <v>715.34</v>
          </cell>
          <cell r="R239">
            <v>2320.4</v>
          </cell>
          <cell r="S239">
            <v>2414.84</v>
          </cell>
          <cell r="T239">
            <v>2734.19</v>
          </cell>
          <cell r="U239">
            <v>2928.79</v>
          </cell>
          <cell r="V239">
            <v>3139.4</v>
          </cell>
          <cell r="W239">
            <v>3356.52</v>
          </cell>
          <cell r="X239">
            <v>3599.58</v>
          </cell>
          <cell r="Y239">
            <v>3782.24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2</v>
          </cell>
          <cell r="AN239" t="str">
            <v/>
          </cell>
          <cell r="AO239">
            <v>0</v>
          </cell>
          <cell r="AP239">
            <v>0</v>
          </cell>
          <cell r="AQ239">
            <v>0</v>
          </cell>
          <cell r="AR239">
            <v>600</v>
          </cell>
          <cell r="AS239">
            <v>0</v>
          </cell>
          <cell r="AT239" t="str">
            <v/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20314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 t="str">
            <v/>
          </cell>
          <cell r="BK239">
            <v>4300</v>
          </cell>
          <cell r="BL239" t="str">
            <v>0</v>
          </cell>
          <cell r="BM239" t="str">
            <v>1</v>
          </cell>
          <cell r="BN239" t="str">
            <v/>
          </cell>
          <cell r="BO239" t="str">
            <v/>
          </cell>
        </row>
        <row r="240">
          <cell r="A240">
            <v>1</v>
          </cell>
          <cell r="B240">
            <v>4133152</v>
          </cell>
          <cell r="C240" t="str">
            <v>ESCOMPTE</v>
          </cell>
          <cell r="D240" t="str">
            <v>N.R. NATUREL P/M</v>
          </cell>
          <cell r="E240" t="str">
            <v>O</v>
          </cell>
          <cell r="F240">
            <v>0</v>
          </cell>
          <cell r="G240">
            <v>0</v>
          </cell>
          <cell r="H240">
            <v>13361.67</v>
          </cell>
          <cell r="I240">
            <v>14306.53</v>
          </cell>
          <cell r="J240">
            <v>944.86</v>
          </cell>
          <cell r="K240">
            <v>0</v>
          </cell>
          <cell r="L240">
            <v>1555.22</v>
          </cell>
          <cell r="M240">
            <v>0</v>
          </cell>
          <cell r="N240">
            <v>0</v>
          </cell>
          <cell r="O240">
            <v>641.79999999999995</v>
          </cell>
          <cell r="P240">
            <v>992.56</v>
          </cell>
          <cell r="Q240">
            <v>1400.92</v>
          </cell>
          <cell r="R240">
            <v>4557.09</v>
          </cell>
          <cell r="S240">
            <v>5074.79</v>
          </cell>
          <cell r="T240">
            <v>6222.15</v>
          </cell>
          <cell r="U240">
            <v>7607.13</v>
          </cell>
          <cell r="V240">
            <v>9350.9</v>
          </cell>
          <cell r="W240">
            <v>11090.4</v>
          </cell>
          <cell r="X240">
            <v>13361.67</v>
          </cell>
          <cell r="Y240">
            <v>14916.89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2</v>
          </cell>
          <cell r="AN240" t="str">
            <v/>
          </cell>
          <cell r="AO240">
            <v>0</v>
          </cell>
          <cell r="AP240">
            <v>0</v>
          </cell>
          <cell r="AQ240">
            <v>0</v>
          </cell>
          <cell r="AR240">
            <v>600</v>
          </cell>
          <cell r="AS240">
            <v>0</v>
          </cell>
          <cell r="AT240" t="str">
            <v/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20315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 t="str">
            <v/>
          </cell>
          <cell r="BK240">
            <v>4300</v>
          </cell>
          <cell r="BL240" t="str">
            <v>0</v>
          </cell>
          <cell r="BM240" t="str">
            <v>1</v>
          </cell>
          <cell r="BN240" t="str">
            <v/>
          </cell>
          <cell r="BO240" t="str">
            <v/>
          </cell>
        </row>
        <row r="241">
          <cell r="A241">
            <v>1</v>
          </cell>
          <cell r="B241">
            <v>4133162</v>
          </cell>
          <cell r="C241" t="str">
            <v>ESCOMPTE</v>
          </cell>
          <cell r="D241" t="str">
            <v>NATURAL 8</v>
          </cell>
          <cell r="E241" t="str">
            <v>O</v>
          </cell>
          <cell r="F241">
            <v>0</v>
          </cell>
          <cell r="G241">
            <v>0</v>
          </cell>
          <cell r="H241">
            <v>7.87</v>
          </cell>
          <cell r="I241">
            <v>7.87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7.87</v>
          </cell>
          <cell r="U241">
            <v>7.87</v>
          </cell>
          <cell r="V241">
            <v>7.87</v>
          </cell>
          <cell r="W241">
            <v>7.87</v>
          </cell>
          <cell r="X241">
            <v>7.87</v>
          </cell>
          <cell r="Y241">
            <v>7.87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2</v>
          </cell>
          <cell r="AN241" t="str">
            <v/>
          </cell>
          <cell r="AO241">
            <v>0</v>
          </cell>
          <cell r="AP241">
            <v>0</v>
          </cell>
          <cell r="AQ241">
            <v>0</v>
          </cell>
          <cell r="AR241">
            <v>600</v>
          </cell>
          <cell r="AS241">
            <v>0</v>
          </cell>
          <cell r="AT241" t="str">
            <v/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 t="str">
            <v/>
          </cell>
          <cell r="BK241">
            <v>4300</v>
          </cell>
          <cell r="BL241" t="str">
            <v/>
          </cell>
          <cell r="BM241" t="str">
            <v>1</v>
          </cell>
          <cell r="BN241" t="str">
            <v/>
          </cell>
          <cell r="BO241" t="str">
            <v/>
          </cell>
        </row>
        <row r="242">
          <cell r="A242">
            <v>1</v>
          </cell>
          <cell r="B242">
            <v>4133202</v>
          </cell>
          <cell r="C242" t="str">
            <v>ESCOMPTE</v>
          </cell>
          <cell r="D242" t="str">
            <v>N.R. NAT.BLANC P/M</v>
          </cell>
          <cell r="E242" t="str">
            <v>O</v>
          </cell>
          <cell r="F242">
            <v>0</v>
          </cell>
          <cell r="G242">
            <v>0</v>
          </cell>
          <cell r="H242">
            <v>1418.01</v>
          </cell>
          <cell r="I242">
            <v>1536.65</v>
          </cell>
          <cell r="J242">
            <v>118.64</v>
          </cell>
          <cell r="K242">
            <v>0</v>
          </cell>
          <cell r="L242">
            <v>320.83</v>
          </cell>
          <cell r="M242">
            <v>0</v>
          </cell>
          <cell r="N242">
            <v>0</v>
          </cell>
          <cell r="O242">
            <v>258.7</v>
          </cell>
          <cell r="P242">
            <v>258.7</v>
          </cell>
          <cell r="Q242">
            <v>285.36</v>
          </cell>
          <cell r="R242">
            <v>515.5</v>
          </cell>
          <cell r="S242">
            <v>774.55</v>
          </cell>
          <cell r="T242">
            <v>937.72</v>
          </cell>
          <cell r="U242">
            <v>992.81</v>
          </cell>
          <cell r="V242">
            <v>1211.76</v>
          </cell>
          <cell r="W242">
            <v>1191.97</v>
          </cell>
          <cell r="X242">
            <v>1418.01</v>
          </cell>
          <cell r="Y242">
            <v>1738.84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2</v>
          </cell>
          <cell r="AN242" t="str">
            <v/>
          </cell>
          <cell r="AO242">
            <v>0</v>
          </cell>
          <cell r="AP242">
            <v>0</v>
          </cell>
          <cell r="AQ242">
            <v>0</v>
          </cell>
          <cell r="AR242">
            <v>600</v>
          </cell>
          <cell r="AS242">
            <v>0</v>
          </cell>
          <cell r="AT242" t="str">
            <v/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20320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 t="str">
            <v/>
          </cell>
          <cell r="BK242">
            <v>4300</v>
          </cell>
          <cell r="BL242" t="str">
            <v>0</v>
          </cell>
          <cell r="BM242" t="str">
            <v>1</v>
          </cell>
          <cell r="BN242" t="str">
            <v/>
          </cell>
          <cell r="BO242" t="str">
            <v/>
          </cell>
        </row>
        <row r="243">
          <cell r="A243">
            <v>1</v>
          </cell>
          <cell r="B243">
            <v>4133252</v>
          </cell>
          <cell r="C243" t="str">
            <v>ESCOMPTE</v>
          </cell>
          <cell r="D243" t="str">
            <v>N.R. NATUREL 8</v>
          </cell>
          <cell r="E243" t="str">
            <v>O</v>
          </cell>
          <cell r="F243">
            <v>0</v>
          </cell>
          <cell r="G243">
            <v>0</v>
          </cell>
          <cell r="H243">
            <v>41783.47</v>
          </cell>
          <cell r="I243">
            <v>43024.21</v>
          </cell>
          <cell r="J243">
            <v>1240.74</v>
          </cell>
          <cell r="K243">
            <v>0</v>
          </cell>
          <cell r="L243">
            <v>4857.67</v>
          </cell>
          <cell r="M243">
            <v>0</v>
          </cell>
          <cell r="N243">
            <v>0</v>
          </cell>
          <cell r="O243">
            <v>14667.46</v>
          </cell>
          <cell r="P243">
            <v>15069.2</v>
          </cell>
          <cell r="Q243">
            <v>17890.7</v>
          </cell>
          <cell r="R243">
            <v>24085.96</v>
          </cell>
          <cell r="S243">
            <v>26381.43</v>
          </cell>
          <cell r="T243">
            <v>29061.13</v>
          </cell>
          <cell r="U243">
            <v>31758.61</v>
          </cell>
          <cell r="V243">
            <v>34048.42</v>
          </cell>
          <cell r="W243">
            <v>37562.61</v>
          </cell>
          <cell r="X243">
            <v>41783.47</v>
          </cell>
          <cell r="Y243">
            <v>46641.14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2</v>
          </cell>
          <cell r="AN243" t="str">
            <v/>
          </cell>
          <cell r="AO243">
            <v>0</v>
          </cell>
          <cell r="AP243">
            <v>0</v>
          </cell>
          <cell r="AQ243">
            <v>0</v>
          </cell>
          <cell r="AR243">
            <v>600</v>
          </cell>
          <cell r="AS243">
            <v>0</v>
          </cell>
          <cell r="AT243" t="str">
            <v/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20325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 t="str">
            <v/>
          </cell>
          <cell r="BK243">
            <v>4300</v>
          </cell>
          <cell r="BL243" t="str">
            <v>0</v>
          </cell>
          <cell r="BM243" t="str">
            <v>1</v>
          </cell>
          <cell r="BN243" t="str">
            <v/>
          </cell>
          <cell r="BO243" t="str">
            <v/>
          </cell>
        </row>
        <row r="244">
          <cell r="A244">
            <v>1</v>
          </cell>
          <cell r="B244">
            <v>4133302</v>
          </cell>
          <cell r="C244" t="str">
            <v>ESCOMPTE</v>
          </cell>
          <cell r="D244" t="str">
            <v>N.R. NAT.BLANC 8</v>
          </cell>
          <cell r="E244" t="str">
            <v>O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2</v>
          </cell>
          <cell r="AN244" t="str">
            <v/>
          </cell>
          <cell r="AO244">
            <v>0</v>
          </cell>
          <cell r="AP244">
            <v>0</v>
          </cell>
          <cell r="AQ244">
            <v>0</v>
          </cell>
          <cell r="AR244">
            <v>600</v>
          </cell>
          <cell r="AS244">
            <v>0</v>
          </cell>
          <cell r="AT244" t="str">
            <v/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 t="str">
            <v/>
          </cell>
          <cell r="BK244">
            <v>4300</v>
          </cell>
          <cell r="BL244" t="str">
            <v/>
          </cell>
          <cell r="BM244" t="str">
            <v>1</v>
          </cell>
          <cell r="BN244" t="str">
            <v/>
          </cell>
          <cell r="BO244" t="str">
            <v/>
          </cell>
        </row>
        <row r="245">
          <cell r="A245">
            <v>1</v>
          </cell>
          <cell r="B245">
            <v>4133372</v>
          </cell>
          <cell r="C245" t="str">
            <v>ESCOMPTE</v>
          </cell>
          <cell r="D245" t="str">
            <v>N.R. NATUREL 8</v>
          </cell>
          <cell r="E245" t="str">
            <v>O</v>
          </cell>
          <cell r="F245">
            <v>0</v>
          </cell>
          <cell r="G245">
            <v>0</v>
          </cell>
          <cell r="H245">
            <v>10231</v>
          </cell>
          <cell r="I245">
            <v>11102.86</v>
          </cell>
          <cell r="J245">
            <v>871.86</v>
          </cell>
          <cell r="K245">
            <v>0</v>
          </cell>
          <cell r="L245">
            <v>897.98</v>
          </cell>
          <cell r="M245">
            <v>0</v>
          </cell>
          <cell r="N245">
            <v>0</v>
          </cell>
          <cell r="O245">
            <v>142.19</v>
          </cell>
          <cell r="P245">
            <v>213.13</v>
          </cell>
          <cell r="Q245">
            <v>320.39999999999998</v>
          </cell>
          <cell r="R245">
            <v>3431.67</v>
          </cell>
          <cell r="S245">
            <v>4251.3900000000003</v>
          </cell>
          <cell r="T245">
            <v>4836.72</v>
          </cell>
          <cell r="U245">
            <v>7016.31</v>
          </cell>
          <cell r="V245">
            <v>8625.35</v>
          </cell>
          <cell r="W245">
            <v>9179.9599999999991</v>
          </cell>
          <cell r="X245">
            <v>10231</v>
          </cell>
          <cell r="Y245">
            <v>11128.98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2</v>
          </cell>
          <cell r="AN245" t="str">
            <v/>
          </cell>
          <cell r="AO245">
            <v>0</v>
          </cell>
          <cell r="AP245">
            <v>0</v>
          </cell>
          <cell r="AQ245">
            <v>0</v>
          </cell>
          <cell r="AR245">
            <v>600</v>
          </cell>
          <cell r="AS245">
            <v>0</v>
          </cell>
          <cell r="AT245" t="str">
            <v/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20337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 t="str">
            <v/>
          </cell>
          <cell r="BK245">
            <v>4300</v>
          </cell>
          <cell r="BL245" t="str">
            <v>0</v>
          </cell>
          <cell r="BM245" t="str">
            <v>1</v>
          </cell>
          <cell r="BN245" t="str">
            <v/>
          </cell>
          <cell r="BO245" t="str">
            <v/>
          </cell>
        </row>
        <row r="246">
          <cell r="A246">
            <v>1</v>
          </cell>
          <cell r="B246">
            <v>4133382</v>
          </cell>
          <cell r="C246" t="str">
            <v>ESCOMPTE</v>
          </cell>
          <cell r="D246" t="str">
            <v>N.R. 8</v>
          </cell>
          <cell r="E246" t="str">
            <v>O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2</v>
          </cell>
          <cell r="AN246" t="str">
            <v/>
          </cell>
          <cell r="AO246">
            <v>0</v>
          </cell>
          <cell r="AP246">
            <v>0</v>
          </cell>
          <cell r="AQ246">
            <v>0</v>
          </cell>
          <cell r="AR246">
            <v>600</v>
          </cell>
          <cell r="AS246">
            <v>0</v>
          </cell>
          <cell r="AT246" t="str">
            <v/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 t="str">
            <v/>
          </cell>
          <cell r="BK246">
            <v>4300</v>
          </cell>
          <cell r="BL246" t="str">
            <v/>
          </cell>
          <cell r="BM246" t="str">
            <v>1</v>
          </cell>
          <cell r="BN246" t="str">
            <v/>
          </cell>
          <cell r="BO246" t="str">
            <v/>
          </cell>
        </row>
        <row r="247">
          <cell r="A247">
            <v>1</v>
          </cell>
          <cell r="B247">
            <v>4133392</v>
          </cell>
          <cell r="C247" t="str">
            <v>ESCOMPTE</v>
          </cell>
          <cell r="D247" t="str">
            <v>N.R. NATUREL 8</v>
          </cell>
          <cell r="E247" t="str">
            <v>O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2</v>
          </cell>
          <cell r="AN247" t="str">
            <v/>
          </cell>
          <cell r="AO247">
            <v>0</v>
          </cell>
          <cell r="AP247">
            <v>0</v>
          </cell>
          <cell r="AQ247">
            <v>0</v>
          </cell>
          <cell r="AR247">
            <v>600</v>
          </cell>
          <cell r="AS247">
            <v>0</v>
          </cell>
          <cell r="AT247" t="str">
            <v/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 t="str">
            <v/>
          </cell>
          <cell r="BK247">
            <v>4300</v>
          </cell>
          <cell r="BL247" t="str">
            <v/>
          </cell>
          <cell r="BM247" t="str">
            <v>1</v>
          </cell>
          <cell r="BN247" t="str">
            <v/>
          </cell>
          <cell r="BO247" t="str">
            <v/>
          </cell>
        </row>
        <row r="248">
          <cell r="A248">
            <v>1</v>
          </cell>
          <cell r="B248">
            <v>4133402</v>
          </cell>
          <cell r="C248" t="str">
            <v>ESCOMPTE</v>
          </cell>
          <cell r="D248" t="str">
            <v>N.R. NAT.BLANC 8</v>
          </cell>
          <cell r="E248" t="str">
            <v>O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2</v>
          </cell>
          <cell r="AN248" t="str">
            <v/>
          </cell>
          <cell r="AO248">
            <v>0</v>
          </cell>
          <cell r="AP248">
            <v>0</v>
          </cell>
          <cell r="AQ248">
            <v>0</v>
          </cell>
          <cell r="AR248">
            <v>600</v>
          </cell>
          <cell r="AS248">
            <v>0</v>
          </cell>
          <cell r="AT248" t="str">
            <v/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 t="str">
            <v/>
          </cell>
          <cell r="BK248">
            <v>4300</v>
          </cell>
          <cell r="BL248" t="str">
            <v/>
          </cell>
          <cell r="BM248" t="str">
            <v>1</v>
          </cell>
          <cell r="BN248" t="str">
            <v/>
          </cell>
          <cell r="BO248" t="str">
            <v/>
          </cell>
        </row>
        <row r="249">
          <cell r="A249">
            <v>1</v>
          </cell>
          <cell r="B249">
            <v>4133412</v>
          </cell>
          <cell r="C249" t="str">
            <v>ESCOMPTE</v>
          </cell>
          <cell r="D249" t="str">
            <v>N.R. BLANC P/S</v>
          </cell>
          <cell r="E249" t="str">
            <v>O</v>
          </cell>
          <cell r="F249">
            <v>0</v>
          </cell>
          <cell r="G249">
            <v>0</v>
          </cell>
          <cell r="H249">
            <v>2596.86</v>
          </cell>
          <cell r="I249">
            <v>2856.2</v>
          </cell>
          <cell r="J249">
            <v>259.33999999999997</v>
          </cell>
          <cell r="K249">
            <v>0</v>
          </cell>
          <cell r="L249">
            <v>348.93</v>
          </cell>
          <cell r="M249">
            <v>0</v>
          </cell>
          <cell r="N249">
            <v>0</v>
          </cell>
          <cell r="O249">
            <v>13.07</v>
          </cell>
          <cell r="P249">
            <v>52.19</v>
          </cell>
          <cell r="Q249">
            <v>63.08</v>
          </cell>
          <cell r="R249">
            <v>868.81</v>
          </cell>
          <cell r="S249">
            <v>1003.13</v>
          </cell>
          <cell r="T249">
            <v>1639.05</v>
          </cell>
          <cell r="U249">
            <v>1921.08</v>
          </cell>
          <cell r="V249">
            <v>2399.6999999999998</v>
          </cell>
          <cell r="W249">
            <v>2392.09</v>
          </cell>
          <cell r="X249">
            <v>2596.86</v>
          </cell>
          <cell r="Y249">
            <v>2945.79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2</v>
          </cell>
          <cell r="AN249" t="str">
            <v/>
          </cell>
          <cell r="AO249">
            <v>0</v>
          </cell>
          <cell r="AP249">
            <v>0</v>
          </cell>
          <cell r="AQ249">
            <v>0</v>
          </cell>
          <cell r="AR249">
            <v>600</v>
          </cell>
          <cell r="AS249">
            <v>0</v>
          </cell>
          <cell r="AT249" t="str">
            <v/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20341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 t="str">
            <v/>
          </cell>
          <cell r="BK249">
            <v>4300</v>
          </cell>
          <cell r="BL249" t="str">
            <v>0</v>
          </cell>
          <cell r="BM249" t="str">
            <v>1</v>
          </cell>
          <cell r="BN249" t="str">
            <v/>
          </cell>
          <cell r="BO249" t="str">
            <v/>
          </cell>
        </row>
        <row r="250">
          <cell r="A250">
            <v>1</v>
          </cell>
          <cell r="B250">
            <v>4133422</v>
          </cell>
          <cell r="C250" t="str">
            <v>ESCOMPTE</v>
          </cell>
          <cell r="D250" t="str">
            <v>N.R. BLANC P/M</v>
          </cell>
          <cell r="E250" t="str">
            <v>O</v>
          </cell>
          <cell r="F250">
            <v>0</v>
          </cell>
          <cell r="G250">
            <v>0</v>
          </cell>
          <cell r="H250">
            <v>19488.8</v>
          </cell>
          <cell r="I250">
            <v>21251.35</v>
          </cell>
          <cell r="J250">
            <v>1762.55</v>
          </cell>
          <cell r="K250">
            <v>0</v>
          </cell>
          <cell r="L250">
            <v>1753.69</v>
          </cell>
          <cell r="M250">
            <v>0</v>
          </cell>
          <cell r="N250">
            <v>0</v>
          </cell>
          <cell r="O250">
            <v>1285.19</v>
          </cell>
          <cell r="P250">
            <v>2019.78</v>
          </cell>
          <cell r="Q250">
            <v>2808.56</v>
          </cell>
          <cell r="R250">
            <v>6539.29</v>
          </cell>
          <cell r="S250">
            <v>8355.2900000000009</v>
          </cell>
          <cell r="T250">
            <v>10540.37</v>
          </cell>
          <cell r="U250">
            <v>13058.54</v>
          </cell>
          <cell r="V250">
            <v>16311.37</v>
          </cell>
          <cell r="W250">
            <v>17253.86</v>
          </cell>
          <cell r="X250">
            <v>19488.8</v>
          </cell>
          <cell r="Y250">
            <v>21242.49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2</v>
          </cell>
          <cell r="AN250" t="str">
            <v/>
          </cell>
          <cell r="AO250">
            <v>0</v>
          </cell>
          <cell r="AP250">
            <v>0</v>
          </cell>
          <cell r="AQ250">
            <v>0</v>
          </cell>
          <cell r="AR250">
            <v>600</v>
          </cell>
          <cell r="AS250">
            <v>0</v>
          </cell>
          <cell r="AT250" t="str">
            <v/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20342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 t="str">
            <v/>
          </cell>
          <cell r="BK250">
            <v>4300</v>
          </cell>
          <cell r="BL250" t="str">
            <v>0</v>
          </cell>
          <cell r="BM250" t="str">
            <v>1</v>
          </cell>
          <cell r="BN250" t="str">
            <v/>
          </cell>
          <cell r="BO250" t="str">
            <v/>
          </cell>
        </row>
        <row r="251">
          <cell r="A251">
            <v>1</v>
          </cell>
          <cell r="B251">
            <v>4133472</v>
          </cell>
          <cell r="C251" t="str">
            <v>ESCOMPTE</v>
          </cell>
          <cell r="D251" t="str">
            <v>N.R. BLANC PLI EN</v>
          </cell>
          <cell r="E251" t="str">
            <v>O</v>
          </cell>
          <cell r="F251">
            <v>0</v>
          </cell>
          <cell r="G251">
            <v>0</v>
          </cell>
          <cell r="H251">
            <v>33958.69</v>
          </cell>
          <cell r="I251">
            <v>36363.599999999999</v>
          </cell>
          <cell r="J251">
            <v>2404.91</v>
          </cell>
          <cell r="K251">
            <v>0</v>
          </cell>
          <cell r="L251">
            <v>2502.7399999999998</v>
          </cell>
          <cell r="M251">
            <v>0</v>
          </cell>
          <cell r="N251">
            <v>0</v>
          </cell>
          <cell r="O251">
            <v>2896.52</v>
          </cell>
          <cell r="P251">
            <v>6781.07</v>
          </cell>
          <cell r="Q251">
            <v>8116.5</v>
          </cell>
          <cell r="R251">
            <v>15072.16</v>
          </cell>
          <cell r="S251">
            <v>17515.599999999999</v>
          </cell>
          <cell r="T251">
            <v>20681.5</v>
          </cell>
          <cell r="U251">
            <v>23796.87</v>
          </cell>
          <cell r="V251">
            <v>28235.19</v>
          </cell>
          <cell r="W251">
            <v>31010.67</v>
          </cell>
          <cell r="X251">
            <v>33958.69</v>
          </cell>
          <cell r="Y251">
            <v>36461.43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2</v>
          </cell>
          <cell r="AN251" t="str">
            <v/>
          </cell>
          <cell r="AO251">
            <v>0</v>
          </cell>
          <cell r="AP251">
            <v>0</v>
          </cell>
          <cell r="AQ251">
            <v>0</v>
          </cell>
          <cell r="AR251">
            <v>600</v>
          </cell>
          <cell r="AS251">
            <v>0</v>
          </cell>
          <cell r="AT251" t="str">
            <v/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20347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 t="str">
            <v/>
          </cell>
          <cell r="BK251">
            <v>4300</v>
          </cell>
          <cell r="BL251" t="str">
            <v>0</v>
          </cell>
          <cell r="BM251" t="str">
            <v>1</v>
          </cell>
          <cell r="BN251" t="str">
            <v/>
          </cell>
          <cell r="BO251" t="str">
            <v/>
          </cell>
        </row>
        <row r="252">
          <cell r="A252">
            <v>1</v>
          </cell>
          <cell r="B252">
            <v>4133482</v>
          </cell>
          <cell r="C252" t="str">
            <v>ESCOMPTE</v>
          </cell>
          <cell r="D252" t="str">
            <v>NR 8</v>
          </cell>
          <cell r="E252" t="str">
            <v>O</v>
          </cell>
          <cell r="F252">
            <v>0</v>
          </cell>
          <cell r="G252">
            <v>0</v>
          </cell>
          <cell r="H252">
            <v>7305.98</v>
          </cell>
          <cell r="I252">
            <v>7769.51</v>
          </cell>
          <cell r="J252">
            <v>463.53</v>
          </cell>
          <cell r="K252">
            <v>0</v>
          </cell>
          <cell r="L252">
            <v>534.36</v>
          </cell>
          <cell r="M252">
            <v>0</v>
          </cell>
          <cell r="N252">
            <v>0</v>
          </cell>
          <cell r="O252">
            <v>1322.5</v>
          </cell>
          <cell r="P252">
            <v>2061.69</v>
          </cell>
          <cell r="Q252">
            <v>2384.2600000000002</v>
          </cell>
          <cell r="R252">
            <v>3164.52</v>
          </cell>
          <cell r="S252">
            <v>4002.9</v>
          </cell>
          <cell r="T252">
            <v>4923.1899999999996</v>
          </cell>
          <cell r="U252">
            <v>5358.07</v>
          </cell>
          <cell r="V252">
            <v>6213.53</v>
          </cell>
          <cell r="W252">
            <v>6538.3</v>
          </cell>
          <cell r="X252">
            <v>7305.98</v>
          </cell>
          <cell r="Y252">
            <v>7840.34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2</v>
          </cell>
          <cell r="AN252" t="str">
            <v/>
          </cell>
          <cell r="AO252">
            <v>0</v>
          </cell>
          <cell r="AP252">
            <v>0</v>
          </cell>
          <cell r="AQ252">
            <v>0</v>
          </cell>
          <cell r="AR252">
            <v>600</v>
          </cell>
          <cell r="AS252">
            <v>0</v>
          </cell>
          <cell r="AT252" t="str">
            <v/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20348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 t="str">
            <v/>
          </cell>
          <cell r="BK252">
            <v>4300</v>
          </cell>
          <cell r="BL252" t="str">
            <v>0</v>
          </cell>
          <cell r="BM252" t="str">
            <v>1</v>
          </cell>
          <cell r="BN252" t="str">
            <v/>
          </cell>
          <cell r="BO252" t="str">
            <v/>
          </cell>
        </row>
        <row r="253">
          <cell r="A253">
            <v>1</v>
          </cell>
          <cell r="B253">
            <v>4133492</v>
          </cell>
          <cell r="C253" t="str">
            <v>ESCOMPTE</v>
          </cell>
          <cell r="D253" t="str">
            <v>N.R. BLANC 8</v>
          </cell>
          <cell r="E253" t="str">
            <v>O</v>
          </cell>
          <cell r="F253">
            <v>0</v>
          </cell>
          <cell r="G253">
            <v>0</v>
          </cell>
          <cell r="H253">
            <v>9954.7900000000009</v>
          </cell>
          <cell r="I253">
            <v>11073.41</v>
          </cell>
          <cell r="J253">
            <v>1118.6199999999999</v>
          </cell>
          <cell r="K253">
            <v>0</v>
          </cell>
          <cell r="L253">
            <v>1218.48</v>
          </cell>
          <cell r="M253">
            <v>0</v>
          </cell>
          <cell r="N253">
            <v>0</v>
          </cell>
          <cell r="O253">
            <v>208.45</v>
          </cell>
          <cell r="P253">
            <v>572.57000000000005</v>
          </cell>
          <cell r="Q253">
            <v>877.19</v>
          </cell>
          <cell r="R253">
            <v>3748.36</v>
          </cell>
          <cell r="S253">
            <v>4862.78</v>
          </cell>
          <cell r="T253">
            <v>5943.67</v>
          </cell>
          <cell r="U253">
            <v>6612.21</v>
          </cell>
          <cell r="V253">
            <v>8676.65</v>
          </cell>
          <cell r="W253">
            <v>9264.14</v>
          </cell>
          <cell r="X253">
            <v>9954.7900000000009</v>
          </cell>
          <cell r="Y253">
            <v>11173.27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2</v>
          </cell>
          <cell r="AN253" t="str">
            <v/>
          </cell>
          <cell r="AO253">
            <v>0</v>
          </cell>
          <cell r="AP253">
            <v>0</v>
          </cell>
          <cell r="AQ253">
            <v>0</v>
          </cell>
          <cell r="AR253">
            <v>600</v>
          </cell>
          <cell r="AS253">
            <v>0</v>
          </cell>
          <cell r="AT253" t="str">
            <v/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20349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 t="str">
            <v/>
          </cell>
          <cell r="BK253">
            <v>4300</v>
          </cell>
          <cell r="BL253" t="str">
            <v>0</v>
          </cell>
          <cell r="BM253" t="str">
            <v>1</v>
          </cell>
          <cell r="BN253" t="str">
            <v/>
          </cell>
          <cell r="BO253" t="str">
            <v/>
          </cell>
        </row>
        <row r="254">
          <cell r="A254">
            <v>1</v>
          </cell>
          <cell r="B254">
            <v>4133502</v>
          </cell>
          <cell r="C254" t="str">
            <v>ESCOMPTE</v>
          </cell>
          <cell r="D254" t="str">
            <v>N.R. BLANC 8</v>
          </cell>
          <cell r="E254" t="str">
            <v>O</v>
          </cell>
          <cell r="F254">
            <v>0</v>
          </cell>
          <cell r="G254">
            <v>0</v>
          </cell>
          <cell r="H254">
            <v>22514.6</v>
          </cell>
          <cell r="I254">
            <v>24286.91</v>
          </cell>
          <cell r="J254">
            <v>1772.31</v>
          </cell>
          <cell r="K254">
            <v>0</v>
          </cell>
          <cell r="L254">
            <v>1641.76</v>
          </cell>
          <cell r="M254">
            <v>0</v>
          </cell>
          <cell r="N254">
            <v>0</v>
          </cell>
          <cell r="O254">
            <v>2335.17</v>
          </cell>
          <cell r="P254">
            <v>5280.02</v>
          </cell>
          <cell r="Q254">
            <v>6247.55</v>
          </cell>
          <cell r="R254">
            <v>9331.7900000000009</v>
          </cell>
          <cell r="S254">
            <v>11405.67</v>
          </cell>
          <cell r="T254">
            <v>12978.95</v>
          </cell>
          <cell r="U254">
            <v>14614.33</v>
          </cell>
          <cell r="V254">
            <v>17885.18</v>
          </cell>
          <cell r="W254">
            <v>20227.46</v>
          </cell>
          <cell r="X254">
            <v>22514.6</v>
          </cell>
          <cell r="Y254">
            <v>24156.36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2</v>
          </cell>
          <cell r="AN254" t="str">
            <v/>
          </cell>
          <cell r="AO254">
            <v>0</v>
          </cell>
          <cell r="AP254">
            <v>0</v>
          </cell>
          <cell r="AQ254">
            <v>0</v>
          </cell>
          <cell r="AR254">
            <v>600</v>
          </cell>
          <cell r="AS254">
            <v>0</v>
          </cell>
          <cell r="AT254" t="str">
            <v/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20350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 t="str">
            <v/>
          </cell>
          <cell r="BK254">
            <v>4300</v>
          </cell>
          <cell r="BL254" t="str">
            <v>0</v>
          </cell>
          <cell r="BM254" t="str">
            <v>1</v>
          </cell>
          <cell r="BN254" t="str">
            <v/>
          </cell>
          <cell r="BO254" t="str">
            <v/>
          </cell>
        </row>
        <row r="255">
          <cell r="A255">
            <v>1</v>
          </cell>
          <cell r="B255">
            <v>4133512</v>
          </cell>
          <cell r="C255" t="str">
            <v>ESCOMPTE</v>
          </cell>
          <cell r="D255" t="str">
            <v>WHITE C/FOLD</v>
          </cell>
          <cell r="E255" t="str">
            <v>O</v>
          </cell>
          <cell r="F255">
            <v>0</v>
          </cell>
          <cell r="G255">
            <v>0</v>
          </cell>
          <cell r="H255">
            <v>2324.3000000000002</v>
          </cell>
          <cell r="I255">
            <v>2324.3000000000002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1081.25</v>
          </cell>
          <cell r="S255">
            <v>1448.04</v>
          </cell>
          <cell r="T255">
            <v>1550.69</v>
          </cell>
          <cell r="U255">
            <v>2324.3000000000002</v>
          </cell>
          <cell r="V255">
            <v>2324.3000000000002</v>
          </cell>
          <cell r="W255">
            <v>2324.3000000000002</v>
          </cell>
          <cell r="X255">
            <v>2324.3000000000002</v>
          </cell>
          <cell r="Y255">
            <v>2324.3000000000002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2</v>
          </cell>
          <cell r="AN255" t="str">
            <v/>
          </cell>
          <cell r="AO255">
            <v>0</v>
          </cell>
          <cell r="AP255">
            <v>0</v>
          </cell>
          <cell r="AQ255">
            <v>0</v>
          </cell>
          <cell r="AR255">
            <v>600</v>
          </cell>
          <cell r="AS255">
            <v>0</v>
          </cell>
          <cell r="AT255" t="str">
            <v/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 t="str">
            <v/>
          </cell>
          <cell r="BK255">
            <v>4300</v>
          </cell>
          <cell r="BL255" t="str">
            <v/>
          </cell>
          <cell r="BM255" t="str">
            <v>1</v>
          </cell>
          <cell r="BN255" t="str">
            <v/>
          </cell>
          <cell r="BO255" t="str">
            <v/>
          </cell>
        </row>
        <row r="256">
          <cell r="A256">
            <v>1</v>
          </cell>
          <cell r="B256">
            <v>4134032</v>
          </cell>
          <cell r="C256" t="str">
            <v>ESCOMPTE</v>
          </cell>
          <cell r="D256" t="str">
            <v>HORIZON P/S NATUREL</v>
          </cell>
          <cell r="E256" t="str">
            <v>O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2</v>
          </cell>
          <cell r="AN256" t="str">
            <v/>
          </cell>
          <cell r="AO256">
            <v>0</v>
          </cell>
          <cell r="AP256">
            <v>0</v>
          </cell>
          <cell r="AQ256">
            <v>0</v>
          </cell>
          <cell r="AR256">
            <v>600</v>
          </cell>
          <cell r="AS256">
            <v>0</v>
          </cell>
          <cell r="AT256" t="str">
            <v/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 t="str">
            <v/>
          </cell>
          <cell r="BK256">
            <v>4300</v>
          </cell>
          <cell r="BL256" t="str">
            <v/>
          </cell>
          <cell r="BM256" t="str">
            <v>1</v>
          </cell>
          <cell r="BN256" t="str">
            <v/>
          </cell>
          <cell r="BO256" t="str">
            <v/>
          </cell>
        </row>
        <row r="257">
          <cell r="A257">
            <v>1</v>
          </cell>
          <cell r="B257">
            <v>4134052</v>
          </cell>
          <cell r="C257" t="str">
            <v>ESCOMPTE</v>
          </cell>
          <cell r="D257" t="str">
            <v>HORIZON P/S PERLE</v>
          </cell>
          <cell r="E257" t="str">
            <v>O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2</v>
          </cell>
          <cell r="AN257" t="str">
            <v/>
          </cell>
          <cell r="AO257">
            <v>0</v>
          </cell>
          <cell r="AP257">
            <v>0</v>
          </cell>
          <cell r="AQ257">
            <v>0</v>
          </cell>
          <cell r="AR257">
            <v>600</v>
          </cell>
          <cell r="AS257">
            <v>0</v>
          </cell>
          <cell r="AT257" t="str">
            <v/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 t="str">
            <v/>
          </cell>
          <cell r="BK257">
            <v>4300</v>
          </cell>
          <cell r="BL257" t="str">
            <v/>
          </cell>
          <cell r="BM257" t="str">
            <v>1</v>
          </cell>
          <cell r="BN257" t="str">
            <v/>
          </cell>
          <cell r="BO257" t="str">
            <v/>
          </cell>
        </row>
        <row r="258">
          <cell r="A258">
            <v>1</v>
          </cell>
          <cell r="B258">
            <v>4134072</v>
          </cell>
          <cell r="C258" t="str">
            <v>ESCOMPTE</v>
          </cell>
          <cell r="D258" t="str">
            <v>HORIZON P/M NATUREL</v>
          </cell>
          <cell r="E258" t="str">
            <v>O</v>
          </cell>
          <cell r="F258">
            <v>0</v>
          </cell>
          <cell r="G258">
            <v>0</v>
          </cell>
          <cell r="H258">
            <v>4793.67</v>
          </cell>
          <cell r="I258">
            <v>4942.7299999999996</v>
          </cell>
          <cell r="J258">
            <v>149.06</v>
          </cell>
          <cell r="K258">
            <v>0</v>
          </cell>
          <cell r="L258">
            <v>0</v>
          </cell>
          <cell r="M258">
            <v>849.16</v>
          </cell>
          <cell r="N258">
            <v>0</v>
          </cell>
          <cell r="O258">
            <v>465.09</v>
          </cell>
          <cell r="P258">
            <v>747.56</v>
          </cell>
          <cell r="Q258">
            <v>1406.09</v>
          </cell>
          <cell r="R258">
            <v>2835.87</v>
          </cell>
          <cell r="S258">
            <v>3292.92</v>
          </cell>
          <cell r="T258">
            <v>3847.65</v>
          </cell>
          <cell r="U258">
            <v>4499.75</v>
          </cell>
          <cell r="V258">
            <v>4522.24</v>
          </cell>
          <cell r="W258">
            <v>4930.54</v>
          </cell>
          <cell r="X258">
            <v>4793.67</v>
          </cell>
          <cell r="Y258">
            <v>3944.51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2</v>
          </cell>
          <cell r="AN258" t="str">
            <v/>
          </cell>
          <cell r="AO258">
            <v>0</v>
          </cell>
          <cell r="AP258">
            <v>0</v>
          </cell>
          <cell r="AQ258">
            <v>0</v>
          </cell>
          <cell r="AR258">
            <v>600</v>
          </cell>
          <cell r="AS258">
            <v>0</v>
          </cell>
          <cell r="AT258" t="str">
            <v/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20407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 t="str">
            <v/>
          </cell>
          <cell r="BK258">
            <v>4300</v>
          </cell>
          <cell r="BL258" t="str">
            <v>0</v>
          </cell>
          <cell r="BM258" t="str">
            <v>1</v>
          </cell>
          <cell r="BN258" t="str">
            <v/>
          </cell>
          <cell r="BO258" t="str">
            <v/>
          </cell>
        </row>
        <row r="259">
          <cell r="A259">
            <v>1</v>
          </cell>
          <cell r="B259">
            <v>4134082</v>
          </cell>
          <cell r="C259" t="str">
            <v>ESCOMPTE</v>
          </cell>
          <cell r="D259" t="str">
            <v>HORIZON P/S NATUREL</v>
          </cell>
          <cell r="E259" t="str">
            <v>O</v>
          </cell>
          <cell r="F259">
            <v>0</v>
          </cell>
          <cell r="G259">
            <v>0</v>
          </cell>
          <cell r="H259">
            <v>4401.03</v>
          </cell>
          <cell r="I259">
            <v>4728.3900000000003</v>
          </cell>
          <cell r="J259">
            <v>327.36</v>
          </cell>
          <cell r="K259">
            <v>0</v>
          </cell>
          <cell r="L259">
            <v>0</v>
          </cell>
          <cell r="M259">
            <v>209.73</v>
          </cell>
          <cell r="N259">
            <v>0</v>
          </cell>
          <cell r="O259">
            <v>297.62</v>
          </cell>
          <cell r="P259">
            <v>645.16</v>
          </cell>
          <cell r="Q259">
            <v>1687.48</v>
          </cell>
          <cell r="R259">
            <v>2847.27</v>
          </cell>
          <cell r="S259">
            <v>4286.3100000000004</v>
          </cell>
          <cell r="T259">
            <v>4628.8</v>
          </cell>
          <cell r="U259">
            <v>4728.3900000000003</v>
          </cell>
          <cell r="V259">
            <v>4645.42</v>
          </cell>
          <cell r="W259">
            <v>4533.6000000000004</v>
          </cell>
          <cell r="X259">
            <v>4401.03</v>
          </cell>
          <cell r="Y259">
            <v>4191.3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2</v>
          </cell>
          <cell r="AN259" t="str">
            <v/>
          </cell>
          <cell r="AO259">
            <v>0</v>
          </cell>
          <cell r="AP259">
            <v>0</v>
          </cell>
          <cell r="AQ259">
            <v>0</v>
          </cell>
          <cell r="AR259">
            <v>600</v>
          </cell>
          <cell r="AS259">
            <v>0</v>
          </cell>
          <cell r="AT259" t="str">
            <v/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20408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 t="str">
            <v/>
          </cell>
          <cell r="BK259">
            <v>4300</v>
          </cell>
          <cell r="BL259" t="str">
            <v>0</v>
          </cell>
          <cell r="BM259" t="str">
            <v>1</v>
          </cell>
          <cell r="BN259" t="str">
            <v/>
          </cell>
          <cell r="BO259" t="str">
            <v/>
          </cell>
        </row>
        <row r="260">
          <cell r="A260">
            <v>1</v>
          </cell>
          <cell r="B260">
            <v>4134092</v>
          </cell>
          <cell r="C260" t="str">
            <v>ESCOMPTE</v>
          </cell>
          <cell r="D260" t="str">
            <v>HORIZON P/M PERLE</v>
          </cell>
          <cell r="E260" t="str">
            <v>O</v>
          </cell>
          <cell r="F260">
            <v>0</v>
          </cell>
          <cell r="G260">
            <v>0</v>
          </cell>
          <cell r="H260">
            <v>5232.29</v>
          </cell>
          <cell r="I260">
            <v>5246.36</v>
          </cell>
          <cell r="J260">
            <v>14.07</v>
          </cell>
          <cell r="K260">
            <v>0</v>
          </cell>
          <cell r="L260">
            <v>0</v>
          </cell>
          <cell r="M260">
            <v>808.52</v>
          </cell>
          <cell r="N260">
            <v>0</v>
          </cell>
          <cell r="O260">
            <v>422.81</v>
          </cell>
          <cell r="P260">
            <v>1141.24</v>
          </cell>
          <cell r="Q260">
            <v>1861.78</v>
          </cell>
          <cell r="R260">
            <v>3090.18</v>
          </cell>
          <cell r="S260">
            <v>3594.43</v>
          </cell>
          <cell r="T260">
            <v>4189.76</v>
          </cell>
          <cell r="U260">
            <v>4552.9399999999996</v>
          </cell>
          <cell r="V260">
            <v>4538.87</v>
          </cell>
          <cell r="W260">
            <v>4892.92</v>
          </cell>
          <cell r="X260">
            <v>5232.29</v>
          </cell>
          <cell r="Y260">
            <v>4423.7700000000004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2</v>
          </cell>
          <cell r="AN260" t="str">
            <v/>
          </cell>
          <cell r="AO260">
            <v>0</v>
          </cell>
          <cell r="AP260">
            <v>0</v>
          </cell>
          <cell r="AQ260">
            <v>0</v>
          </cell>
          <cell r="AR260">
            <v>600</v>
          </cell>
          <cell r="AS260">
            <v>0</v>
          </cell>
          <cell r="AT260" t="str">
            <v/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20409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 t="str">
            <v/>
          </cell>
          <cell r="BK260">
            <v>4300</v>
          </cell>
          <cell r="BL260" t="str">
            <v>0</v>
          </cell>
          <cell r="BM260" t="str">
            <v>1</v>
          </cell>
          <cell r="BN260" t="str">
            <v/>
          </cell>
          <cell r="BO260" t="str">
            <v/>
          </cell>
        </row>
        <row r="261">
          <cell r="A261">
            <v>1</v>
          </cell>
          <cell r="B261">
            <v>4134112</v>
          </cell>
          <cell r="C261" t="str">
            <v>ESCOMPTE</v>
          </cell>
          <cell r="D261" t="str">
            <v>HORIZON 8</v>
          </cell>
          <cell r="E261" t="str">
            <v>O</v>
          </cell>
          <cell r="F261">
            <v>0</v>
          </cell>
          <cell r="G261">
            <v>0</v>
          </cell>
          <cell r="H261">
            <v>2857.54</v>
          </cell>
          <cell r="I261">
            <v>2965.21</v>
          </cell>
          <cell r="J261">
            <v>107.67</v>
          </cell>
          <cell r="K261">
            <v>0</v>
          </cell>
          <cell r="L261">
            <v>0</v>
          </cell>
          <cell r="M261">
            <v>111.85</v>
          </cell>
          <cell r="N261">
            <v>0</v>
          </cell>
          <cell r="O261">
            <v>356.02</v>
          </cell>
          <cell r="P261">
            <v>524.5</v>
          </cell>
          <cell r="Q261">
            <v>1002.12</v>
          </cell>
          <cell r="R261">
            <v>1866</v>
          </cell>
          <cell r="S261">
            <v>2328.8000000000002</v>
          </cell>
          <cell r="T261">
            <v>2641.51</v>
          </cell>
          <cell r="U261">
            <v>2965.21</v>
          </cell>
          <cell r="V261">
            <v>2934.36</v>
          </cell>
          <cell r="W261">
            <v>2915.72</v>
          </cell>
          <cell r="X261">
            <v>2857.54</v>
          </cell>
          <cell r="Y261">
            <v>2745.69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2</v>
          </cell>
          <cell r="AN261" t="str">
            <v/>
          </cell>
          <cell r="AO261">
            <v>0</v>
          </cell>
          <cell r="AP261">
            <v>0</v>
          </cell>
          <cell r="AQ261">
            <v>0</v>
          </cell>
          <cell r="AR261">
            <v>600</v>
          </cell>
          <cell r="AS261">
            <v>0</v>
          </cell>
          <cell r="AT261" t="str">
            <v/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20411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 t="str">
            <v/>
          </cell>
          <cell r="BK261">
            <v>4300</v>
          </cell>
          <cell r="BL261" t="str">
            <v>0</v>
          </cell>
          <cell r="BM261" t="str">
            <v>1</v>
          </cell>
          <cell r="BN261" t="str">
            <v/>
          </cell>
          <cell r="BO261" t="str">
            <v/>
          </cell>
        </row>
        <row r="262">
          <cell r="A262">
            <v>1</v>
          </cell>
          <cell r="B262">
            <v>4134122</v>
          </cell>
          <cell r="C262" t="str">
            <v>ESCOMPTE</v>
          </cell>
          <cell r="D262" t="str">
            <v>HORIZON P/S PERLE</v>
          </cell>
          <cell r="E262" t="str">
            <v>O</v>
          </cell>
          <cell r="F262">
            <v>0</v>
          </cell>
          <cell r="G262">
            <v>0</v>
          </cell>
          <cell r="H262">
            <v>16784.419999999998</v>
          </cell>
          <cell r="I262">
            <v>17181.330000000002</v>
          </cell>
          <cell r="J262">
            <v>396.91</v>
          </cell>
          <cell r="K262">
            <v>0</v>
          </cell>
          <cell r="L262">
            <v>0</v>
          </cell>
          <cell r="M262">
            <v>654.34</v>
          </cell>
          <cell r="N262">
            <v>0</v>
          </cell>
          <cell r="O262">
            <v>860.39</v>
          </cell>
          <cell r="P262">
            <v>1946.96</v>
          </cell>
          <cell r="Q262">
            <v>4284.2</v>
          </cell>
          <cell r="R262">
            <v>8831.91</v>
          </cell>
          <cell r="S262">
            <v>10815.62</v>
          </cell>
          <cell r="T262">
            <v>12680.46</v>
          </cell>
          <cell r="U262">
            <v>14771</v>
          </cell>
          <cell r="V262">
            <v>15204.97</v>
          </cell>
          <cell r="W262">
            <v>16856.12</v>
          </cell>
          <cell r="X262">
            <v>16784.419999999998</v>
          </cell>
          <cell r="Y262">
            <v>16130.08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2</v>
          </cell>
          <cell r="AN262" t="str">
            <v/>
          </cell>
          <cell r="AO262">
            <v>0</v>
          </cell>
          <cell r="AP262">
            <v>0</v>
          </cell>
          <cell r="AQ262">
            <v>0</v>
          </cell>
          <cell r="AR262">
            <v>600</v>
          </cell>
          <cell r="AS262">
            <v>0</v>
          </cell>
          <cell r="AT262" t="str">
            <v/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20412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 t="str">
            <v/>
          </cell>
          <cell r="BK262">
            <v>4300</v>
          </cell>
          <cell r="BL262" t="str">
            <v>0</v>
          </cell>
          <cell r="BM262" t="str">
            <v>1</v>
          </cell>
          <cell r="BN262" t="str">
            <v/>
          </cell>
          <cell r="BO262" t="str">
            <v/>
          </cell>
        </row>
        <row r="263">
          <cell r="A263">
            <v>1</v>
          </cell>
          <cell r="B263">
            <v>4134132</v>
          </cell>
          <cell r="C263" t="str">
            <v>ESCOMPTE</v>
          </cell>
          <cell r="D263" t="str">
            <v>HORIZON 8</v>
          </cell>
          <cell r="E263" t="str">
            <v>O</v>
          </cell>
          <cell r="F263">
            <v>0</v>
          </cell>
          <cell r="G263">
            <v>0</v>
          </cell>
          <cell r="H263">
            <v>15233.45</v>
          </cell>
          <cell r="I263">
            <v>15315.71</v>
          </cell>
          <cell r="J263">
            <v>82.26</v>
          </cell>
          <cell r="K263">
            <v>0</v>
          </cell>
          <cell r="L263">
            <v>1167.6199999999999</v>
          </cell>
          <cell r="M263">
            <v>0</v>
          </cell>
          <cell r="N263">
            <v>0</v>
          </cell>
          <cell r="O263">
            <v>1104.77</v>
          </cell>
          <cell r="P263">
            <v>3357.68</v>
          </cell>
          <cell r="Q263">
            <v>5922.57</v>
          </cell>
          <cell r="R263">
            <v>8649.4500000000007</v>
          </cell>
          <cell r="S263">
            <v>10560.01</v>
          </cell>
          <cell r="T263">
            <v>11809.54</v>
          </cell>
          <cell r="U263">
            <v>12687.03</v>
          </cell>
          <cell r="V263">
            <v>12838.84</v>
          </cell>
          <cell r="W263">
            <v>14394.46</v>
          </cell>
          <cell r="X263">
            <v>15233.45</v>
          </cell>
          <cell r="Y263">
            <v>16401.07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2</v>
          </cell>
          <cell r="AN263" t="str">
            <v/>
          </cell>
          <cell r="AO263">
            <v>0</v>
          </cell>
          <cell r="AP263">
            <v>0</v>
          </cell>
          <cell r="AQ263">
            <v>0</v>
          </cell>
          <cell r="AR263">
            <v>600</v>
          </cell>
          <cell r="AS263">
            <v>0</v>
          </cell>
          <cell r="AT263" t="str">
            <v/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20413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 t="str">
            <v/>
          </cell>
          <cell r="BK263">
            <v>4300</v>
          </cell>
          <cell r="BL263" t="str">
            <v>0</v>
          </cell>
          <cell r="BM263" t="str">
            <v>1</v>
          </cell>
          <cell r="BN263" t="str">
            <v/>
          </cell>
          <cell r="BO263" t="str">
            <v/>
          </cell>
        </row>
        <row r="264">
          <cell r="A264">
            <v>1</v>
          </cell>
          <cell r="B264">
            <v>4134152</v>
          </cell>
          <cell r="C264" t="str">
            <v>ESCOMPTE</v>
          </cell>
          <cell r="D264" t="str">
            <v>HORIZON 8</v>
          </cell>
          <cell r="E264" t="str">
            <v>O</v>
          </cell>
          <cell r="F264">
            <v>0</v>
          </cell>
          <cell r="G264">
            <v>0</v>
          </cell>
          <cell r="H264">
            <v>2531.9</v>
          </cell>
          <cell r="I264">
            <v>2574.0500000000002</v>
          </cell>
          <cell r="J264">
            <v>42.15</v>
          </cell>
          <cell r="K264">
            <v>0</v>
          </cell>
          <cell r="L264">
            <v>0</v>
          </cell>
          <cell r="M264">
            <v>81.319999999999993</v>
          </cell>
          <cell r="N264">
            <v>0</v>
          </cell>
          <cell r="O264">
            <v>223.01</v>
          </cell>
          <cell r="P264">
            <v>407.35</v>
          </cell>
          <cell r="Q264">
            <v>952.51</v>
          </cell>
          <cell r="R264">
            <v>1579.45</v>
          </cell>
          <cell r="S264">
            <v>1957.74</v>
          </cell>
          <cell r="T264">
            <v>2574.0500000000002</v>
          </cell>
          <cell r="U264">
            <v>2573.06</v>
          </cell>
          <cell r="V264">
            <v>2573.06</v>
          </cell>
          <cell r="W264">
            <v>2563.19</v>
          </cell>
          <cell r="X264">
            <v>2531.9</v>
          </cell>
          <cell r="Y264">
            <v>2450.58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2</v>
          </cell>
          <cell r="AN264" t="str">
            <v/>
          </cell>
          <cell r="AO264">
            <v>0</v>
          </cell>
          <cell r="AP264">
            <v>0</v>
          </cell>
          <cell r="AQ264">
            <v>0</v>
          </cell>
          <cell r="AR264">
            <v>600</v>
          </cell>
          <cell r="AS264">
            <v>0</v>
          </cell>
          <cell r="AT264" t="str">
            <v/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20415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 t="str">
            <v/>
          </cell>
          <cell r="BK264">
            <v>4300</v>
          </cell>
          <cell r="BL264" t="str">
            <v>0</v>
          </cell>
          <cell r="BM264" t="str">
            <v>1</v>
          </cell>
          <cell r="BN264" t="str">
            <v/>
          </cell>
          <cell r="BO264" t="str">
            <v/>
          </cell>
        </row>
        <row r="265">
          <cell r="A265">
            <v>1</v>
          </cell>
          <cell r="B265">
            <v>4134172</v>
          </cell>
          <cell r="C265" t="str">
            <v>ESCOMPTE</v>
          </cell>
          <cell r="D265" t="str">
            <v>HORIZON 8</v>
          </cell>
          <cell r="E265" t="str">
            <v>O</v>
          </cell>
          <cell r="F265">
            <v>0</v>
          </cell>
          <cell r="G265">
            <v>0</v>
          </cell>
          <cell r="H265">
            <v>1573.09</v>
          </cell>
          <cell r="I265">
            <v>1578.24</v>
          </cell>
          <cell r="J265">
            <v>5.15</v>
          </cell>
          <cell r="K265">
            <v>0</v>
          </cell>
          <cell r="L265">
            <v>165.71</v>
          </cell>
          <cell r="M265">
            <v>0</v>
          </cell>
          <cell r="N265">
            <v>0</v>
          </cell>
          <cell r="O265">
            <v>5.28</v>
          </cell>
          <cell r="P265">
            <v>226.98</v>
          </cell>
          <cell r="Q265">
            <v>372.91</v>
          </cell>
          <cell r="R265">
            <v>755.94</v>
          </cell>
          <cell r="S265">
            <v>802.52</v>
          </cell>
          <cell r="T265">
            <v>1046.68</v>
          </cell>
          <cell r="U265">
            <v>1207.9000000000001</v>
          </cell>
          <cell r="V265">
            <v>1202.75</v>
          </cell>
          <cell r="W265">
            <v>1376.43</v>
          </cell>
          <cell r="X265">
            <v>1573.09</v>
          </cell>
          <cell r="Y265">
            <v>1738.8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2</v>
          </cell>
          <cell r="AN265" t="str">
            <v/>
          </cell>
          <cell r="AO265">
            <v>0</v>
          </cell>
          <cell r="AP265">
            <v>0</v>
          </cell>
          <cell r="AQ265">
            <v>0</v>
          </cell>
          <cell r="AR265">
            <v>600</v>
          </cell>
          <cell r="AS265">
            <v>0</v>
          </cell>
          <cell r="AT265" t="str">
            <v/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20417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 t="str">
            <v/>
          </cell>
          <cell r="BK265">
            <v>4300</v>
          </cell>
          <cell r="BL265" t="str">
            <v>0</v>
          </cell>
          <cell r="BM265" t="str">
            <v>1</v>
          </cell>
          <cell r="BN265" t="str">
            <v/>
          </cell>
          <cell r="BO265" t="str">
            <v/>
          </cell>
        </row>
        <row r="266">
          <cell r="A266">
            <v>1</v>
          </cell>
          <cell r="B266">
            <v>4134182</v>
          </cell>
          <cell r="C266" t="str">
            <v>ESCOMPTE</v>
          </cell>
          <cell r="D266" t="str">
            <v>CASCADES PRIME #1 8</v>
          </cell>
          <cell r="E266" t="str">
            <v>O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2</v>
          </cell>
          <cell r="AN266" t="str">
            <v/>
          </cell>
          <cell r="AO266">
            <v>0</v>
          </cell>
          <cell r="AP266">
            <v>0</v>
          </cell>
          <cell r="AQ266">
            <v>0</v>
          </cell>
          <cell r="AR266">
            <v>600</v>
          </cell>
          <cell r="AS266">
            <v>0</v>
          </cell>
          <cell r="AT266" t="str">
            <v/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 t="str">
            <v/>
          </cell>
          <cell r="BK266">
            <v>4300</v>
          </cell>
          <cell r="BL266" t="str">
            <v/>
          </cell>
          <cell r="BM266" t="str">
            <v>1</v>
          </cell>
          <cell r="BN266" t="str">
            <v/>
          </cell>
          <cell r="BO266" t="str">
            <v/>
          </cell>
        </row>
        <row r="267">
          <cell r="A267">
            <v>1</v>
          </cell>
          <cell r="B267">
            <v>4134202</v>
          </cell>
          <cell r="C267" t="str">
            <v>ESCOMPTE</v>
          </cell>
          <cell r="D267" t="str">
            <v>PERKINS 8</v>
          </cell>
          <cell r="E267" t="str">
            <v>O</v>
          </cell>
          <cell r="F267">
            <v>0</v>
          </cell>
          <cell r="G267">
            <v>0</v>
          </cell>
          <cell r="H267">
            <v>43090.65</v>
          </cell>
          <cell r="I267">
            <v>45648.54</v>
          </cell>
          <cell r="J267">
            <v>2557.89</v>
          </cell>
          <cell r="K267">
            <v>0</v>
          </cell>
          <cell r="L267">
            <v>4476.87</v>
          </cell>
          <cell r="M267">
            <v>0</v>
          </cell>
          <cell r="N267">
            <v>0</v>
          </cell>
          <cell r="O267">
            <v>2360.9</v>
          </cell>
          <cell r="P267">
            <v>4476.3100000000004</v>
          </cell>
          <cell r="Q267">
            <v>7756.01</v>
          </cell>
          <cell r="R267">
            <v>15884.67</v>
          </cell>
          <cell r="S267">
            <v>20162.8</v>
          </cell>
          <cell r="T267">
            <v>26024.98</v>
          </cell>
          <cell r="U267">
            <v>30228.86</v>
          </cell>
          <cell r="V267">
            <v>34949.51</v>
          </cell>
          <cell r="W267">
            <v>38718.99</v>
          </cell>
          <cell r="X267">
            <v>43090.65</v>
          </cell>
          <cell r="Y267">
            <v>47567.519999999997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2</v>
          </cell>
          <cell r="AN267" t="str">
            <v/>
          </cell>
          <cell r="AO267">
            <v>0</v>
          </cell>
          <cell r="AP267">
            <v>0</v>
          </cell>
          <cell r="AQ267">
            <v>0</v>
          </cell>
          <cell r="AR267">
            <v>600</v>
          </cell>
          <cell r="AS267">
            <v>0</v>
          </cell>
          <cell r="AT267" t="str">
            <v/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20420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 t="str">
            <v/>
          </cell>
          <cell r="BK267">
            <v>4300</v>
          </cell>
          <cell r="BL267" t="str">
            <v>0</v>
          </cell>
          <cell r="BM267" t="str">
            <v>1</v>
          </cell>
          <cell r="BN267" t="str">
            <v/>
          </cell>
          <cell r="BO267" t="str">
            <v/>
          </cell>
        </row>
        <row r="268">
          <cell r="A268">
            <v>1</v>
          </cell>
          <cell r="B268">
            <v>4134222</v>
          </cell>
          <cell r="C268" t="str">
            <v>ESCOMPTE</v>
          </cell>
          <cell r="D268" t="str">
            <v>PERKINS 8</v>
          </cell>
          <cell r="E268" t="str">
            <v>O</v>
          </cell>
          <cell r="F268">
            <v>0</v>
          </cell>
          <cell r="G268">
            <v>0</v>
          </cell>
          <cell r="H268">
            <v>5447.88</v>
          </cell>
          <cell r="I268">
            <v>5765.82</v>
          </cell>
          <cell r="J268">
            <v>317.94</v>
          </cell>
          <cell r="K268">
            <v>0</v>
          </cell>
          <cell r="L268">
            <v>549.66999999999996</v>
          </cell>
          <cell r="M268">
            <v>0</v>
          </cell>
          <cell r="N268">
            <v>0</v>
          </cell>
          <cell r="O268">
            <v>109.67</v>
          </cell>
          <cell r="P268">
            <v>542.9</v>
          </cell>
          <cell r="Q268">
            <v>1221.52</v>
          </cell>
          <cell r="R268">
            <v>1835.85</v>
          </cell>
          <cell r="S268">
            <v>2731.27</v>
          </cell>
          <cell r="T268">
            <v>3216.67</v>
          </cell>
          <cell r="U268">
            <v>3665.7</v>
          </cell>
          <cell r="V268">
            <v>4252.47</v>
          </cell>
          <cell r="W268">
            <v>4892.78</v>
          </cell>
          <cell r="X268">
            <v>5447.88</v>
          </cell>
          <cell r="Y268">
            <v>5997.55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2</v>
          </cell>
          <cell r="AN268" t="str">
            <v/>
          </cell>
          <cell r="AO268">
            <v>0</v>
          </cell>
          <cell r="AP268">
            <v>0</v>
          </cell>
          <cell r="AQ268">
            <v>0</v>
          </cell>
          <cell r="AR268">
            <v>600</v>
          </cell>
          <cell r="AS268">
            <v>0</v>
          </cell>
          <cell r="AT268" t="str">
            <v/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20422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 t="str">
            <v/>
          </cell>
          <cell r="BK268">
            <v>4300</v>
          </cell>
          <cell r="BL268" t="str">
            <v>0</v>
          </cell>
          <cell r="BM268" t="str">
            <v>1</v>
          </cell>
          <cell r="BN268" t="str">
            <v/>
          </cell>
          <cell r="BO268" t="str">
            <v/>
          </cell>
        </row>
        <row r="269">
          <cell r="A269">
            <v>1</v>
          </cell>
          <cell r="B269">
            <v>4134232</v>
          </cell>
          <cell r="C269" t="str">
            <v>ESCOMPTE</v>
          </cell>
          <cell r="D269" t="str">
            <v>HORIZON 10</v>
          </cell>
          <cell r="E269" t="str">
            <v>O</v>
          </cell>
          <cell r="F269">
            <v>0</v>
          </cell>
          <cell r="G269">
            <v>0</v>
          </cell>
          <cell r="H269">
            <v>1190.3</v>
          </cell>
          <cell r="I269">
            <v>1228.72</v>
          </cell>
          <cell r="J269">
            <v>38.42</v>
          </cell>
          <cell r="K269">
            <v>0</v>
          </cell>
          <cell r="L269">
            <v>0</v>
          </cell>
          <cell r="M269">
            <v>49.13</v>
          </cell>
          <cell r="N269">
            <v>0</v>
          </cell>
          <cell r="O269">
            <v>82.02</v>
          </cell>
          <cell r="P269">
            <v>422.08</v>
          </cell>
          <cell r="Q269">
            <v>649.24</v>
          </cell>
          <cell r="R269">
            <v>1088.25</v>
          </cell>
          <cell r="S269">
            <v>1171.3599999999999</v>
          </cell>
          <cell r="T269">
            <v>1226.69</v>
          </cell>
          <cell r="U269">
            <v>1225.98</v>
          </cell>
          <cell r="V269">
            <v>1225.8599999999999</v>
          </cell>
          <cell r="W269">
            <v>1209.82</v>
          </cell>
          <cell r="X269">
            <v>1190.3</v>
          </cell>
          <cell r="Y269">
            <v>1141.17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2</v>
          </cell>
          <cell r="AN269" t="str">
            <v/>
          </cell>
          <cell r="AO269">
            <v>0</v>
          </cell>
          <cell r="AP269">
            <v>0</v>
          </cell>
          <cell r="AQ269">
            <v>0</v>
          </cell>
          <cell r="AR269">
            <v>600</v>
          </cell>
          <cell r="AS269">
            <v>0</v>
          </cell>
          <cell r="AT269" t="str">
            <v/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20423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 t="str">
            <v/>
          </cell>
          <cell r="BK269">
            <v>4300</v>
          </cell>
          <cell r="BL269" t="str">
            <v>0</v>
          </cell>
          <cell r="BM269" t="str">
            <v>1</v>
          </cell>
          <cell r="BN269" t="str">
            <v/>
          </cell>
          <cell r="BO269" t="str">
            <v/>
          </cell>
        </row>
        <row r="270">
          <cell r="A270">
            <v>1</v>
          </cell>
          <cell r="B270">
            <v>4134252</v>
          </cell>
          <cell r="C270" t="str">
            <v>ESCOMPTE</v>
          </cell>
          <cell r="D270" t="str">
            <v>HORIZON 10</v>
          </cell>
          <cell r="E270" t="str">
            <v>O</v>
          </cell>
          <cell r="F270">
            <v>0</v>
          </cell>
          <cell r="G270">
            <v>0</v>
          </cell>
          <cell r="H270">
            <v>18306.349999999999</v>
          </cell>
          <cell r="I270">
            <v>18985.21</v>
          </cell>
          <cell r="J270">
            <v>678.86</v>
          </cell>
          <cell r="K270">
            <v>0</v>
          </cell>
          <cell r="L270">
            <v>993.94</v>
          </cell>
          <cell r="M270">
            <v>0</v>
          </cell>
          <cell r="N270">
            <v>0</v>
          </cell>
          <cell r="O270">
            <v>586.19000000000005</v>
          </cell>
          <cell r="P270">
            <v>1441.08</v>
          </cell>
          <cell r="Q270">
            <v>3165.33</v>
          </cell>
          <cell r="R270">
            <v>7130</v>
          </cell>
          <cell r="S270">
            <v>9202.42</v>
          </cell>
          <cell r="T270">
            <v>11350.06</v>
          </cell>
          <cell r="U270">
            <v>13384.06</v>
          </cell>
          <cell r="V270">
            <v>14636.92</v>
          </cell>
          <cell r="W270">
            <v>17351.400000000001</v>
          </cell>
          <cell r="X270">
            <v>18306.349999999999</v>
          </cell>
          <cell r="Y270">
            <v>19300.29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2</v>
          </cell>
          <cell r="AN270" t="str">
            <v/>
          </cell>
          <cell r="AO270">
            <v>0</v>
          </cell>
          <cell r="AP270">
            <v>0</v>
          </cell>
          <cell r="AQ270">
            <v>0</v>
          </cell>
          <cell r="AR270">
            <v>600</v>
          </cell>
          <cell r="AS270">
            <v>0</v>
          </cell>
          <cell r="AT270" t="str">
            <v/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20425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 t="str">
            <v/>
          </cell>
          <cell r="BK270">
            <v>4300</v>
          </cell>
          <cell r="BL270" t="str">
            <v>0</v>
          </cell>
          <cell r="BM270" t="str">
            <v>1</v>
          </cell>
          <cell r="BN270" t="str">
            <v/>
          </cell>
          <cell r="BO270" t="str">
            <v/>
          </cell>
        </row>
        <row r="271">
          <cell r="A271">
            <v>1</v>
          </cell>
          <cell r="B271">
            <v>4135492</v>
          </cell>
          <cell r="C271" t="str">
            <v>ESCOMPTE</v>
          </cell>
          <cell r="D271" t="str">
            <v>B27 PROTEC 2</v>
          </cell>
          <cell r="E271" t="str">
            <v>O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2</v>
          </cell>
          <cell r="AN271" t="str">
            <v/>
          </cell>
          <cell r="AO271">
            <v>0</v>
          </cell>
          <cell r="AP271">
            <v>0</v>
          </cell>
          <cell r="AQ271">
            <v>0</v>
          </cell>
          <cell r="AR271">
            <v>600</v>
          </cell>
          <cell r="AS271">
            <v>0</v>
          </cell>
          <cell r="AT271" t="str">
            <v/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 t="str">
            <v/>
          </cell>
          <cell r="BK271">
            <v>4300</v>
          </cell>
          <cell r="BL271" t="str">
            <v/>
          </cell>
          <cell r="BM271" t="str">
            <v>1</v>
          </cell>
          <cell r="BN271" t="str">
            <v/>
          </cell>
          <cell r="BO271" t="str">
            <v/>
          </cell>
        </row>
        <row r="272">
          <cell r="A272">
            <v>1</v>
          </cell>
          <cell r="B272">
            <v>4135502</v>
          </cell>
          <cell r="C272" t="str">
            <v>ESCOMPTE</v>
          </cell>
          <cell r="D272" t="str">
            <v>ECONO NATUREL P/S 4M</v>
          </cell>
          <cell r="E272" t="str">
            <v>O</v>
          </cell>
          <cell r="F272">
            <v>0</v>
          </cell>
          <cell r="G272">
            <v>0</v>
          </cell>
          <cell r="H272">
            <v>322325.89</v>
          </cell>
          <cell r="I272">
            <v>337099.04</v>
          </cell>
          <cell r="J272">
            <v>14773.15</v>
          </cell>
          <cell r="K272">
            <v>0</v>
          </cell>
          <cell r="L272">
            <v>35936.839999999997</v>
          </cell>
          <cell r="M272">
            <v>0</v>
          </cell>
          <cell r="N272">
            <v>0</v>
          </cell>
          <cell r="O272">
            <v>13007.02</v>
          </cell>
          <cell r="P272">
            <v>36625.660000000003</v>
          </cell>
          <cell r="Q272">
            <v>62534.63</v>
          </cell>
          <cell r="R272">
            <v>129438.59</v>
          </cell>
          <cell r="S272">
            <v>162626.94</v>
          </cell>
          <cell r="T272">
            <v>194461.75</v>
          </cell>
          <cell r="U272">
            <v>226659.88</v>
          </cell>
          <cell r="V272">
            <v>253877.5</v>
          </cell>
          <cell r="W272">
            <v>284116.71000000002</v>
          </cell>
          <cell r="X272">
            <v>322325.89</v>
          </cell>
          <cell r="Y272">
            <v>358262.73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2</v>
          </cell>
          <cell r="AN272" t="str">
            <v/>
          </cell>
          <cell r="AO272">
            <v>0</v>
          </cell>
          <cell r="AP272">
            <v>0</v>
          </cell>
          <cell r="AQ272">
            <v>0</v>
          </cell>
          <cell r="AR272">
            <v>600</v>
          </cell>
          <cell r="AS272">
            <v>0</v>
          </cell>
          <cell r="AT272" t="str">
            <v/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20750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 t="str">
            <v/>
          </cell>
          <cell r="BK272">
            <v>4300</v>
          </cell>
          <cell r="BL272" t="str">
            <v>0</v>
          </cell>
          <cell r="BM272" t="str">
            <v>1</v>
          </cell>
          <cell r="BN272" t="str">
            <v/>
          </cell>
          <cell r="BO272" t="str">
            <v/>
          </cell>
        </row>
        <row r="273">
          <cell r="A273">
            <v>1</v>
          </cell>
          <cell r="B273">
            <v>4135512</v>
          </cell>
          <cell r="C273" t="str">
            <v>ESCOMPTE</v>
          </cell>
          <cell r="D273" t="str">
            <v>ECONO P/M NATUREL 4M</v>
          </cell>
          <cell r="E273" t="str">
            <v>O</v>
          </cell>
          <cell r="F273">
            <v>0</v>
          </cell>
          <cell r="G273">
            <v>0</v>
          </cell>
          <cell r="H273">
            <v>211250.32</v>
          </cell>
          <cell r="I273">
            <v>226193.62</v>
          </cell>
          <cell r="J273">
            <v>14943.3</v>
          </cell>
          <cell r="K273">
            <v>0</v>
          </cell>
          <cell r="L273">
            <v>24157.93</v>
          </cell>
          <cell r="M273">
            <v>0</v>
          </cell>
          <cell r="N273">
            <v>0</v>
          </cell>
          <cell r="O273">
            <v>7394.7</v>
          </cell>
          <cell r="P273">
            <v>18151.169999999998</v>
          </cell>
          <cell r="Q273">
            <v>31236.87</v>
          </cell>
          <cell r="R273">
            <v>76173.42</v>
          </cell>
          <cell r="S273">
            <v>96493.43</v>
          </cell>
          <cell r="T273">
            <v>121361.37</v>
          </cell>
          <cell r="U273">
            <v>145632.73000000001</v>
          </cell>
          <cell r="V273">
            <v>173079.83</v>
          </cell>
          <cell r="W273">
            <v>188200.95999999999</v>
          </cell>
          <cell r="X273">
            <v>211250.32</v>
          </cell>
          <cell r="Y273">
            <v>235408.25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2</v>
          </cell>
          <cell r="AN273" t="str">
            <v/>
          </cell>
          <cell r="AO273">
            <v>0</v>
          </cell>
          <cell r="AP273">
            <v>0</v>
          </cell>
          <cell r="AQ273">
            <v>0</v>
          </cell>
          <cell r="AR273">
            <v>600</v>
          </cell>
          <cell r="AS273">
            <v>0</v>
          </cell>
          <cell r="AT273" t="str">
            <v/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20751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 t="str">
            <v/>
          </cell>
          <cell r="BK273">
            <v>4300</v>
          </cell>
          <cell r="BL273" t="str">
            <v>0</v>
          </cell>
          <cell r="BM273" t="str">
            <v>1</v>
          </cell>
          <cell r="BN273" t="str">
            <v/>
          </cell>
          <cell r="BO273" t="str">
            <v/>
          </cell>
        </row>
        <row r="274">
          <cell r="A274">
            <v>1</v>
          </cell>
          <cell r="B274">
            <v>4135522</v>
          </cell>
          <cell r="C274" t="str">
            <v>ESCOMPTE</v>
          </cell>
          <cell r="D274" t="str">
            <v>ECONO P/S NATUREL</v>
          </cell>
          <cell r="E274" t="str">
            <v>O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2</v>
          </cell>
          <cell r="AN274" t="str">
            <v/>
          </cell>
          <cell r="AO274">
            <v>0</v>
          </cell>
          <cell r="AP274">
            <v>0</v>
          </cell>
          <cell r="AQ274">
            <v>0</v>
          </cell>
          <cell r="AR274">
            <v>600</v>
          </cell>
          <cell r="AS274">
            <v>0</v>
          </cell>
          <cell r="AT274" t="str">
            <v/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 t="str">
            <v/>
          </cell>
          <cell r="BK274">
            <v>4300</v>
          </cell>
          <cell r="BL274" t="str">
            <v/>
          </cell>
          <cell r="BM274" t="str">
            <v>1</v>
          </cell>
          <cell r="BN274" t="str">
            <v/>
          </cell>
          <cell r="BO274" t="str">
            <v/>
          </cell>
        </row>
        <row r="275">
          <cell r="A275">
            <v>1</v>
          </cell>
          <cell r="B275">
            <v>4135532</v>
          </cell>
          <cell r="C275" t="str">
            <v>ESCOMPTE</v>
          </cell>
          <cell r="D275" t="str">
            <v>ECONO P/M NATUREL</v>
          </cell>
          <cell r="E275" t="str">
            <v>O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2</v>
          </cell>
          <cell r="AN275" t="str">
            <v/>
          </cell>
          <cell r="AO275">
            <v>0</v>
          </cell>
          <cell r="AP275">
            <v>0</v>
          </cell>
          <cell r="AQ275">
            <v>0</v>
          </cell>
          <cell r="AR275">
            <v>600</v>
          </cell>
          <cell r="AS275">
            <v>0</v>
          </cell>
          <cell r="AT275" t="str">
            <v/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 t="str">
            <v/>
          </cell>
          <cell r="BK275">
            <v>4300</v>
          </cell>
          <cell r="BL275" t="str">
            <v/>
          </cell>
          <cell r="BM275" t="str">
            <v>1</v>
          </cell>
          <cell r="BN275" t="str">
            <v/>
          </cell>
          <cell r="BO275" t="str">
            <v/>
          </cell>
        </row>
        <row r="276">
          <cell r="A276">
            <v>1</v>
          </cell>
          <cell r="B276">
            <v>4135542</v>
          </cell>
          <cell r="C276" t="str">
            <v>ESCOMPTE</v>
          </cell>
          <cell r="D276" t="str">
            <v>AFFEX P/C BRUN</v>
          </cell>
          <cell r="E276" t="str">
            <v>O</v>
          </cell>
          <cell r="F276">
            <v>0</v>
          </cell>
          <cell r="G276">
            <v>0</v>
          </cell>
          <cell r="H276">
            <v>8172.84</v>
          </cell>
          <cell r="I276">
            <v>8919.35</v>
          </cell>
          <cell r="J276">
            <v>746.51</v>
          </cell>
          <cell r="K276">
            <v>0</v>
          </cell>
          <cell r="L276">
            <v>755.73</v>
          </cell>
          <cell r="M276">
            <v>0</v>
          </cell>
          <cell r="N276">
            <v>0</v>
          </cell>
          <cell r="O276">
            <v>332.25</v>
          </cell>
          <cell r="P276">
            <v>480.71</v>
          </cell>
          <cell r="Q276">
            <v>709.94</v>
          </cell>
          <cell r="R276">
            <v>3267.85</v>
          </cell>
          <cell r="S276">
            <v>3884.72</v>
          </cell>
          <cell r="T276">
            <v>4943.1499999999996</v>
          </cell>
          <cell r="U276">
            <v>6102.17</v>
          </cell>
          <cell r="V276">
            <v>7479.87</v>
          </cell>
          <cell r="W276">
            <v>7552.24</v>
          </cell>
          <cell r="X276">
            <v>8172.84</v>
          </cell>
          <cell r="Y276">
            <v>8928.57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2</v>
          </cell>
          <cell r="AN276" t="str">
            <v/>
          </cell>
          <cell r="AO276">
            <v>0</v>
          </cell>
          <cell r="AP276">
            <v>0</v>
          </cell>
          <cell r="AQ276">
            <v>0</v>
          </cell>
          <cell r="AR276">
            <v>600</v>
          </cell>
          <cell r="AS276">
            <v>0</v>
          </cell>
          <cell r="AT276" t="str">
            <v/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21256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 t="str">
            <v/>
          </cell>
          <cell r="BK276">
            <v>4300</v>
          </cell>
          <cell r="BL276" t="str">
            <v>0</v>
          </cell>
          <cell r="BM276" t="str">
            <v>1</v>
          </cell>
          <cell r="BN276" t="str">
            <v/>
          </cell>
          <cell r="BO276" t="str">
            <v/>
          </cell>
        </row>
        <row r="277">
          <cell r="A277">
            <v>1</v>
          </cell>
          <cell r="B277">
            <v>4135562</v>
          </cell>
          <cell r="C277" t="str">
            <v>ESCOMPTE</v>
          </cell>
          <cell r="D277" t="str">
            <v>ECONO 8</v>
          </cell>
          <cell r="E277" t="str">
            <v>O</v>
          </cell>
          <cell r="F277">
            <v>0</v>
          </cell>
          <cell r="G277">
            <v>0</v>
          </cell>
          <cell r="H277">
            <v>382722.18</v>
          </cell>
          <cell r="I277">
            <v>394470.83</v>
          </cell>
          <cell r="J277">
            <v>11748.65</v>
          </cell>
          <cell r="K277">
            <v>0</v>
          </cell>
          <cell r="L277">
            <v>47677.14</v>
          </cell>
          <cell r="M277">
            <v>0</v>
          </cell>
          <cell r="N277">
            <v>0</v>
          </cell>
          <cell r="O277">
            <v>14988.51</v>
          </cell>
          <cell r="P277">
            <v>35663.08</v>
          </cell>
          <cell r="Q277">
            <v>69861.16</v>
          </cell>
          <cell r="R277">
            <v>140371.64000000001</v>
          </cell>
          <cell r="S277">
            <v>175294.8</v>
          </cell>
          <cell r="T277">
            <v>217027.85</v>
          </cell>
          <cell r="U277">
            <v>256506.73</v>
          </cell>
          <cell r="V277">
            <v>278189.15000000002</v>
          </cell>
          <cell r="W277">
            <v>334903.40999999997</v>
          </cell>
          <cell r="X277">
            <v>382722.18</v>
          </cell>
          <cell r="Y277">
            <v>430399.32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2</v>
          </cell>
          <cell r="AN277" t="str">
            <v/>
          </cell>
          <cell r="AO277">
            <v>0</v>
          </cell>
          <cell r="AP277">
            <v>0</v>
          </cell>
          <cell r="AQ277">
            <v>0</v>
          </cell>
          <cell r="AR277">
            <v>600</v>
          </cell>
          <cell r="AS277">
            <v>0</v>
          </cell>
          <cell r="AT277" t="str">
            <v/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20756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 t="str">
            <v/>
          </cell>
          <cell r="BK277">
            <v>4300</v>
          </cell>
          <cell r="BL277" t="str">
            <v>0</v>
          </cell>
          <cell r="BM277" t="str">
            <v>1</v>
          </cell>
          <cell r="BN277" t="str">
            <v/>
          </cell>
          <cell r="BO277" t="str">
            <v/>
          </cell>
        </row>
        <row r="278">
          <cell r="A278">
            <v>1</v>
          </cell>
          <cell r="B278">
            <v>4135572</v>
          </cell>
          <cell r="C278" t="str">
            <v>ESCOMPTE</v>
          </cell>
          <cell r="D278" t="str">
            <v>ECONO 8</v>
          </cell>
          <cell r="E278" t="str">
            <v>O</v>
          </cell>
          <cell r="F278">
            <v>0</v>
          </cell>
          <cell r="G278">
            <v>0</v>
          </cell>
          <cell r="H278">
            <v>42352.08</v>
          </cell>
          <cell r="I278">
            <v>44945.65</v>
          </cell>
          <cell r="J278">
            <v>2593.5700000000002</v>
          </cell>
          <cell r="K278">
            <v>0</v>
          </cell>
          <cell r="L278">
            <v>5226.4399999999996</v>
          </cell>
          <cell r="M278">
            <v>0</v>
          </cell>
          <cell r="N278">
            <v>0</v>
          </cell>
          <cell r="O278">
            <v>2679.25</v>
          </cell>
          <cell r="P278">
            <v>5662.75</v>
          </cell>
          <cell r="Q278">
            <v>7129.18</v>
          </cell>
          <cell r="R278">
            <v>14430.52</v>
          </cell>
          <cell r="S278">
            <v>18690.93</v>
          </cell>
          <cell r="T278">
            <v>24660.57</v>
          </cell>
          <cell r="U278">
            <v>29861.040000000001</v>
          </cell>
          <cell r="V278">
            <v>34647.53</v>
          </cell>
          <cell r="W278">
            <v>39046.44</v>
          </cell>
          <cell r="X278">
            <v>42352.08</v>
          </cell>
          <cell r="Y278">
            <v>47578.52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2</v>
          </cell>
          <cell r="AN278" t="str">
            <v/>
          </cell>
          <cell r="AO278">
            <v>0</v>
          </cell>
          <cell r="AP278">
            <v>0</v>
          </cell>
          <cell r="AQ278">
            <v>0</v>
          </cell>
          <cell r="AR278">
            <v>600</v>
          </cell>
          <cell r="AS278">
            <v>0</v>
          </cell>
          <cell r="AT278" t="str">
            <v/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20757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 t="str">
            <v/>
          </cell>
          <cell r="BK278">
            <v>4300</v>
          </cell>
          <cell r="BL278" t="str">
            <v>0</v>
          </cell>
          <cell r="BM278" t="str">
            <v>1</v>
          </cell>
          <cell r="BN278" t="str">
            <v/>
          </cell>
          <cell r="BO278" t="str">
            <v/>
          </cell>
        </row>
        <row r="279">
          <cell r="A279">
            <v>1</v>
          </cell>
          <cell r="B279">
            <v>4135582</v>
          </cell>
          <cell r="C279" t="str">
            <v>ESCOMPTE</v>
          </cell>
          <cell r="D279" t="str">
            <v>WILDRY PRE-BAIN DETRAYONS</v>
          </cell>
          <cell r="E279" t="str">
            <v>O</v>
          </cell>
          <cell r="F279">
            <v>0</v>
          </cell>
          <cell r="G279">
            <v>0</v>
          </cell>
          <cell r="H279">
            <v>-7.83</v>
          </cell>
          <cell r="I279">
            <v>0</v>
          </cell>
          <cell r="J279">
            <v>7.83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-7.83</v>
          </cell>
          <cell r="S279">
            <v>-7.83</v>
          </cell>
          <cell r="T279">
            <v>-7.83</v>
          </cell>
          <cell r="U279">
            <v>-7.83</v>
          </cell>
          <cell r="V279">
            <v>-7.83</v>
          </cell>
          <cell r="W279">
            <v>-7.83</v>
          </cell>
          <cell r="X279">
            <v>-7.83</v>
          </cell>
          <cell r="Y279">
            <v>-7.83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2</v>
          </cell>
          <cell r="AN279" t="str">
            <v/>
          </cell>
          <cell r="AO279">
            <v>0</v>
          </cell>
          <cell r="AP279">
            <v>0</v>
          </cell>
          <cell r="AQ279">
            <v>0</v>
          </cell>
          <cell r="AR279">
            <v>600</v>
          </cell>
          <cell r="AS279">
            <v>0</v>
          </cell>
          <cell r="AT279" t="str">
            <v/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 t="str">
            <v/>
          </cell>
          <cell r="BK279">
            <v>4300</v>
          </cell>
          <cell r="BL279" t="str">
            <v/>
          </cell>
          <cell r="BM279" t="str">
            <v>1</v>
          </cell>
          <cell r="BN279" t="str">
            <v/>
          </cell>
          <cell r="BO279" t="str">
            <v/>
          </cell>
        </row>
        <row r="280">
          <cell r="A280">
            <v>1</v>
          </cell>
          <cell r="B280">
            <v>4135592</v>
          </cell>
          <cell r="C280" t="str">
            <v>ESCOMPTE</v>
          </cell>
          <cell r="D280" t="str">
            <v>ECONO P/M BLANC</v>
          </cell>
          <cell r="E280" t="str">
            <v>O</v>
          </cell>
          <cell r="F280">
            <v>0</v>
          </cell>
          <cell r="G280">
            <v>0</v>
          </cell>
          <cell r="H280">
            <v>85591.35</v>
          </cell>
          <cell r="I280">
            <v>90577.97</v>
          </cell>
          <cell r="J280">
            <v>4986.62</v>
          </cell>
          <cell r="K280">
            <v>0</v>
          </cell>
          <cell r="L280">
            <v>7910.24</v>
          </cell>
          <cell r="M280">
            <v>0</v>
          </cell>
          <cell r="N280">
            <v>0</v>
          </cell>
          <cell r="O280">
            <v>3621.74</v>
          </cell>
          <cell r="P280">
            <v>9945.02</v>
          </cell>
          <cell r="Q280">
            <v>16404.330000000002</v>
          </cell>
          <cell r="R280">
            <v>35437.54</v>
          </cell>
          <cell r="S280">
            <v>43178.38</v>
          </cell>
          <cell r="T280">
            <v>52782.15</v>
          </cell>
          <cell r="U280">
            <v>61598.34</v>
          </cell>
          <cell r="V280">
            <v>70625.56</v>
          </cell>
          <cell r="W280">
            <v>78225.66</v>
          </cell>
          <cell r="X280">
            <v>85591.35</v>
          </cell>
          <cell r="Y280">
            <v>93501.59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2</v>
          </cell>
          <cell r="AN280" t="str">
            <v/>
          </cell>
          <cell r="AO280">
            <v>0</v>
          </cell>
          <cell r="AP280">
            <v>0</v>
          </cell>
          <cell r="AQ280">
            <v>0</v>
          </cell>
          <cell r="AR280">
            <v>600</v>
          </cell>
          <cell r="AS280">
            <v>0</v>
          </cell>
          <cell r="AT280" t="str">
            <v/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20759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 t="str">
            <v/>
          </cell>
          <cell r="BK280">
            <v>4300</v>
          </cell>
          <cell r="BL280" t="str">
            <v>0</v>
          </cell>
          <cell r="BM280" t="str">
            <v>1</v>
          </cell>
          <cell r="BN280" t="str">
            <v/>
          </cell>
          <cell r="BO280" t="str">
            <v/>
          </cell>
        </row>
        <row r="281">
          <cell r="A281">
            <v>1</v>
          </cell>
          <cell r="B281">
            <v>4135602</v>
          </cell>
          <cell r="C281" t="str">
            <v>ESCOMPTE</v>
          </cell>
          <cell r="D281" t="str">
            <v>ECONO P/S BLANC</v>
          </cell>
          <cell r="E281" t="str">
            <v>O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2</v>
          </cell>
          <cell r="AN281" t="str">
            <v/>
          </cell>
          <cell r="AO281">
            <v>0</v>
          </cell>
          <cell r="AP281">
            <v>0</v>
          </cell>
          <cell r="AQ281">
            <v>0</v>
          </cell>
          <cell r="AR281">
            <v>600</v>
          </cell>
          <cell r="AS281">
            <v>0</v>
          </cell>
          <cell r="AT281" t="str">
            <v/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 t="str">
            <v/>
          </cell>
          <cell r="BK281">
            <v>4300</v>
          </cell>
          <cell r="BL281" t="str">
            <v/>
          </cell>
          <cell r="BM281" t="str">
            <v>1</v>
          </cell>
          <cell r="BN281" t="str">
            <v/>
          </cell>
          <cell r="BO281" t="str">
            <v/>
          </cell>
        </row>
        <row r="282">
          <cell r="A282">
            <v>1</v>
          </cell>
          <cell r="B282">
            <v>4135612</v>
          </cell>
          <cell r="C282" t="str">
            <v>ESCOMPTE</v>
          </cell>
          <cell r="D282" t="str">
            <v>ECONO 8</v>
          </cell>
          <cell r="E282" t="str">
            <v>O</v>
          </cell>
          <cell r="F282">
            <v>0</v>
          </cell>
          <cell r="G282">
            <v>0</v>
          </cell>
          <cell r="H282">
            <v>90669.8</v>
          </cell>
          <cell r="I282">
            <v>93780.35</v>
          </cell>
          <cell r="J282">
            <v>3110.55</v>
          </cell>
          <cell r="K282">
            <v>0</v>
          </cell>
          <cell r="L282">
            <v>8758.43</v>
          </cell>
          <cell r="M282">
            <v>0</v>
          </cell>
          <cell r="N282">
            <v>0</v>
          </cell>
          <cell r="O282">
            <v>4372.37</v>
          </cell>
          <cell r="P282">
            <v>9399.27</v>
          </cell>
          <cell r="Q282">
            <v>18678.150000000001</v>
          </cell>
          <cell r="R282">
            <v>34642.83</v>
          </cell>
          <cell r="S282">
            <v>43889</v>
          </cell>
          <cell r="T282">
            <v>54005.46</v>
          </cell>
          <cell r="U282">
            <v>64232.32</v>
          </cell>
          <cell r="V282">
            <v>69972.92</v>
          </cell>
          <cell r="W282">
            <v>81567.39</v>
          </cell>
          <cell r="X282">
            <v>90669.8</v>
          </cell>
          <cell r="Y282">
            <v>99428.23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2</v>
          </cell>
          <cell r="AN282" t="str">
            <v/>
          </cell>
          <cell r="AO282">
            <v>0</v>
          </cell>
          <cell r="AP282">
            <v>0</v>
          </cell>
          <cell r="AQ282">
            <v>0</v>
          </cell>
          <cell r="AR282">
            <v>600</v>
          </cell>
          <cell r="AS282">
            <v>0</v>
          </cell>
          <cell r="AT282" t="str">
            <v/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20761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 t="str">
            <v/>
          </cell>
          <cell r="BK282">
            <v>4300</v>
          </cell>
          <cell r="BL282" t="str">
            <v>0</v>
          </cell>
          <cell r="BM282" t="str">
            <v>1</v>
          </cell>
          <cell r="BN282" t="str">
            <v/>
          </cell>
          <cell r="BO282" t="str">
            <v/>
          </cell>
        </row>
        <row r="283">
          <cell r="A283">
            <v>1</v>
          </cell>
          <cell r="B283">
            <v>4135622</v>
          </cell>
          <cell r="C283" t="str">
            <v>ESCOMPTE</v>
          </cell>
          <cell r="D283" t="str">
            <v>ECONO M/F NATURAL 4M ENG.</v>
          </cell>
          <cell r="E283" t="str">
            <v>O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2</v>
          </cell>
          <cell r="AN283" t="str">
            <v/>
          </cell>
          <cell r="AO283">
            <v>0</v>
          </cell>
          <cell r="AP283">
            <v>0</v>
          </cell>
          <cell r="AQ283">
            <v>0</v>
          </cell>
          <cell r="AR283">
            <v>600</v>
          </cell>
          <cell r="AS283">
            <v>0</v>
          </cell>
          <cell r="AT283" t="str">
            <v/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 t="str">
            <v/>
          </cell>
          <cell r="BK283">
            <v>4300</v>
          </cell>
          <cell r="BL283" t="str">
            <v/>
          </cell>
          <cell r="BM283" t="str">
            <v>1</v>
          </cell>
          <cell r="BN283" t="str">
            <v/>
          </cell>
          <cell r="BO283" t="str">
            <v/>
          </cell>
        </row>
        <row r="284">
          <cell r="A284">
            <v>1</v>
          </cell>
          <cell r="B284">
            <v>4135632</v>
          </cell>
          <cell r="C284" t="str">
            <v>ESCOMPTE</v>
          </cell>
          <cell r="D284" t="str">
            <v>ECONO NATUREL S/F 4M ENG.</v>
          </cell>
          <cell r="E284" t="str">
            <v>O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2</v>
          </cell>
          <cell r="AN284" t="str">
            <v/>
          </cell>
          <cell r="AO284">
            <v>0</v>
          </cell>
          <cell r="AP284">
            <v>0</v>
          </cell>
          <cell r="AQ284">
            <v>0</v>
          </cell>
          <cell r="AR284">
            <v>600</v>
          </cell>
          <cell r="AS284">
            <v>0</v>
          </cell>
          <cell r="AT284" t="str">
            <v/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 t="str">
            <v/>
          </cell>
          <cell r="BK284">
            <v>4300</v>
          </cell>
          <cell r="BL284" t="str">
            <v/>
          </cell>
          <cell r="BM284" t="str">
            <v>1</v>
          </cell>
          <cell r="BN284" t="str">
            <v/>
          </cell>
          <cell r="BO284" t="str">
            <v/>
          </cell>
        </row>
        <row r="285">
          <cell r="A285">
            <v>1</v>
          </cell>
          <cell r="B285">
            <v>4135642</v>
          </cell>
          <cell r="C285" t="str">
            <v>ESCOMPTE</v>
          </cell>
          <cell r="D285" t="str">
            <v>ECONO PLI EN</v>
          </cell>
          <cell r="E285" t="str">
            <v>O</v>
          </cell>
          <cell r="F285">
            <v>0</v>
          </cell>
          <cell r="G285">
            <v>0</v>
          </cell>
          <cell r="H285">
            <v>71494.03</v>
          </cell>
          <cell r="I285">
            <v>76345.23</v>
          </cell>
          <cell r="J285">
            <v>4851.2</v>
          </cell>
          <cell r="K285">
            <v>0</v>
          </cell>
          <cell r="L285">
            <v>7279.17</v>
          </cell>
          <cell r="M285">
            <v>0</v>
          </cell>
          <cell r="N285">
            <v>0</v>
          </cell>
          <cell r="O285">
            <v>5834.95</v>
          </cell>
          <cell r="P285">
            <v>12912.06</v>
          </cell>
          <cell r="Q285">
            <v>16887.310000000001</v>
          </cell>
          <cell r="R285">
            <v>30926.81</v>
          </cell>
          <cell r="S285">
            <v>38548.22</v>
          </cell>
          <cell r="T285">
            <v>46171.31</v>
          </cell>
          <cell r="U285">
            <v>54686.09</v>
          </cell>
          <cell r="V285">
            <v>63105.78</v>
          </cell>
          <cell r="W285">
            <v>65867.710000000006</v>
          </cell>
          <cell r="X285">
            <v>71494.03</v>
          </cell>
          <cell r="Y285">
            <v>78773.2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2</v>
          </cell>
          <cell r="AN285" t="str">
            <v/>
          </cell>
          <cell r="AO285">
            <v>0</v>
          </cell>
          <cell r="AP285">
            <v>0</v>
          </cell>
          <cell r="AQ285">
            <v>0</v>
          </cell>
          <cell r="AR285">
            <v>600</v>
          </cell>
          <cell r="AS285">
            <v>0</v>
          </cell>
          <cell r="AT285" t="str">
            <v/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20764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 t="str">
            <v/>
          </cell>
          <cell r="BK285">
            <v>4300</v>
          </cell>
          <cell r="BL285" t="str">
            <v>0</v>
          </cell>
          <cell r="BM285" t="str">
            <v>1</v>
          </cell>
          <cell r="BN285" t="str">
            <v/>
          </cell>
          <cell r="BO285" t="str">
            <v/>
          </cell>
        </row>
        <row r="286">
          <cell r="A286">
            <v>1</v>
          </cell>
          <cell r="B286">
            <v>4135652</v>
          </cell>
          <cell r="C286" t="str">
            <v>ESCOMPTE</v>
          </cell>
          <cell r="D286" t="str">
            <v>ECONO 8</v>
          </cell>
          <cell r="E286" t="str">
            <v>O</v>
          </cell>
          <cell r="F286">
            <v>0</v>
          </cell>
          <cell r="G286">
            <v>0</v>
          </cell>
          <cell r="H286">
            <v>21843.99</v>
          </cell>
          <cell r="I286">
            <v>22860.68</v>
          </cell>
          <cell r="J286">
            <v>1016.69</v>
          </cell>
          <cell r="K286">
            <v>0</v>
          </cell>
          <cell r="L286">
            <v>1459.33</v>
          </cell>
          <cell r="M286">
            <v>0</v>
          </cell>
          <cell r="N286">
            <v>0</v>
          </cell>
          <cell r="O286">
            <v>1396.49</v>
          </cell>
          <cell r="P286">
            <v>3888.74</v>
          </cell>
          <cell r="Q286">
            <v>5001.37</v>
          </cell>
          <cell r="R286">
            <v>8233.8799999999992</v>
          </cell>
          <cell r="S286">
            <v>10373.34</v>
          </cell>
          <cell r="T286">
            <v>12011.62</v>
          </cell>
          <cell r="U286">
            <v>14830.14</v>
          </cell>
          <cell r="V286">
            <v>16706.47</v>
          </cell>
          <cell r="W286">
            <v>19799.48</v>
          </cell>
          <cell r="X286">
            <v>21843.99</v>
          </cell>
          <cell r="Y286">
            <v>23303.32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2</v>
          </cell>
          <cell r="AN286" t="str">
            <v/>
          </cell>
          <cell r="AO286">
            <v>0</v>
          </cell>
          <cell r="AP286">
            <v>0</v>
          </cell>
          <cell r="AQ286">
            <v>0</v>
          </cell>
          <cell r="AR286">
            <v>600</v>
          </cell>
          <cell r="AS286">
            <v>0</v>
          </cell>
          <cell r="AT286" t="str">
            <v/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20765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 t="str">
            <v/>
          </cell>
          <cell r="BK286">
            <v>4300</v>
          </cell>
          <cell r="BL286" t="str">
            <v>0</v>
          </cell>
          <cell r="BM286" t="str">
            <v>1</v>
          </cell>
          <cell r="BN286" t="str">
            <v/>
          </cell>
          <cell r="BO286" t="str">
            <v/>
          </cell>
        </row>
        <row r="287">
          <cell r="A287">
            <v>1</v>
          </cell>
          <cell r="B287">
            <v>4135662</v>
          </cell>
          <cell r="C287" t="str">
            <v>ESCOMPTE</v>
          </cell>
          <cell r="D287" t="str">
            <v>ECONO P/S BLANC 4M</v>
          </cell>
          <cell r="E287" t="str">
            <v>O</v>
          </cell>
          <cell r="F287">
            <v>0</v>
          </cell>
          <cell r="G287">
            <v>0</v>
          </cell>
          <cell r="H287">
            <v>87565.48</v>
          </cell>
          <cell r="I287">
            <v>90618.86</v>
          </cell>
          <cell r="J287">
            <v>3053.38</v>
          </cell>
          <cell r="K287">
            <v>0</v>
          </cell>
          <cell r="L287">
            <v>7849.38</v>
          </cell>
          <cell r="M287">
            <v>0</v>
          </cell>
          <cell r="N287">
            <v>0</v>
          </cell>
          <cell r="O287">
            <v>4584.82</v>
          </cell>
          <cell r="P287">
            <v>11489.41</v>
          </cell>
          <cell r="Q287">
            <v>19930.28</v>
          </cell>
          <cell r="R287">
            <v>37376.68</v>
          </cell>
          <cell r="S287">
            <v>47665.88</v>
          </cell>
          <cell r="T287">
            <v>56269.54</v>
          </cell>
          <cell r="U287">
            <v>63495.42</v>
          </cell>
          <cell r="V287">
            <v>69093.740000000005</v>
          </cell>
          <cell r="W287">
            <v>78647.08</v>
          </cell>
          <cell r="X287">
            <v>87565.48</v>
          </cell>
          <cell r="Y287">
            <v>95414.86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2</v>
          </cell>
          <cell r="AN287" t="str">
            <v/>
          </cell>
          <cell r="AO287">
            <v>0</v>
          </cell>
          <cell r="AP287">
            <v>0</v>
          </cell>
          <cell r="AQ287">
            <v>0</v>
          </cell>
          <cell r="AR287">
            <v>600</v>
          </cell>
          <cell r="AS287">
            <v>0</v>
          </cell>
          <cell r="AT287" t="str">
            <v/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20766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 t="str">
            <v/>
          </cell>
          <cell r="BK287">
            <v>4300</v>
          </cell>
          <cell r="BL287" t="str">
            <v>0</v>
          </cell>
          <cell r="BM287" t="str">
            <v>1</v>
          </cell>
          <cell r="BN287" t="str">
            <v/>
          </cell>
          <cell r="BO287" t="str">
            <v/>
          </cell>
        </row>
        <row r="288">
          <cell r="A288">
            <v>1</v>
          </cell>
          <cell r="B288">
            <v>4135672</v>
          </cell>
          <cell r="C288" t="str">
            <v>ESCOMPTE</v>
          </cell>
          <cell r="D288" t="str">
            <v>ECONO 8</v>
          </cell>
          <cell r="E288" t="str">
            <v>O</v>
          </cell>
          <cell r="F288">
            <v>0</v>
          </cell>
          <cell r="G288">
            <v>0</v>
          </cell>
          <cell r="H288">
            <v>145283.95000000001</v>
          </cell>
          <cell r="I288">
            <v>150629.98000000001</v>
          </cell>
          <cell r="J288">
            <v>5346.03</v>
          </cell>
          <cell r="K288">
            <v>0</v>
          </cell>
          <cell r="L288">
            <v>17113.650000000001</v>
          </cell>
          <cell r="M288">
            <v>0</v>
          </cell>
          <cell r="N288">
            <v>0</v>
          </cell>
          <cell r="O288">
            <v>6351.5</v>
          </cell>
          <cell r="P288">
            <v>14797.69</v>
          </cell>
          <cell r="Q288">
            <v>27491.07</v>
          </cell>
          <cell r="R288">
            <v>53258.38</v>
          </cell>
          <cell r="S288">
            <v>70471.520000000004</v>
          </cell>
          <cell r="T288">
            <v>86596.2</v>
          </cell>
          <cell r="U288">
            <v>100966.41</v>
          </cell>
          <cell r="V288">
            <v>110832.64</v>
          </cell>
          <cell r="W288">
            <v>127268.02</v>
          </cell>
          <cell r="X288">
            <v>145283.95000000001</v>
          </cell>
          <cell r="Y288">
            <v>162397.6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2</v>
          </cell>
          <cell r="AN288" t="str">
            <v/>
          </cell>
          <cell r="AO288">
            <v>0</v>
          </cell>
          <cell r="AP288">
            <v>0</v>
          </cell>
          <cell r="AQ288">
            <v>0</v>
          </cell>
          <cell r="AR288">
            <v>600</v>
          </cell>
          <cell r="AS288">
            <v>0</v>
          </cell>
          <cell r="AT288" t="str">
            <v/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20767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 t="str">
            <v/>
          </cell>
          <cell r="BK288">
            <v>4300</v>
          </cell>
          <cell r="BL288" t="str">
            <v>0</v>
          </cell>
          <cell r="BM288" t="str">
            <v>1</v>
          </cell>
          <cell r="BN288" t="str">
            <v/>
          </cell>
          <cell r="BO288" t="str">
            <v/>
          </cell>
        </row>
        <row r="289">
          <cell r="A289">
            <v>1</v>
          </cell>
          <cell r="B289">
            <v>4135682</v>
          </cell>
          <cell r="C289" t="str">
            <v>ESCOMPTE</v>
          </cell>
          <cell r="D289" t="str">
            <v>ECONO 8</v>
          </cell>
          <cell r="E289" t="str">
            <v>O</v>
          </cell>
          <cell r="F289">
            <v>0</v>
          </cell>
          <cell r="G289">
            <v>0</v>
          </cell>
          <cell r="H289">
            <v>80761.100000000006</v>
          </cell>
          <cell r="I289">
            <v>83202.399999999994</v>
          </cell>
          <cell r="J289">
            <v>2441.3000000000002</v>
          </cell>
          <cell r="K289">
            <v>0</v>
          </cell>
          <cell r="L289">
            <v>6244.87</v>
          </cell>
          <cell r="M289">
            <v>0</v>
          </cell>
          <cell r="N289">
            <v>0</v>
          </cell>
          <cell r="O289">
            <v>2157.5700000000002</v>
          </cell>
          <cell r="P289">
            <v>6394.07</v>
          </cell>
          <cell r="Q289">
            <v>14508.79</v>
          </cell>
          <cell r="R289">
            <v>29110.92</v>
          </cell>
          <cell r="S289">
            <v>36868.230000000003</v>
          </cell>
          <cell r="T289">
            <v>46721.43</v>
          </cell>
          <cell r="U289">
            <v>56315.98</v>
          </cell>
          <cell r="V289">
            <v>60821.46</v>
          </cell>
          <cell r="W289">
            <v>72660.399999999994</v>
          </cell>
          <cell r="X289">
            <v>80761.100000000006</v>
          </cell>
          <cell r="Y289">
            <v>87005.97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2</v>
          </cell>
          <cell r="AN289" t="str">
            <v/>
          </cell>
          <cell r="AO289">
            <v>0</v>
          </cell>
          <cell r="AP289">
            <v>0</v>
          </cell>
          <cell r="AQ289">
            <v>0</v>
          </cell>
          <cell r="AR289">
            <v>600</v>
          </cell>
          <cell r="AS289">
            <v>0</v>
          </cell>
          <cell r="AT289" t="str">
            <v/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20768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 t="str">
            <v/>
          </cell>
          <cell r="BK289">
            <v>4300</v>
          </cell>
          <cell r="BL289" t="str">
            <v>0</v>
          </cell>
          <cell r="BM289" t="str">
            <v>1</v>
          </cell>
          <cell r="BN289" t="str">
            <v/>
          </cell>
          <cell r="BO289" t="str">
            <v/>
          </cell>
        </row>
        <row r="290">
          <cell r="A290">
            <v>1</v>
          </cell>
          <cell r="B290">
            <v>4135692</v>
          </cell>
          <cell r="C290" t="str">
            <v>ESCOMPTE</v>
          </cell>
          <cell r="D290" t="str">
            <v>PERKINS 8</v>
          </cell>
          <cell r="E290" t="str">
            <v>O</v>
          </cell>
          <cell r="F290">
            <v>0</v>
          </cell>
          <cell r="G290">
            <v>0</v>
          </cell>
          <cell r="H290">
            <v>12491.91</v>
          </cell>
          <cell r="I290">
            <v>15461</v>
          </cell>
          <cell r="J290">
            <v>2969.09</v>
          </cell>
          <cell r="K290">
            <v>0</v>
          </cell>
          <cell r="L290">
            <v>1745.26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1839.17</v>
          </cell>
          <cell r="S290">
            <v>3278.38</v>
          </cell>
          <cell r="T290">
            <v>5578.83</v>
          </cell>
          <cell r="U290">
            <v>7100.48</v>
          </cell>
          <cell r="V290">
            <v>12580.01</v>
          </cell>
          <cell r="W290">
            <v>10880.67</v>
          </cell>
          <cell r="X290">
            <v>12491.91</v>
          </cell>
          <cell r="Y290">
            <v>14237.17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2</v>
          </cell>
          <cell r="AN290" t="str">
            <v/>
          </cell>
          <cell r="AO290">
            <v>0</v>
          </cell>
          <cell r="AP290">
            <v>0</v>
          </cell>
          <cell r="AQ290">
            <v>0</v>
          </cell>
          <cell r="AR290">
            <v>600</v>
          </cell>
          <cell r="AS290">
            <v>0</v>
          </cell>
          <cell r="AT290" t="str">
            <v/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20569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 t="str">
            <v/>
          </cell>
          <cell r="BK290">
            <v>4300</v>
          </cell>
          <cell r="BL290" t="str">
            <v>0</v>
          </cell>
          <cell r="BM290" t="str">
            <v>1</v>
          </cell>
          <cell r="BN290" t="str">
            <v/>
          </cell>
          <cell r="BO290" t="str">
            <v/>
          </cell>
        </row>
        <row r="291">
          <cell r="A291">
            <v>1</v>
          </cell>
          <cell r="B291">
            <v>4135702</v>
          </cell>
          <cell r="C291" t="str">
            <v>ESCOMPTE</v>
          </cell>
          <cell r="D291" t="str">
            <v>ECONO 8</v>
          </cell>
          <cell r="E291" t="str">
            <v>O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2</v>
          </cell>
          <cell r="AN291" t="str">
            <v/>
          </cell>
          <cell r="AO291">
            <v>0</v>
          </cell>
          <cell r="AP291">
            <v>0</v>
          </cell>
          <cell r="AQ291">
            <v>0</v>
          </cell>
          <cell r="AR291">
            <v>600</v>
          </cell>
          <cell r="AS291">
            <v>0</v>
          </cell>
          <cell r="AT291" t="str">
            <v/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 t="str">
            <v/>
          </cell>
          <cell r="BK291">
            <v>4300</v>
          </cell>
          <cell r="BL291" t="str">
            <v/>
          </cell>
          <cell r="BM291" t="str">
            <v>1</v>
          </cell>
          <cell r="BN291" t="str">
            <v/>
          </cell>
          <cell r="BO291" t="str">
            <v/>
          </cell>
        </row>
        <row r="292">
          <cell r="A292">
            <v>1</v>
          </cell>
          <cell r="B292">
            <v>4135712</v>
          </cell>
          <cell r="C292" t="str">
            <v>ESCOMPTE</v>
          </cell>
          <cell r="D292" t="str">
            <v>ECONO 10</v>
          </cell>
          <cell r="E292" t="str">
            <v>O</v>
          </cell>
          <cell r="F292">
            <v>0</v>
          </cell>
          <cell r="G292">
            <v>0</v>
          </cell>
          <cell r="H292">
            <v>26201.56</v>
          </cell>
          <cell r="I292">
            <v>27293.45</v>
          </cell>
          <cell r="J292">
            <v>1091.8900000000001</v>
          </cell>
          <cell r="K292">
            <v>0</v>
          </cell>
          <cell r="L292">
            <v>3310.54</v>
          </cell>
          <cell r="M292">
            <v>0</v>
          </cell>
          <cell r="N292">
            <v>0</v>
          </cell>
          <cell r="O292">
            <v>1749.32</v>
          </cell>
          <cell r="P292">
            <v>5048.6499999999996</v>
          </cell>
          <cell r="Q292">
            <v>7725.89</v>
          </cell>
          <cell r="R292">
            <v>12031.93</v>
          </cell>
          <cell r="S292">
            <v>13628.36</v>
          </cell>
          <cell r="T292">
            <v>16210.91</v>
          </cell>
          <cell r="U292">
            <v>18552.830000000002</v>
          </cell>
          <cell r="V292">
            <v>20567.939999999999</v>
          </cell>
          <cell r="W292">
            <v>23992.66</v>
          </cell>
          <cell r="X292">
            <v>26201.56</v>
          </cell>
          <cell r="Y292">
            <v>29512.1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2</v>
          </cell>
          <cell r="AN292" t="str">
            <v/>
          </cell>
          <cell r="AO292">
            <v>0</v>
          </cell>
          <cell r="AP292">
            <v>0</v>
          </cell>
          <cell r="AQ292">
            <v>0</v>
          </cell>
          <cell r="AR292">
            <v>600</v>
          </cell>
          <cell r="AS292">
            <v>0</v>
          </cell>
          <cell r="AT292" t="str">
            <v/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20771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 t="str">
            <v/>
          </cell>
          <cell r="BK292">
            <v>4300</v>
          </cell>
          <cell r="BL292" t="str">
            <v>0</v>
          </cell>
          <cell r="BM292" t="str">
            <v>1</v>
          </cell>
          <cell r="BN292" t="str">
            <v/>
          </cell>
          <cell r="BO292" t="str">
            <v/>
          </cell>
        </row>
        <row r="293">
          <cell r="A293">
            <v>1</v>
          </cell>
          <cell r="B293">
            <v>4135772</v>
          </cell>
          <cell r="C293" t="str">
            <v>ESCOMPTE</v>
          </cell>
          <cell r="D293" t="str">
            <v>B29 PROTEC SERV.DAIRY RND</v>
          </cell>
          <cell r="E293" t="str">
            <v>O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2</v>
          </cell>
          <cell r="AN293" t="str">
            <v/>
          </cell>
          <cell r="AO293">
            <v>0</v>
          </cell>
          <cell r="AP293">
            <v>0</v>
          </cell>
          <cell r="AQ293">
            <v>0</v>
          </cell>
          <cell r="AR293">
            <v>600</v>
          </cell>
          <cell r="AS293">
            <v>0</v>
          </cell>
          <cell r="AT293" t="str">
            <v/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 t="str">
            <v/>
          </cell>
          <cell r="BK293">
            <v>4300</v>
          </cell>
          <cell r="BL293" t="str">
            <v/>
          </cell>
          <cell r="BM293" t="str">
            <v>1</v>
          </cell>
          <cell r="BN293" t="str">
            <v/>
          </cell>
          <cell r="BO293" t="str">
            <v/>
          </cell>
        </row>
        <row r="294">
          <cell r="A294">
            <v>1</v>
          </cell>
          <cell r="B294">
            <v>4136152</v>
          </cell>
          <cell r="C294" t="str">
            <v>ESCOMPTE</v>
          </cell>
          <cell r="D294" t="str">
            <v>CASCADES PLIS/MULTIPLES B</v>
          </cell>
          <cell r="E294" t="str">
            <v>O</v>
          </cell>
          <cell r="F294">
            <v>0</v>
          </cell>
          <cell r="G294">
            <v>0</v>
          </cell>
          <cell r="H294">
            <v>745.65</v>
          </cell>
          <cell r="I294">
            <v>795.38</v>
          </cell>
          <cell r="J294">
            <v>49.73</v>
          </cell>
          <cell r="K294">
            <v>0</v>
          </cell>
          <cell r="L294">
            <v>72.87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61.24</v>
          </cell>
          <cell r="R294">
            <v>272.91000000000003</v>
          </cell>
          <cell r="S294">
            <v>333.76</v>
          </cell>
          <cell r="T294">
            <v>452.22</v>
          </cell>
          <cell r="U294">
            <v>541.70000000000005</v>
          </cell>
          <cell r="V294">
            <v>633.48</v>
          </cell>
          <cell r="W294">
            <v>680.53</v>
          </cell>
          <cell r="X294">
            <v>745.65</v>
          </cell>
          <cell r="Y294">
            <v>818.52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2</v>
          </cell>
          <cell r="AN294" t="str">
            <v/>
          </cell>
          <cell r="AO294">
            <v>0</v>
          </cell>
          <cell r="AP294">
            <v>0</v>
          </cell>
          <cell r="AQ294">
            <v>0</v>
          </cell>
          <cell r="AR294">
            <v>600</v>
          </cell>
          <cell r="AS294">
            <v>0</v>
          </cell>
          <cell r="AT294" t="str">
            <v/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20615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 t="str">
            <v/>
          </cell>
          <cell r="BK294">
            <v>4300</v>
          </cell>
          <cell r="BL294" t="str">
            <v>0</v>
          </cell>
          <cell r="BM294" t="str">
            <v>1</v>
          </cell>
          <cell r="BN294" t="str">
            <v/>
          </cell>
          <cell r="BO294" t="str">
            <v/>
          </cell>
        </row>
        <row r="295">
          <cell r="A295">
            <v>1</v>
          </cell>
          <cell r="B295">
            <v>4136252</v>
          </cell>
          <cell r="C295" t="str">
            <v>ESCOMPTE</v>
          </cell>
          <cell r="D295" t="str">
            <v>CASCADES C/FOLD BLANC</v>
          </cell>
          <cell r="E295" t="str">
            <v>O</v>
          </cell>
          <cell r="F295">
            <v>0</v>
          </cell>
          <cell r="G295">
            <v>0</v>
          </cell>
          <cell r="H295">
            <v>1052.93</v>
          </cell>
          <cell r="I295">
            <v>1199.8599999999999</v>
          </cell>
          <cell r="J295">
            <v>146.93</v>
          </cell>
          <cell r="K295">
            <v>0</v>
          </cell>
          <cell r="L295">
            <v>199.5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149.16</v>
          </cell>
          <cell r="S295">
            <v>249.89</v>
          </cell>
          <cell r="T295">
            <v>454.64</v>
          </cell>
          <cell r="U295">
            <v>587.53</v>
          </cell>
          <cell r="V295">
            <v>858.69</v>
          </cell>
          <cell r="W295">
            <v>1031.6500000000001</v>
          </cell>
          <cell r="X295">
            <v>1052.93</v>
          </cell>
          <cell r="Y295">
            <v>1252.43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2</v>
          </cell>
          <cell r="AN295" t="str">
            <v/>
          </cell>
          <cell r="AO295">
            <v>0</v>
          </cell>
          <cell r="AP295">
            <v>0</v>
          </cell>
          <cell r="AQ295">
            <v>0</v>
          </cell>
          <cell r="AR295">
            <v>600</v>
          </cell>
          <cell r="AS295">
            <v>0</v>
          </cell>
          <cell r="AT295" t="str">
            <v/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20625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 t="str">
            <v/>
          </cell>
          <cell r="BK295">
            <v>4300</v>
          </cell>
          <cell r="BL295" t="str">
            <v>0</v>
          </cell>
          <cell r="BM295" t="str">
            <v>1</v>
          </cell>
          <cell r="BN295" t="str">
            <v/>
          </cell>
          <cell r="BO295" t="str">
            <v/>
          </cell>
        </row>
        <row r="296">
          <cell r="A296">
            <v>1</v>
          </cell>
          <cell r="B296">
            <v>4136352</v>
          </cell>
          <cell r="C296" t="str">
            <v>ESCOMPTE</v>
          </cell>
          <cell r="D296" t="str">
            <v>CASCADES PLIS/SIMPLES BLA</v>
          </cell>
          <cell r="E296" t="str">
            <v>O</v>
          </cell>
          <cell r="F296">
            <v>0</v>
          </cell>
          <cell r="G296">
            <v>0</v>
          </cell>
          <cell r="H296">
            <v>117.59</v>
          </cell>
          <cell r="I296">
            <v>117.59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117.59</v>
          </cell>
          <cell r="R296">
            <v>117.59</v>
          </cell>
          <cell r="S296">
            <v>117.59</v>
          </cell>
          <cell r="T296">
            <v>117.59</v>
          </cell>
          <cell r="U296">
            <v>117.59</v>
          </cell>
          <cell r="V296">
            <v>117.59</v>
          </cell>
          <cell r="W296">
            <v>117.59</v>
          </cell>
          <cell r="X296">
            <v>117.59</v>
          </cell>
          <cell r="Y296">
            <v>117.59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2</v>
          </cell>
          <cell r="AN296" t="str">
            <v/>
          </cell>
          <cell r="AO296">
            <v>0</v>
          </cell>
          <cell r="AP296">
            <v>0</v>
          </cell>
          <cell r="AQ296">
            <v>0</v>
          </cell>
          <cell r="AR296">
            <v>600</v>
          </cell>
          <cell r="AS296">
            <v>0</v>
          </cell>
          <cell r="AT296" t="str">
            <v/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20635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 t="str">
            <v/>
          </cell>
          <cell r="BK296">
            <v>4300</v>
          </cell>
          <cell r="BL296" t="str">
            <v>0</v>
          </cell>
          <cell r="BM296" t="str">
            <v>1</v>
          </cell>
          <cell r="BN296" t="str">
            <v/>
          </cell>
          <cell r="BO296" t="str">
            <v/>
          </cell>
        </row>
        <row r="297">
          <cell r="A297">
            <v>1</v>
          </cell>
          <cell r="B297">
            <v>4136452</v>
          </cell>
          <cell r="C297" t="str">
            <v>ESCOMPTE</v>
          </cell>
          <cell r="D297" t="str">
            <v>CASCADES RLX. 8 X 425' BL</v>
          </cell>
          <cell r="E297" t="str">
            <v>O</v>
          </cell>
          <cell r="F297">
            <v>0</v>
          </cell>
          <cell r="G297">
            <v>0</v>
          </cell>
          <cell r="H297">
            <v>3737.25</v>
          </cell>
          <cell r="I297">
            <v>3846.83</v>
          </cell>
          <cell r="J297">
            <v>109.58</v>
          </cell>
          <cell r="K297">
            <v>0</v>
          </cell>
          <cell r="L297">
            <v>300.33</v>
          </cell>
          <cell r="M297">
            <v>0</v>
          </cell>
          <cell r="N297">
            <v>0</v>
          </cell>
          <cell r="O297">
            <v>116.97</v>
          </cell>
          <cell r="P297">
            <v>264.8</v>
          </cell>
          <cell r="Q297">
            <v>719.67</v>
          </cell>
          <cell r="R297">
            <v>1039.75</v>
          </cell>
          <cell r="S297">
            <v>1933.04</v>
          </cell>
          <cell r="T297">
            <v>2230.12</v>
          </cell>
          <cell r="U297">
            <v>2687.15</v>
          </cell>
          <cell r="V297">
            <v>2889.38</v>
          </cell>
          <cell r="W297">
            <v>3447.28</v>
          </cell>
          <cell r="X297">
            <v>3737.25</v>
          </cell>
          <cell r="Y297">
            <v>4037.58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2</v>
          </cell>
          <cell r="AN297" t="str">
            <v/>
          </cell>
          <cell r="AO297">
            <v>0</v>
          </cell>
          <cell r="AP297">
            <v>0</v>
          </cell>
          <cell r="AQ297">
            <v>0</v>
          </cell>
          <cell r="AR297">
            <v>600</v>
          </cell>
          <cell r="AS297">
            <v>0</v>
          </cell>
          <cell r="AT297" t="str">
            <v/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20645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 t="str">
            <v/>
          </cell>
          <cell r="BK297">
            <v>4300</v>
          </cell>
          <cell r="BL297" t="str">
            <v>0</v>
          </cell>
          <cell r="BM297" t="str">
            <v>1</v>
          </cell>
          <cell r="BN297" t="str">
            <v/>
          </cell>
          <cell r="BO297" t="str">
            <v/>
          </cell>
        </row>
        <row r="298">
          <cell r="A298">
            <v>1</v>
          </cell>
          <cell r="B298">
            <v>4138502</v>
          </cell>
          <cell r="C298" t="str">
            <v>ESCOMPTE</v>
          </cell>
          <cell r="D298" t="str">
            <v>W.T. NATUREL PLI/SIMPLE 4</v>
          </cell>
          <cell r="E298" t="str">
            <v>O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2</v>
          </cell>
          <cell r="AN298" t="str">
            <v/>
          </cell>
          <cell r="AO298">
            <v>0</v>
          </cell>
          <cell r="AP298">
            <v>0</v>
          </cell>
          <cell r="AQ298">
            <v>0</v>
          </cell>
          <cell r="AR298">
            <v>600</v>
          </cell>
          <cell r="AS298">
            <v>0</v>
          </cell>
          <cell r="AT298" t="str">
            <v/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 t="str">
            <v/>
          </cell>
          <cell r="BK298">
            <v>4300</v>
          </cell>
          <cell r="BL298" t="str">
            <v/>
          </cell>
          <cell r="BM298" t="str">
            <v>1</v>
          </cell>
          <cell r="BN298" t="str">
            <v/>
          </cell>
          <cell r="BO298" t="str">
            <v/>
          </cell>
        </row>
        <row r="299">
          <cell r="A299">
            <v>1</v>
          </cell>
          <cell r="B299">
            <v>4140932</v>
          </cell>
          <cell r="C299" t="str">
            <v>TRANSPORT</v>
          </cell>
          <cell r="D299" t="str">
            <v>SERV-A-PIS  PROTEC</v>
          </cell>
          <cell r="E299" t="str">
            <v>O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2</v>
          </cell>
          <cell r="AN299" t="str">
            <v/>
          </cell>
          <cell r="AO299">
            <v>0</v>
          </cell>
          <cell r="AP299">
            <v>0</v>
          </cell>
          <cell r="AQ299">
            <v>0</v>
          </cell>
          <cell r="AR299">
            <v>610</v>
          </cell>
          <cell r="AS299">
            <v>0</v>
          </cell>
          <cell r="AT299" t="str">
            <v/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 t="str">
            <v/>
          </cell>
          <cell r="BK299">
            <v>4200</v>
          </cell>
          <cell r="BL299" t="str">
            <v>0</v>
          </cell>
          <cell r="BM299" t="str">
            <v>1</v>
          </cell>
          <cell r="BN299" t="str">
            <v/>
          </cell>
          <cell r="BO299" t="str">
            <v/>
          </cell>
        </row>
        <row r="300">
          <cell r="A300">
            <v>1</v>
          </cell>
          <cell r="B300">
            <v>4143052</v>
          </cell>
          <cell r="C300" t="str">
            <v>TRANSPORT</v>
          </cell>
          <cell r="D300" t="str">
            <v>N.R. NATUREL P/S</v>
          </cell>
          <cell r="E300" t="str">
            <v>O</v>
          </cell>
          <cell r="F300">
            <v>0</v>
          </cell>
          <cell r="G300">
            <v>0</v>
          </cell>
          <cell r="H300">
            <v>72343.47</v>
          </cell>
          <cell r="I300">
            <v>84773.06</v>
          </cell>
          <cell r="J300">
            <v>12429.59</v>
          </cell>
          <cell r="K300">
            <v>0</v>
          </cell>
          <cell r="L300">
            <v>14775.52</v>
          </cell>
          <cell r="M300">
            <v>1288.83</v>
          </cell>
          <cell r="N300">
            <v>7574.59</v>
          </cell>
          <cell r="O300">
            <v>17351.2</v>
          </cell>
          <cell r="P300">
            <v>17351.2</v>
          </cell>
          <cell r="Q300">
            <v>17791.02</v>
          </cell>
          <cell r="R300">
            <v>22646.02</v>
          </cell>
          <cell r="S300">
            <v>26749.02</v>
          </cell>
          <cell r="T300">
            <v>31443.49</v>
          </cell>
          <cell r="U300">
            <v>37351.49</v>
          </cell>
          <cell r="V300">
            <v>45547.53</v>
          </cell>
          <cell r="W300">
            <v>55269.03</v>
          </cell>
          <cell r="X300">
            <v>72343.47</v>
          </cell>
          <cell r="Y300">
            <v>85830.16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2</v>
          </cell>
          <cell r="AN300" t="str">
            <v/>
          </cell>
          <cell r="AO300">
            <v>0</v>
          </cell>
          <cell r="AP300">
            <v>0</v>
          </cell>
          <cell r="AQ300">
            <v>0</v>
          </cell>
          <cell r="AR300">
            <v>610</v>
          </cell>
          <cell r="AS300">
            <v>0</v>
          </cell>
          <cell r="AT300" t="str">
            <v/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20305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 t="str">
            <v/>
          </cell>
          <cell r="BK300">
            <v>4200</v>
          </cell>
          <cell r="BL300" t="str">
            <v>0</v>
          </cell>
          <cell r="BM300" t="str">
            <v>1</v>
          </cell>
          <cell r="BN300" t="str">
            <v/>
          </cell>
          <cell r="BO300" t="str">
            <v/>
          </cell>
        </row>
        <row r="301">
          <cell r="A301">
            <v>1</v>
          </cell>
          <cell r="B301">
            <v>4143062</v>
          </cell>
          <cell r="C301" t="str">
            <v>TRANSPORT</v>
          </cell>
          <cell r="D301" t="str">
            <v>N.R. NAT.PLI EN</v>
          </cell>
          <cell r="E301" t="str">
            <v>O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2</v>
          </cell>
          <cell r="AN301" t="str">
            <v/>
          </cell>
          <cell r="AO301">
            <v>0</v>
          </cell>
          <cell r="AP301">
            <v>0</v>
          </cell>
          <cell r="AQ301">
            <v>0</v>
          </cell>
          <cell r="AR301">
            <v>610</v>
          </cell>
          <cell r="AS301">
            <v>0</v>
          </cell>
          <cell r="AT301" t="str">
            <v/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20306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 t="str">
            <v/>
          </cell>
          <cell r="BK301">
            <v>4200</v>
          </cell>
          <cell r="BL301" t="str">
            <v>0</v>
          </cell>
          <cell r="BM301" t="str">
            <v>1</v>
          </cell>
          <cell r="BN301" t="str">
            <v/>
          </cell>
          <cell r="BO301" t="str">
            <v/>
          </cell>
        </row>
        <row r="302">
          <cell r="A302">
            <v>1</v>
          </cell>
          <cell r="B302">
            <v>4143092</v>
          </cell>
          <cell r="C302" t="str">
            <v>TRANSPORT</v>
          </cell>
          <cell r="D302" t="str">
            <v>N.R. NAT.BLANC PLI EN</v>
          </cell>
          <cell r="E302" t="str">
            <v>O</v>
          </cell>
          <cell r="F302">
            <v>0</v>
          </cell>
          <cell r="G302">
            <v>0</v>
          </cell>
          <cell r="H302">
            <v>477.59</v>
          </cell>
          <cell r="I302">
            <v>557.27</v>
          </cell>
          <cell r="J302">
            <v>79.680000000000007</v>
          </cell>
          <cell r="K302">
            <v>0</v>
          </cell>
          <cell r="L302">
            <v>96.54</v>
          </cell>
          <cell r="M302">
            <v>0</v>
          </cell>
          <cell r="N302">
            <v>39.840000000000003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131</v>
          </cell>
          <cell r="T302">
            <v>131</v>
          </cell>
          <cell r="U302">
            <v>210</v>
          </cell>
          <cell r="V302">
            <v>336.47</v>
          </cell>
          <cell r="W302">
            <v>407.83</v>
          </cell>
          <cell r="X302">
            <v>477.59</v>
          </cell>
          <cell r="Y302">
            <v>574.13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2</v>
          </cell>
          <cell r="AN302" t="str">
            <v/>
          </cell>
          <cell r="AO302">
            <v>0</v>
          </cell>
          <cell r="AP302">
            <v>0</v>
          </cell>
          <cell r="AQ302">
            <v>0</v>
          </cell>
          <cell r="AR302">
            <v>610</v>
          </cell>
          <cell r="AS302">
            <v>0</v>
          </cell>
          <cell r="AT302" t="str">
            <v/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20309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 t="str">
            <v/>
          </cell>
          <cell r="BK302">
            <v>4200</v>
          </cell>
          <cell r="BL302" t="str">
            <v>0</v>
          </cell>
          <cell r="BM302" t="str">
            <v>1</v>
          </cell>
          <cell r="BN302" t="str">
            <v/>
          </cell>
          <cell r="BO302" t="str">
            <v/>
          </cell>
        </row>
        <row r="303">
          <cell r="A303">
            <v>1</v>
          </cell>
          <cell r="B303">
            <v>4143102</v>
          </cell>
          <cell r="C303" t="str">
            <v>TRANSPORT</v>
          </cell>
          <cell r="D303" t="str">
            <v>N.R. NAT.BLANC P/S</v>
          </cell>
          <cell r="E303" t="str">
            <v>O</v>
          </cell>
          <cell r="F303">
            <v>0</v>
          </cell>
          <cell r="G303">
            <v>0</v>
          </cell>
          <cell r="H303">
            <v>1852.56</v>
          </cell>
          <cell r="I303">
            <v>2150.56</v>
          </cell>
          <cell r="J303">
            <v>298</v>
          </cell>
          <cell r="K303">
            <v>0</v>
          </cell>
          <cell r="L303">
            <v>424.79</v>
          </cell>
          <cell r="M303">
            <v>0</v>
          </cell>
          <cell r="N303">
            <v>174.4</v>
          </cell>
          <cell r="O303">
            <v>111.8</v>
          </cell>
          <cell r="P303">
            <v>111.8</v>
          </cell>
          <cell r="Q303">
            <v>111.8</v>
          </cell>
          <cell r="R303">
            <v>172.8</v>
          </cell>
          <cell r="S303">
            <v>274.8</v>
          </cell>
          <cell r="T303">
            <v>385.15</v>
          </cell>
          <cell r="U303">
            <v>385.15</v>
          </cell>
          <cell r="V303">
            <v>822.95</v>
          </cell>
          <cell r="W303">
            <v>1313.44</v>
          </cell>
          <cell r="X303">
            <v>1852.56</v>
          </cell>
          <cell r="Y303">
            <v>2277.35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2</v>
          </cell>
          <cell r="AN303" t="str">
            <v/>
          </cell>
          <cell r="AO303">
            <v>0</v>
          </cell>
          <cell r="AP303">
            <v>0</v>
          </cell>
          <cell r="AQ303">
            <v>0</v>
          </cell>
          <cell r="AR303">
            <v>610</v>
          </cell>
          <cell r="AS303">
            <v>0</v>
          </cell>
          <cell r="AT303" t="str">
            <v/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20310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 t="str">
            <v/>
          </cell>
          <cell r="BK303">
            <v>4200</v>
          </cell>
          <cell r="BL303" t="str">
            <v>0</v>
          </cell>
          <cell r="BM303" t="str">
            <v>1</v>
          </cell>
          <cell r="BN303" t="str">
            <v/>
          </cell>
          <cell r="BO303" t="str">
            <v/>
          </cell>
        </row>
        <row r="304">
          <cell r="A304">
            <v>1</v>
          </cell>
          <cell r="B304">
            <v>4143112</v>
          </cell>
          <cell r="C304" t="str">
            <v>TRANSPORT</v>
          </cell>
          <cell r="D304" t="str">
            <v>N.R. SERV-A-PIS</v>
          </cell>
          <cell r="E304" t="str">
            <v>O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2</v>
          </cell>
          <cell r="AN304" t="str">
            <v/>
          </cell>
          <cell r="AO304">
            <v>0</v>
          </cell>
          <cell r="AP304">
            <v>0</v>
          </cell>
          <cell r="AQ304">
            <v>0</v>
          </cell>
          <cell r="AR304">
            <v>610</v>
          </cell>
          <cell r="AS304">
            <v>0</v>
          </cell>
          <cell r="AT304" t="str">
            <v/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 t="str">
            <v/>
          </cell>
          <cell r="BK304">
            <v>4200</v>
          </cell>
          <cell r="BL304" t="str">
            <v>0</v>
          </cell>
          <cell r="BM304" t="str">
            <v>1</v>
          </cell>
          <cell r="BN304" t="str">
            <v/>
          </cell>
          <cell r="BO304" t="str">
            <v/>
          </cell>
        </row>
        <row r="305">
          <cell r="A305">
            <v>1</v>
          </cell>
          <cell r="B305">
            <v>4143122</v>
          </cell>
          <cell r="C305" t="str">
            <v>TRANSPORT</v>
          </cell>
          <cell r="D305" t="str">
            <v>N.R. NAT.BLANC 8</v>
          </cell>
          <cell r="E305" t="str">
            <v>O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2</v>
          </cell>
          <cell r="AN305" t="str">
            <v/>
          </cell>
          <cell r="AO305">
            <v>0</v>
          </cell>
          <cell r="AP305">
            <v>0</v>
          </cell>
          <cell r="AQ305">
            <v>0</v>
          </cell>
          <cell r="AR305">
            <v>610</v>
          </cell>
          <cell r="AS305">
            <v>0</v>
          </cell>
          <cell r="AT305" t="str">
            <v/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 t="str">
            <v/>
          </cell>
          <cell r="BK305">
            <v>4200</v>
          </cell>
          <cell r="BL305" t="str">
            <v>0</v>
          </cell>
          <cell r="BM305" t="str">
            <v>1</v>
          </cell>
          <cell r="BN305" t="str">
            <v/>
          </cell>
          <cell r="BO305" t="str">
            <v/>
          </cell>
        </row>
        <row r="306">
          <cell r="A306">
            <v>1</v>
          </cell>
          <cell r="B306">
            <v>4143132</v>
          </cell>
          <cell r="C306" t="str">
            <v>TRANSPORT</v>
          </cell>
          <cell r="D306" t="str">
            <v>N.R. NATUREL 8</v>
          </cell>
          <cell r="E306" t="str">
            <v>O</v>
          </cell>
          <cell r="F306">
            <v>0</v>
          </cell>
          <cell r="G306">
            <v>0</v>
          </cell>
          <cell r="H306">
            <v>16535.810000000001</v>
          </cell>
          <cell r="I306">
            <v>19113.29</v>
          </cell>
          <cell r="J306">
            <v>2577.48</v>
          </cell>
          <cell r="K306">
            <v>0</v>
          </cell>
          <cell r="L306">
            <v>1137.07</v>
          </cell>
          <cell r="M306">
            <v>0</v>
          </cell>
          <cell r="N306">
            <v>344.47</v>
          </cell>
          <cell r="O306">
            <v>910.59</v>
          </cell>
          <cell r="P306">
            <v>910.59</v>
          </cell>
          <cell r="Q306">
            <v>1125.06</v>
          </cell>
          <cell r="R306">
            <v>3077.06</v>
          </cell>
          <cell r="S306">
            <v>5804.07</v>
          </cell>
          <cell r="T306">
            <v>7478.16</v>
          </cell>
          <cell r="U306">
            <v>9121.16</v>
          </cell>
          <cell r="V306">
            <v>10958.15</v>
          </cell>
          <cell r="W306">
            <v>13638.72</v>
          </cell>
          <cell r="X306">
            <v>16535.810000000001</v>
          </cell>
          <cell r="Y306">
            <v>17672.88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317.10000000000002</v>
          </cell>
          <cell r="AJ306">
            <v>317.10000000000002</v>
          </cell>
          <cell r="AK306">
            <v>317.10000000000002</v>
          </cell>
          <cell r="AL306">
            <v>0</v>
          </cell>
          <cell r="AM306">
            <v>2</v>
          </cell>
          <cell r="AN306" t="str">
            <v/>
          </cell>
          <cell r="AO306">
            <v>0</v>
          </cell>
          <cell r="AP306">
            <v>0</v>
          </cell>
          <cell r="AQ306">
            <v>0</v>
          </cell>
          <cell r="AR306">
            <v>610</v>
          </cell>
          <cell r="AS306">
            <v>0</v>
          </cell>
          <cell r="AT306" t="str">
            <v/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20313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 t="str">
            <v/>
          </cell>
          <cell r="BK306">
            <v>4200</v>
          </cell>
          <cell r="BL306" t="str">
            <v>0</v>
          </cell>
          <cell r="BM306" t="str">
            <v>1</v>
          </cell>
          <cell r="BN306" t="str">
            <v/>
          </cell>
          <cell r="BO306" t="str">
            <v/>
          </cell>
        </row>
        <row r="307">
          <cell r="A307">
            <v>1</v>
          </cell>
          <cell r="B307">
            <v>4143142</v>
          </cell>
          <cell r="C307" t="str">
            <v>TRANSPORT</v>
          </cell>
          <cell r="D307" t="str">
            <v>N.R. BLANC 8</v>
          </cell>
          <cell r="E307" t="str">
            <v>O</v>
          </cell>
          <cell r="F307">
            <v>0</v>
          </cell>
          <cell r="G307">
            <v>0</v>
          </cell>
          <cell r="H307">
            <v>3852.45</v>
          </cell>
          <cell r="I307">
            <v>4957.24</v>
          </cell>
          <cell r="J307">
            <v>1104.79</v>
          </cell>
          <cell r="K307">
            <v>0</v>
          </cell>
          <cell r="L307">
            <v>347.89</v>
          </cell>
          <cell r="M307">
            <v>0</v>
          </cell>
          <cell r="N307">
            <v>120.51</v>
          </cell>
          <cell r="O307">
            <v>74.23</v>
          </cell>
          <cell r="P307">
            <v>74.23</v>
          </cell>
          <cell r="Q307">
            <v>74.23</v>
          </cell>
          <cell r="R307">
            <v>1019.1</v>
          </cell>
          <cell r="S307">
            <v>1234.0999999999999</v>
          </cell>
          <cell r="T307">
            <v>1649.4</v>
          </cell>
          <cell r="U307">
            <v>2228.96</v>
          </cell>
          <cell r="V307">
            <v>2476.5</v>
          </cell>
          <cell r="W307">
            <v>3302.07</v>
          </cell>
          <cell r="X307">
            <v>3852.45</v>
          </cell>
          <cell r="Y307">
            <v>4200.34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2</v>
          </cell>
          <cell r="AN307" t="str">
            <v/>
          </cell>
          <cell r="AO307">
            <v>0</v>
          </cell>
          <cell r="AP307">
            <v>0</v>
          </cell>
          <cell r="AQ307">
            <v>0</v>
          </cell>
          <cell r="AR307">
            <v>610</v>
          </cell>
          <cell r="AS307">
            <v>0</v>
          </cell>
          <cell r="AT307" t="str">
            <v/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20314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 t="str">
            <v/>
          </cell>
          <cell r="BK307">
            <v>4200</v>
          </cell>
          <cell r="BL307" t="str">
            <v>0</v>
          </cell>
          <cell r="BM307" t="str">
            <v>1</v>
          </cell>
          <cell r="BN307" t="str">
            <v/>
          </cell>
          <cell r="BO307" t="str">
            <v/>
          </cell>
        </row>
        <row r="308">
          <cell r="A308">
            <v>1</v>
          </cell>
          <cell r="B308">
            <v>4143152</v>
          </cell>
          <cell r="C308" t="str">
            <v>TRANSPORT</v>
          </cell>
          <cell r="D308" t="str">
            <v>N.R. NATUREL P/M</v>
          </cell>
          <cell r="E308" t="str">
            <v>O</v>
          </cell>
          <cell r="F308">
            <v>0</v>
          </cell>
          <cell r="G308">
            <v>0</v>
          </cell>
          <cell r="H308">
            <v>19814.669999999998</v>
          </cell>
          <cell r="I308">
            <v>24783.61</v>
          </cell>
          <cell r="J308">
            <v>4968.9399999999996</v>
          </cell>
          <cell r="K308">
            <v>0</v>
          </cell>
          <cell r="L308">
            <v>2480.38</v>
          </cell>
          <cell r="M308">
            <v>237.91</v>
          </cell>
          <cell r="N308">
            <v>2250.2199999999998</v>
          </cell>
          <cell r="O308">
            <v>2362.94</v>
          </cell>
          <cell r="P308">
            <v>2362.94</v>
          </cell>
          <cell r="Q308">
            <v>3174.11</v>
          </cell>
          <cell r="R308">
            <v>5889.3</v>
          </cell>
          <cell r="S308">
            <v>7252.09</v>
          </cell>
          <cell r="T308">
            <v>9116.1</v>
          </cell>
          <cell r="U308">
            <v>10808.1</v>
          </cell>
          <cell r="V308">
            <v>13149.13</v>
          </cell>
          <cell r="W308">
            <v>16088.22</v>
          </cell>
          <cell r="X308">
            <v>19814.669999999998</v>
          </cell>
          <cell r="Y308">
            <v>22057.14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2</v>
          </cell>
          <cell r="AN308" t="str">
            <v/>
          </cell>
          <cell r="AO308">
            <v>0</v>
          </cell>
          <cell r="AP308">
            <v>0</v>
          </cell>
          <cell r="AQ308">
            <v>0</v>
          </cell>
          <cell r="AR308">
            <v>610</v>
          </cell>
          <cell r="AS308">
            <v>0</v>
          </cell>
          <cell r="AT308" t="str">
            <v/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20315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 t="str">
            <v/>
          </cell>
          <cell r="BK308">
            <v>4200</v>
          </cell>
          <cell r="BL308" t="str">
            <v>0</v>
          </cell>
          <cell r="BM308" t="str">
            <v>1</v>
          </cell>
          <cell r="BN308" t="str">
            <v/>
          </cell>
          <cell r="BO308" t="str">
            <v/>
          </cell>
        </row>
        <row r="309">
          <cell r="A309">
            <v>1</v>
          </cell>
          <cell r="B309">
            <v>4143162</v>
          </cell>
          <cell r="C309" t="str">
            <v>TRANSPORT</v>
          </cell>
          <cell r="D309" t="str">
            <v>NATURAL 8</v>
          </cell>
          <cell r="E309" t="str">
            <v>O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2</v>
          </cell>
          <cell r="AN309" t="str">
            <v/>
          </cell>
          <cell r="AO309">
            <v>0</v>
          </cell>
          <cell r="AP309">
            <v>0</v>
          </cell>
          <cell r="AQ309">
            <v>0</v>
          </cell>
          <cell r="AR309">
            <v>610</v>
          </cell>
          <cell r="AS309">
            <v>0</v>
          </cell>
          <cell r="AT309" t="str">
            <v/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 t="str">
            <v/>
          </cell>
          <cell r="BK309">
            <v>4200</v>
          </cell>
          <cell r="BL309" t="str">
            <v>0</v>
          </cell>
          <cell r="BM309" t="str">
            <v>1</v>
          </cell>
          <cell r="BN309" t="str">
            <v/>
          </cell>
          <cell r="BO309" t="str">
            <v/>
          </cell>
        </row>
        <row r="310">
          <cell r="A310">
            <v>1</v>
          </cell>
          <cell r="B310">
            <v>4143202</v>
          </cell>
          <cell r="C310" t="str">
            <v>TRANSPORT</v>
          </cell>
          <cell r="D310" t="str">
            <v>N.R. NAT.BLANC P/M</v>
          </cell>
          <cell r="E310" t="str">
            <v>O</v>
          </cell>
          <cell r="F310">
            <v>0</v>
          </cell>
          <cell r="G310">
            <v>0</v>
          </cell>
          <cell r="H310">
            <v>1629.9</v>
          </cell>
          <cell r="I310">
            <v>1950.82</v>
          </cell>
          <cell r="J310">
            <v>320.92</v>
          </cell>
          <cell r="K310">
            <v>0</v>
          </cell>
          <cell r="L310">
            <v>371.72</v>
          </cell>
          <cell r="M310">
            <v>0</v>
          </cell>
          <cell r="N310">
            <v>110.52</v>
          </cell>
          <cell r="O310">
            <v>57.12</v>
          </cell>
          <cell r="P310">
            <v>57.12</v>
          </cell>
          <cell r="Q310">
            <v>57.12</v>
          </cell>
          <cell r="R310">
            <v>214.12</v>
          </cell>
          <cell r="S310">
            <v>602.12</v>
          </cell>
          <cell r="T310">
            <v>851.64</v>
          </cell>
          <cell r="U310">
            <v>964.64</v>
          </cell>
          <cell r="V310">
            <v>1322.1</v>
          </cell>
          <cell r="W310">
            <v>1492.86</v>
          </cell>
          <cell r="X310">
            <v>1629.9</v>
          </cell>
          <cell r="Y310">
            <v>2001.62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2</v>
          </cell>
          <cell r="AN310" t="str">
            <v/>
          </cell>
          <cell r="AO310">
            <v>0</v>
          </cell>
          <cell r="AP310">
            <v>0</v>
          </cell>
          <cell r="AQ310">
            <v>0</v>
          </cell>
          <cell r="AR310">
            <v>610</v>
          </cell>
          <cell r="AS310">
            <v>0</v>
          </cell>
          <cell r="AT310" t="str">
            <v/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20320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 t="str">
            <v/>
          </cell>
          <cell r="BK310">
            <v>4200</v>
          </cell>
          <cell r="BL310" t="str">
            <v>0</v>
          </cell>
          <cell r="BM310" t="str">
            <v>1</v>
          </cell>
          <cell r="BN310" t="str">
            <v/>
          </cell>
          <cell r="BO310" t="str">
            <v/>
          </cell>
        </row>
        <row r="311">
          <cell r="A311">
            <v>1</v>
          </cell>
          <cell r="B311">
            <v>4143252</v>
          </cell>
          <cell r="C311" t="str">
            <v>TRANSPORT</v>
          </cell>
          <cell r="D311" t="str">
            <v>N.R. NATUREL 8</v>
          </cell>
          <cell r="E311" t="str">
            <v>O</v>
          </cell>
          <cell r="F311">
            <v>0</v>
          </cell>
          <cell r="G311">
            <v>0</v>
          </cell>
          <cell r="H311">
            <v>50986.98</v>
          </cell>
          <cell r="I311">
            <v>60397.01</v>
          </cell>
          <cell r="J311">
            <v>9410.0300000000007</v>
          </cell>
          <cell r="K311">
            <v>0</v>
          </cell>
          <cell r="L311">
            <v>7215.44</v>
          </cell>
          <cell r="M311">
            <v>144.58000000000001</v>
          </cell>
          <cell r="N311">
            <v>2369.7399999999998</v>
          </cell>
          <cell r="O311">
            <v>8311.49</v>
          </cell>
          <cell r="P311">
            <v>8311.49</v>
          </cell>
          <cell r="Q311">
            <v>9413.67</v>
          </cell>
          <cell r="R311">
            <v>17534.7</v>
          </cell>
          <cell r="S311">
            <v>21302.7</v>
          </cell>
          <cell r="T311">
            <v>25654.13</v>
          </cell>
          <cell r="U311">
            <v>30469.17</v>
          </cell>
          <cell r="V311">
            <v>34208.31</v>
          </cell>
          <cell r="W311">
            <v>42053.93</v>
          </cell>
          <cell r="X311">
            <v>50986.98</v>
          </cell>
          <cell r="Y311">
            <v>58057.84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356.74</v>
          </cell>
          <cell r="AJ311">
            <v>356.74</v>
          </cell>
          <cell r="AK311">
            <v>588.27</v>
          </cell>
          <cell r="AL311">
            <v>0</v>
          </cell>
          <cell r="AM311">
            <v>2</v>
          </cell>
          <cell r="AN311" t="str">
            <v/>
          </cell>
          <cell r="AO311">
            <v>0</v>
          </cell>
          <cell r="AP311">
            <v>0</v>
          </cell>
          <cell r="AQ311">
            <v>0</v>
          </cell>
          <cell r="AR311">
            <v>610</v>
          </cell>
          <cell r="AS311">
            <v>0</v>
          </cell>
          <cell r="AT311" t="str">
            <v/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20325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 t="str">
            <v/>
          </cell>
          <cell r="BK311">
            <v>4200</v>
          </cell>
          <cell r="BL311" t="str">
            <v>0</v>
          </cell>
          <cell r="BM311" t="str">
            <v>1</v>
          </cell>
          <cell r="BN311" t="str">
            <v/>
          </cell>
          <cell r="BO311" t="str">
            <v/>
          </cell>
        </row>
        <row r="312">
          <cell r="A312">
            <v>1</v>
          </cell>
          <cell r="B312">
            <v>4143302</v>
          </cell>
          <cell r="C312" t="str">
            <v>TRANSPORT</v>
          </cell>
          <cell r="D312" t="str">
            <v>N.R. NAT.BLANC 8</v>
          </cell>
          <cell r="E312" t="str">
            <v>O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2</v>
          </cell>
          <cell r="AN312" t="str">
            <v/>
          </cell>
          <cell r="AO312">
            <v>0</v>
          </cell>
          <cell r="AP312">
            <v>0</v>
          </cell>
          <cell r="AQ312">
            <v>0</v>
          </cell>
          <cell r="AR312">
            <v>610</v>
          </cell>
          <cell r="AS312">
            <v>0</v>
          </cell>
          <cell r="AT312" t="str">
            <v/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 t="str">
            <v/>
          </cell>
          <cell r="BK312">
            <v>4200</v>
          </cell>
          <cell r="BL312" t="str">
            <v>0</v>
          </cell>
          <cell r="BM312" t="str">
            <v>1</v>
          </cell>
          <cell r="BN312" t="str">
            <v/>
          </cell>
          <cell r="BO312" t="str">
            <v/>
          </cell>
        </row>
        <row r="313">
          <cell r="A313">
            <v>1</v>
          </cell>
          <cell r="B313">
            <v>4143372</v>
          </cell>
          <cell r="C313" t="str">
            <v>TRANSPORT</v>
          </cell>
          <cell r="D313" t="str">
            <v>N.R. NATUREL 8</v>
          </cell>
          <cell r="E313" t="str">
            <v>O</v>
          </cell>
          <cell r="F313">
            <v>0</v>
          </cell>
          <cell r="G313">
            <v>0</v>
          </cell>
          <cell r="H313">
            <v>20508.8</v>
          </cell>
          <cell r="I313">
            <v>24381.69</v>
          </cell>
          <cell r="J313">
            <v>3872.89</v>
          </cell>
          <cell r="K313">
            <v>0</v>
          </cell>
          <cell r="L313">
            <v>2115.6799999999998</v>
          </cell>
          <cell r="M313">
            <v>0</v>
          </cell>
          <cell r="N313">
            <v>1222.8900000000001</v>
          </cell>
          <cell r="O313">
            <v>1400.89</v>
          </cell>
          <cell r="P313">
            <v>1464.82</v>
          </cell>
          <cell r="Q313">
            <v>1938.27</v>
          </cell>
          <cell r="R313">
            <v>4588.2700000000004</v>
          </cell>
          <cell r="S313">
            <v>6470.27</v>
          </cell>
          <cell r="T313">
            <v>8796.3700000000008</v>
          </cell>
          <cell r="U313">
            <v>11599.37</v>
          </cell>
          <cell r="V313">
            <v>14298.82</v>
          </cell>
          <cell r="W313">
            <v>17441.650000000001</v>
          </cell>
          <cell r="X313">
            <v>20508.8</v>
          </cell>
          <cell r="Y313">
            <v>22624.48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2</v>
          </cell>
          <cell r="AN313" t="str">
            <v/>
          </cell>
          <cell r="AO313">
            <v>0</v>
          </cell>
          <cell r="AP313">
            <v>0</v>
          </cell>
          <cell r="AQ313">
            <v>0</v>
          </cell>
          <cell r="AR313">
            <v>610</v>
          </cell>
          <cell r="AS313">
            <v>0</v>
          </cell>
          <cell r="AT313" t="str">
            <v/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20337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 t="str">
            <v/>
          </cell>
          <cell r="BK313">
            <v>4200</v>
          </cell>
          <cell r="BL313" t="str">
            <v>0</v>
          </cell>
          <cell r="BM313" t="str">
            <v>1</v>
          </cell>
          <cell r="BN313" t="str">
            <v/>
          </cell>
          <cell r="BO313" t="str">
            <v/>
          </cell>
        </row>
        <row r="314">
          <cell r="A314">
            <v>1</v>
          </cell>
          <cell r="B314">
            <v>4143382</v>
          </cell>
          <cell r="C314" t="str">
            <v>TRANSPORT</v>
          </cell>
          <cell r="D314" t="str">
            <v>N.R. 8</v>
          </cell>
          <cell r="E314" t="str">
            <v>O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2</v>
          </cell>
          <cell r="AN314" t="str">
            <v/>
          </cell>
          <cell r="AO314">
            <v>0</v>
          </cell>
          <cell r="AP314">
            <v>0</v>
          </cell>
          <cell r="AQ314">
            <v>0</v>
          </cell>
          <cell r="AR314">
            <v>610</v>
          </cell>
          <cell r="AS314">
            <v>0</v>
          </cell>
          <cell r="AT314" t="str">
            <v/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 t="str">
            <v/>
          </cell>
          <cell r="BK314">
            <v>4200</v>
          </cell>
          <cell r="BL314" t="str">
            <v>0</v>
          </cell>
          <cell r="BM314" t="str">
            <v>1</v>
          </cell>
          <cell r="BN314" t="str">
            <v/>
          </cell>
          <cell r="BO314" t="str">
            <v/>
          </cell>
        </row>
        <row r="315">
          <cell r="A315">
            <v>1</v>
          </cell>
          <cell r="B315">
            <v>4143392</v>
          </cell>
          <cell r="C315" t="str">
            <v>TRANSPORT</v>
          </cell>
          <cell r="D315" t="str">
            <v>N.R. NATUREL 8</v>
          </cell>
          <cell r="E315" t="str">
            <v>O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2</v>
          </cell>
          <cell r="AN315" t="str">
            <v/>
          </cell>
          <cell r="AO315">
            <v>0</v>
          </cell>
          <cell r="AP315">
            <v>0</v>
          </cell>
          <cell r="AQ315">
            <v>0</v>
          </cell>
          <cell r="AR315">
            <v>610</v>
          </cell>
          <cell r="AS315">
            <v>0</v>
          </cell>
          <cell r="AT315" t="str">
            <v/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 t="str">
            <v/>
          </cell>
          <cell r="BK315">
            <v>4200</v>
          </cell>
          <cell r="BL315" t="str">
            <v>0</v>
          </cell>
          <cell r="BM315" t="str">
            <v>1</v>
          </cell>
          <cell r="BN315" t="str">
            <v/>
          </cell>
          <cell r="BO315" t="str">
            <v/>
          </cell>
        </row>
        <row r="316">
          <cell r="A316">
            <v>1</v>
          </cell>
          <cell r="B316">
            <v>4143402</v>
          </cell>
          <cell r="C316" t="str">
            <v>TRANSPORT</v>
          </cell>
          <cell r="D316" t="str">
            <v>N.R. NAT.BLANC 8</v>
          </cell>
          <cell r="E316" t="str">
            <v>O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2</v>
          </cell>
          <cell r="AN316" t="str">
            <v/>
          </cell>
          <cell r="AO316">
            <v>0</v>
          </cell>
          <cell r="AP316">
            <v>0</v>
          </cell>
          <cell r="AQ316">
            <v>0</v>
          </cell>
          <cell r="AR316">
            <v>610</v>
          </cell>
          <cell r="AS316">
            <v>0</v>
          </cell>
          <cell r="AT316" t="str">
            <v/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 t="str">
            <v/>
          </cell>
          <cell r="BK316">
            <v>4200</v>
          </cell>
          <cell r="BL316" t="str">
            <v>0</v>
          </cell>
          <cell r="BM316" t="str">
            <v>1</v>
          </cell>
          <cell r="BN316" t="str">
            <v/>
          </cell>
          <cell r="BO316" t="str">
            <v/>
          </cell>
        </row>
        <row r="317">
          <cell r="A317">
            <v>1</v>
          </cell>
          <cell r="B317">
            <v>4143412</v>
          </cell>
          <cell r="C317" t="str">
            <v>TRANSPORT</v>
          </cell>
          <cell r="D317" t="str">
            <v>N.R. BLANC P/S</v>
          </cell>
          <cell r="E317" t="str">
            <v>O</v>
          </cell>
          <cell r="F317">
            <v>0</v>
          </cell>
          <cell r="G317">
            <v>0</v>
          </cell>
          <cell r="H317">
            <v>12891.44</v>
          </cell>
          <cell r="I317">
            <v>14661.68</v>
          </cell>
          <cell r="J317">
            <v>1770.24</v>
          </cell>
          <cell r="K317">
            <v>0</v>
          </cell>
          <cell r="L317">
            <v>1454.22</v>
          </cell>
          <cell r="M317">
            <v>128.94</v>
          </cell>
          <cell r="N317">
            <v>415.91</v>
          </cell>
          <cell r="O317">
            <v>450.99</v>
          </cell>
          <cell r="P317">
            <v>450.99</v>
          </cell>
          <cell r="Q317">
            <v>1587.3</v>
          </cell>
          <cell r="R317">
            <v>2762.5</v>
          </cell>
          <cell r="S317">
            <v>3691.66</v>
          </cell>
          <cell r="T317">
            <v>6690.22</v>
          </cell>
          <cell r="U317">
            <v>7913.22</v>
          </cell>
          <cell r="V317">
            <v>9600.31</v>
          </cell>
          <cell r="W317">
            <v>11091.87</v>
          </cell>
          <cell r="X317">
            <v>12891.44</v>
          </cell>
          <cell r="Y317">
            <v>14216.72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319.49</v>
          </cell>
          <cell r="AK317">
            <v>319.49</v>
          </cell>
          <cell r="AL317">
            <v>0</v>
          </cell>
          <cell r="AM317">
            <v>2</v>
          </cell>
          <cell r="AN317" t="str">
            <v/>
          </cell>
          <cell r="AO317">
            <v>0</v>
          </cell>
          <cell r="AP317">
            <v>0</v>
          </cell>
          <cell r="AQ317">
            <v>0</v>
          </cell>
          <cell r="AR317">
            <v>610</v>
          </cell>
          <cell r="AS317">
            <v>0</v>
          </cell>
          <cell r="AT317" t="str">
            <v/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20341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 t="str">
            <v/>
          </cell>
          <cell r="BK317">
            <v>4200</v>
          </cell>
          <cell r="BL317" t="str">
            <v>0</v>
          </cell>
          <cell r="BM317" t="str">
            <v>1</v>
          </cell>
          <cell r="BN317" t="str">
            <v/>
          </cell>
          <cell r="BO317" t="str">
            <v/>
          </cell>
        </row>
        <row r="318">
          <cell r="A318">
            <v>1</v>
          </cell>
          <cell r="B318">
            <v>4143422</v>
          </cell>
          <cell r="C318" t="str">
            <v>TRANSPORT</v>
          </cell>
          <cell r="D318" t="str">
            <v>N.R. BLANC P/M</v>
          </cell>
          <cell r="E318" t="str">
            <v>O</v>
          </cell>
          <cell r="F318">
            <v>0</v>
          </cell>
          <cell r="G318">
            <v>0</v>
          </cell>
          <cell r="H318">
            <v>41152.06</v>
          </cell>
          <cell r="I318">
            <v>45166.48</v>
          </cell>
          <cell r="J318">
            <v>4014.42</v>
          </cell>
          <cell r="K318">
            <v>0</v>
          </cell>
          <cell r="L318">
            <v>3289.01</v>
          </cell>
          <cell r="M318">
            <v>178.43</v>
          </cell>
          <cell r="N318">
            <v>936.11</v>
          </cell>
          <cell r="O318">
            <v>3744.49</v>
          </cell>
          <cell r="P318">
            <v>3744.49</v>
          </cell>
          <cell r="Q318">
            <v>5401.3</v>
          </cell>
          <cell r="R318">
            <v>7867.3</v>
          </cell>
          <cell r="S318">
            <v>10434.299999999999</v>
          </cell>
          <cell r="T318">
            <v>14765.12</v>
          </cell>
          <cell r="U318">
            <v>19932.23</v>
          </cell>
          <cell r="V318">
            <v>26390.76</v>
          </cell>
          <cell r="W318">
            <v>32931.93</v>
          </cell>
          <cell r="X318">
            <v>41152.06</v>
          </cell>
          <cell r="Y318">
            <v>44262.64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492.81</v>
          </cell>
          <cell r="AL318">
            <v>0</v>
          </cell>
          <cell r="AM318">
            <v>2</v>
          </cell>
          <cell r="AN318" t="str">
            <v/>
          </cell>
          <cell r="AO318">
            <v>0</v>
          </cell>
          <cell r="AP318">
            <v>0</v>
          </cell>
          <cell r="AQ318">
            <v>0</v>
          </cell>
          <cell r="AR318">
            <v>610</v>
          </cell>
          <cell r="AS318">
            <v>0</v>
          </cell>
          <cell r="AT318" t="str">
            <v/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20342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 t="str">
            <v/>
          </cell>
          <cell r="BK318">
            <v>4200</v>
          </cell>
          <cell r="BL318" t="str">
            <v>0</v>
          </cell>
          <cell r="BM318" t="str">
            <v>1</v>
          </cell>
          <cell r="BN318" t="str">
            <v/>
          </cell>
          <cell r="BO318" t="str">
            <v/>
          </cell>
        </row>
        <row r="319">
          <cell r="A319">
            <v>1</v>
          </cell>
          <cell r="B319">
            <v>4143472</v>
          </cell>
          <cell r="C319" t="str">
            <v>TRANSPORT</v>
          </cell>
          <cell r="D319" t="str">
            <v>N.R. BLANC PLI EN</v>
          </cell>
          <cell r="E319" t="str">
            <v>O</v>
          </cell>
          <cell r="F319">
            <v>0</v>
          </cell>
          <cell r="G319">
            <v>0</v>
          </cell>
          <cell r="H319">
            <v>58515.98</v>
          </cell>
          <cell r="I319">
            <v>66414.100000000006</v>
          </cell>
          <cell r="J319">
            <v>7898.12</v>
          </cell>
          <cell r="K319">
            <v>0</v>
          </cell>
          <cell r="L319">
            <v>5268.18</v>
          </cell>
          <cell r="M319">
            <v>448.76</v>
          </cell>
          <cell r="N319">
            <v>1541.35</v>
          </cell>
          <cell r="O319">
            <v>6324.78</v>
          </cell>
          <cell r="P319">
            <v>6704.15</v>
          </cell>
          <cell r="Q319">
            <v>8043.94</v>
          </cell>
          <cell r="R319">
            <v>13773.94</v>
          </cell>
          <cell r="S319">
            <v>19112.419999999998</v>
          </cell>
          <cell r="T319">
            <v>24710.98</v>
          </cell>
          <cell r="U319">
            <v>31621.08</v>
          </cell>
          <cell r="V319">
            <v>39367.360000000001</v>
          </cell>
          <cell r="W319">
            <v>47211.28</v>
          </cell>
          <cell r="X319">
            <v>58515.98</v>
          </cell>
          <cell r="Y319">
            <v>63335.4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128.75</v>
          </cell>
          <cell r="AJ319">
            <v>570.17999999999995</v>
          </cell>
          <cell r="AK319">
            <v>570.17999999999995</v>
          </cell>
          <cell r="AL319">
            <v>0</v>
          </cell>
          <cell r="AM319">
            <v>2</v>
          </cell>
          <cell r="AN319" t="str">
            <v/>
          </cell>
          <cell r="AO319">
            <v>0</v>
          </cell>
          <cell r="AP319">
            <v>0</v>
          </cell>
          <cell r="AQ319">
            <v>0</v>
          </cell>
          <cell r="AR319">
            <v>610</v>
          </cell>
          <cell r="AS319">
            <v>0</v>
          </cell>
          <cell r="AT319" t="str">
            <v/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20347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 t="str">
            <v/>
          </cell>
          <cell r="BK319">
            <v>4200</v>
          </cell>
          <cell r="BL319" t="str">
            <v>0</v>
          </cell>
          <cell r="BM319" t="str">
            <v>1</v>
          </cell>
          <cell r="BN319" t="str">
            <v/>
          </cell>
          <cell r="BO319" t="str">
            <v/>
          </cell>
        </row>
        <row r="320">
          <cell r="A320">
            <v>1</v>
          </cell>
          <cell r="B320">
            <v>4143482</v>
          </cell>
          <cell r="C320" t="str">
            <v>TRANSPORT</v>
          </cell>
          <cell r="D320" t="str">
            <v>NR 8</v>
          </cell>
          <cell r="E320" t="str">
            <v>O</v>
          </cell>
          <cell r="F320">
            <v>0</v>
          </cell>
          <cell r="G320">
            <v>0</v>
          </cell>
          <cell r="H320">
            <v>5212.7700000000004</v>
          </cell>
          <cell r="I320">
            <v>5820.9</v>
          </cell>
          <cell r="J320">
            <v>608.13</v>
          </cell>
          <cell r="K320">
            <v>0</v>
          </cell>
          <cell r="L320">
            <v>521.72</v>
          </cell>
          <cell r="M320">
            <v>0</v>
          </cell>
          <cell r="N320">
            <v>169.13</v>
          </cell>
          <cell r="O320">
            <v>287.23</v>
          </cell>
          <cell r="P320">
            <v>287.23</v>
          </cell>
          <cell r="Q320">
            <v>287.23</v>
          </cell>
          <cell r="R320">
            <v>726.23</v>
          </cell>
          <cell r="S320">
            <v>1463.23</v>
          </cell>
          <cell r="T320">
            <v>2301.67</v>
          </cell>
          <cell r="U320">
            <v>2831.67</v>
          </cell>
          <cell r="V320">
            <v>3767.81</v>
          </cell>
          <cell r="W320">
            <v>4272.25</v>
          </cell>
          <cell r="X320">
            <v>5212.7700000000004</v>
          </cell>
          <cell r="Y320">
            <v>5734.49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2</v>
          </cell>
          <cell r="AN320" t="str">
            <v/>
          </cell>
          <cell r="AO320">
            <v>0</v>
          </cell>
          <cell r="AP320">
            <v>0</v>
          </cell>
          <cell r="AQ320">
            <v>0</v>
          </cell>
          <cell r="AR320">
            <v>610</v>
          </cell>
          <cell r="AS320">
            <v>0</v>
          </cell>
          <cell r="AT320" t="str">
            <v/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20348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 t="str">
            <v/>
          </cell>
          <cell r="BK320">
            <v>4200</v>
          </cell>
          <cell r="BL320" t="str">
            <v>0</v>
          </cell>
          <cell r="BM320" t="str">
            <v>1</v>
          </cell>
          <cell r="BN320" t="str">
            <v/>
          </cell>
          <cell r="BO320" t="str">
            <v/>
          </cell>
        </row>
        <row r="321">
          <cell r="A321">
            <v>1</v>
          </cell>
          <cell r="B321">
            <v>4143492</v>
          </cell>
          <cell r="C321" t="str">
            <v>TRANSPORT</v>
          </cell>
          <cell r="D321" t="str">
            <v>N.R. BLANC 8</v>
          </cell>
          <cell r="E321" t="str">
            <v>O</v>
          </cell>
          <cell r="F321">
            <v>0</v>
          </cell>
          <cell r="G321">
            <v>0</v>
          </cell>
          <cell r="H321">
            <v>16975.86</v>
          </cell>
          <cell r="I321">
            <v>20997.16</v>
          </cell>
          <cell r="J321">
            <v>4021.3</v>
          </cell>
          <cell r="K321">
            <v>0</v>
          </cell>
          <cell r="L321">
            <v>2084.14</v>
          </cell>
          <cell r="M321">
            <v>0</v>
          </cell>
          <cell r="N321">
            <v>1452.41</v>
          </cell>
          <cell r="O321">
            <v>761.52</v>
          </cell>
          <cell r="P321">
            <v>761.52</v>
          </cell>
          <cell r="Q321">
            <v>879.8</v>
          </cell>
          <cell r="R321">
            <v>2757.8</v>
          </cell>
          <cell r="S321">
            <v>4615.8</v>
          </cell>
          <cell r="T321">
            <v>6801.48</v>
          </cell>
          <cell r="U321">
            <v>8287.48</v>
          </cell>
          <cell r="V321">
            <v>10738.74</v>
          </cell>
          <cell r="W321">
            <v>14195.11</v>
          </cell>
          <cell r="X321">
            <v>16975.86</v>
          </cell>
          <cell r="Y321">
            <v>19060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42.86</v>
          </cell>
          <cell r="AK321">
            <v>42.86</v>
          </cell>
          <cell r="AL321">
            <v>0</v>
          </cell>
          <cell r="AM321">
            <v>2</v>
          </cell>
          <cell r="AN321" t="str">
            <v/>
          </cell>
          <cell r="AO321">
            <v>0</v>
          </cell>
          <cell r="AP321">
            <v>0</v>
          </cell>
          <cell r="AQ321">
            <v>0</v>
          </cell>
          <cell r="AR321">
            <v>610</v>
          </cell>
          <cell r="AS321">
            <v>0</v>
          </cell>
          <cell r="AT321" t="str">
            <v/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20349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 t="str">
            <v/>
          </cell>
          <cell r="BK321">
            <v>4200</v>
          </cell>
          <cell r="BL321" t="str">
            <v>0</v>
          </cell>
          <cell r="BM321" t="str">
            <v>1</v>
          </cell>
          <cell r="BN321" t="str">
            <v/>
          </cell>
          <cell r="BO321" t="str">
            <v/>
          </cell>
        </row>
        <row r="322">
          <cell r="A322">
            <v>1</v>
          </cell>
          <cell r="B322">
            <v>4143502</v>
          </cell>
          <cell r="C322" t="str">
            <v>TRANSPORT</v>
          </cell>
          <cell r="D322" t="str">
            <v>N.R. BLANC 8</v>
          </cell>
          <cell r="E322" t="str">
            <v>O</v>
          </cell>
          <cell r="F322">
            <v>0</v>
          </cell>
          <cell r="G322">
            <v>0</v>
          </cell>
          <cell r="H322">
            <v>29530.75</v>
          </cell>
          <cell r="I322">
            <v>32876.69</v>
          </cell>
          <cell r="J322">
            <v>3345.94</v>
          </cell>
          <cell r="K322">
            <v>0</v>
          </cell>
          <cell r="L322">
            <v>2797</v>
          </cell>
          <cell r="M322">
            <v>264.8</v>
          </cell>
          <cell r="N322">
            <v>1288.94</v>
          </cell>
          <cell r="O322">
            <v>4245.7</v>
          </cell>
          <cell r="P322">
            <v>4245.7</v>
          </cell>
          <cell r="Q322">
            <v>4837.72</v>
          </cell>
          <cell r="R322">
            <v>6894.72</v>
          </cell>
          <cell r="S322">
            <v>10038.200000000001</v>
          </cell>
          <cell r="T322">
            <v>11934.75</v>
          </cell>
          <cell r="U322">
            <v>14490.75</v>
          </cell>
          <cell r="V322">
            <v>18062.45</v>
          </cell>
          <cell r="W322">
            <v>23138.82</v>
          </cell>
          <cell r="X322">
            <v>29530.75</v>
          </cell>
          <cell r="Y322">
            <v>32062.95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</v>
          </cell>
          <cell r="AN322" t="str">
            <v/>
          </cell>
          <cell r="AO322">
            <v>0</v>
          </cell>
          <cell r="AP322">
            <v>0</v>
          </cell>
          <cell r="AQ322">
            <v>0</v>
          </cell>
          <cell r="AR322">
            <v>610</v>
          </cell>
          <cell r="AS322">
            <v>0</v>
          </cell>
          <cell r="AT322" t="str">
            <v/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20350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 t="str">
            <v/>
          </cell>
          <cell r="BK322">
            <v>4200</v>
          </cell>
          <cell r="BL322" t="str">
            <v>0</v>
          </cell>
          <cell r="BM322" t="str">
            <v>1</v>
          </cell>
          <cell r="BN322" t="str">
            <v/>
          </cell>
          <cell r="BO322" t="str">
            <v/>
          </cell>
        </row>
        <row r="323">
          <cell r="A323">
            <v>1</v>
          </cell>
          <cell r="B323">
            <v>4143512</v>
          </cell>
          <cell r="C323" t="str">
            <v>TRANSPORT</v>
          </cell>
          <cell r="D323" t="str">
            <v>WHITE C/FOLD</v>
          </cell>
          <cell r="E323" t="str">
            <v>O</v>
          </cell>
          <cell r="F323">
            <v>0</v>
          </cell>
          <cell r="G323">
            <v>0</v>
          </cell>
          <cell r="H323">
            <v>6687.63</v>
          </cell>
          <cell r="I323">
            <v>8025.63</v>
          </cell>
          <cell r="J323">
            <v>1338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1184.6300000000001</v>
          </cell>
          <cell r="P323">
            <v>1184.6300000000001</v>
          </cell>
          <cell r="Q323">
            <v>1184.6300000000001</v>
          </cell>
          <cell r="R323">
            <v>2522.63</v>
          </cell>
          <cell r="S323">
            <v>3860.63</v>
          </cell>
          <cell r="T323">
            <v>3860.63</v>
          </cell>
          <cell r="U323">
            <v>6687.63</v>
          </cell>
          <cell r="V323">
            <v>6687.63</v>
          </cell>
          <cell r="W323">
            <v>6687.63</v>
          </cell>
          <cell r="X323">
            <v>6687.63</v>
          </cell>
          <cell r="Y323">
            <v>6687.63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2</v>
          </cell>
          <cell r="AN323" t="str">
            <v/>
          </cell>
          <cell r="AO323">
            <v>0</v>
          </cell>
          <cell r="AP323">
            <v>0</v>
          </cell>
          <cell r="AQ323">
            <v>0</v>
          </cell>
          <cell r="AR323">
            <v>610</v>
          </cell>
          <cell r="AS323">
            <v>0</v>
          </cell>
          <cell r="AT323" t="str">
            <v/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 t="str">
            <v/>
          </cell>
          <cell r="BK323">
            <v>4200</v>
          </cell>
          <cell r="BL323" t="str">
            <v>0</v>
          </cell>
          <cell r="BM323" t="str">
            <v>1</v>
          </cell>
          <cell r="BN323" t="str">
            <v/>
          </cell>
          <cell r="BO323" t="str">
            <v/>
          </cell>
        </row>
        <row r="324">
          <cell r="A324">
            <v>1</v>
          </cell>
          <cell r="B324">
            <v>4144032</v>
          </cell>
          <cell r="C324" t="str">
            <v>TRANSPORT</v>
          </cell>
          <cell r="D324" t="str">
            <v>HORIZON P/S NATUREL</v>
          </cell>
          <cell r="E324" t="str">
            <v>O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2</v>
          </cell>
          <cell r="AN324" t="str">
            <v/>
          </cell>
          <cell r="AO324">
            <v>0</v>
          </cell>
          <cell r="AP324">
            <v>0</v>
          </cell>
          <cell r="AQ324">
            <v>0</v>
          </cell>
          <cell r="AR324">
            <v>610</v>
          </cell>
          <cell r="AS324">
            <v>0</v>
          </cell>
          <cell r="AT324" t="str">
            <v/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 t="str">
            <v/>
          </cell>
          <cell r="BK324">
            <v>4200</v>
          </cell>
          <cell r="BL324" t="str">
            <v>0</v>
          </cell>
          <cell r="BM324" t="str">
            <v>1</v>
          </cell>
          <cell r="BN324" t="str">
            <v/>
          </cell>
          <cell r="BO324" t="str">
            <v/>
          </cell>
        </row>
        <row r="325">
          <cell r="A325">
            <v>1</v>
          </cell>
          <cell r="B325">
            <v>4144052</v>
          </cell>
          <cell r="C325" t="str">
            <v>TRANSPORT</v>
          </cell>
          <cell r="D325" t="str">
            <v>HORIZON P/S PERLE</v>
          </cell>
          <cell r="E325" t="str">
            <v>O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2</v>
          </cell>
          <cell r="AN325" t="str">
            <v/>
          </cell>
          <cell r="AO325">
            <v>0</v>
          </cell>
          <cell r="AP325">
            <v>0</v>
          </cell>
          <cell r="AQ325">
            <v>0</v>
          </cell>
          <cell r="AR325">
            <v>610</v>
          </cell>
          <cell r="AS325">
            <v>0</v>
          </cell>
          <cell r="AT325" t="str">
            <v/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 t="str">
            <v/>
          </cell>
          <cell r="BK325">
            <v>4200</v>
          </cell>
          <cell r="BL325" t="str">
            <v>0</v>
          </cell>
          <cell r="BM325" t="str">
            <v>1</v>
          </cell>
          <cell r="BN325" t="str">
            <v/>
          </cell>
          <cell r="BO325" t="str">
            <v/>
          </cell>
        </row>
        <row r="326">
          <cell r="A326">
            <v>1</v>
          </cell>
          <cell r="B326">
            <v>4144072</v>
          </cell>
          <cell r="C326" t="str">
            <v>TRANSPORT</v>
          </cell>
          <cell r="D326" t="str">
            <v>HORIZON P/M NATUREL</v>
          </cell>
          <cell r="E326" t="str">
            <v>O</v>
          </cell>
          <cell r="F326">
            <v>0</v>
          </cell>
          <cell r="G326">
            <v>0</v>
          </cell>
          <cell r="H326">
            <v>1180.83</v>
          </cell>
          <cell r="I326">
            <v>1459.82</v>
          </cell>
          <cell r="J326">
            <v>278.99</v>
          </cell>
          <cell r="K326">
            <v>0</v>
          </cell>
          <cell r="L326">
            <v>0</v>
          </cell>
          <cell r="M326">
            <v>0</v>
          </cell>
          <cell r="N326">
            <v>2.99</v>
          </cell>
          <cell r="O326">
            <v>194.69</v>
          </cell>
          <cell r="P326">
            <v>194.69</v>
          </cell>
          <cell r="Q326">
            <v>194.69</v>
          </cell>
          <cell r="R326">
            <v>470.69</v>
          </cell>
          <cell r="S326">
            <v>655.69</v>
          </cell>
          <cell r="T326">
            <v>788.65</v>
          </cell>
          <cell r="U326">
            <v>956.65</v>
          </cell>
          <cell r="V326">
            <v>985.22</v>
          </cell>
          <cell r="W326">
            <v>1117.1400000000001</v>
          </cell>
          <cell r="X326">
            <v>1180.83</v>
          </cell>
          <cell r="Y326">
            <v>1180.83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2</v>
          </cell>
          <cell r="AN326" t="str">
            <v/>
          </cell>
          <cell r="AO326">
            <v>0</v>
          </cell>
          <cell r="AP326">
            <v>0</v>
          </cell>
          <cell r="AQ326">
            <v>0</v>
          </cell>
          <cell r="AR326">
            <v>610</v>
          </cell>
          <cell r="AS326">
            <v>0</v>
          </cell>
          <cell r="AT326" t="str">
            <v/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20407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 t="str">
            <v/>
          </cell>
          <cell r="BK326">
            <v>4200</v>
          </cell>
          <cell r="BL326" t="str">
            <v>0</v>
          </cell>
          <cell r="BM326" t="str">
            <v>1</v>
          </cell>
          <cell r="BN326" t="str">
            <v/>
          </cell>
          <cell r="BO326" t="str">
            <v/>
          </cell>
        </row>
        <row r="327">
          <cell r="A327">
            <v>1</v>
          </cell>
          <cell r="B327">
            <v>4144082</v>
          </cell>
          <cell r="C327" t="str">
            <v>TRANSPORT</v>
          </cell>
          <cell r="D327" t="str">
            <v>HORIZON P/S NATUREL</v>
          </cell>
          <cell r="E327" t="str">
            <v>O</v>
          </cell>
          <cell r="F327">
            <v>0</v>
          </cell>
          <cell r="G327">
            <v>0</v>
          </cell>
          <cell r="H327">
            <v>1079.1300000000001</v>
          </cell>
          <cell r="I327">
            <v>1586.46</v>
          </cell>
          <cell r="J327">
            <v>507.33</v>
          </cell>
          <cell r="K327">
            <v>0</v>
          </cell>
          <cell r="L327">
            <v>0</v>
          </cell>
          <cell r="M327">
            <v>0</v>
          </cell>
          <cell r="N327">
            <v>67.900000000000006</v>
          </cell>
          <cell r="O327">
            <v>416.21</v>
          </cell>
          <cell r="P327">
            <v>416.21</v>
          </cell>
          <cell r="Q327">
            <v>416.21</v>
          </cell>
          <cell r="R327">
            <v>615.21</v>
          </cell>
          <cell r="S327">
            <v>1167.21</v>
          </cell>
          <cell r="T327">
            <v>1297.56</v>
          </cell>
          <cell r="U327">
            <v>1319.56</v>
          </cell>
          <cell r="V327">
            <v>1319.56</v>
          </cell>
          <cell r="W327">
            <v>1079.1300000000001</v>
          </cell>
          <cell r="X327">
            <v>1079.1300000000001</v>
          </cell>
          <cell r="Y327">
            <v>1079.1300000000001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2</v>
          </cell>
          <cell r="AN327" t="str">
            <v/>
          </cell>
          <cell r="AO327">
            <v>0</v>
          </cell>
          <cell r="AP327">
            <v>0</v>
          </cell>
          <cell r="AQ327">
            <v>0</v>
          </cell>
          <cell r="AR327">
            <v>610</v>
          </cell>
          <cell r="AS327">
            <v>0</v>
          </cell>
          <cell r="AT327" t="str">
            <v/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20408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 t="str">
            <v/>
          </cell>
          <cell r="BK327">
            <v>4200</v>
          </cell>
          <cell r="BL327" t="str">
            <v>0</v>
          </cell>
          <cell r="BM327" t="str">
            <v>1</v>
          </cell>
          <cell r="BN327" t="str">
            <v/>
          </cell>
          <cell r="BO327" t="str">
            <v/>
          </cell>
        </row>
        <row r="328">
          <cell r="A328">
            <v>1</v>
          </cell>
          <cell r="B328">
            <v>4144092</v>
          </cell>
          <cell r="C328" t="str">
            <v>TRANSPORT</v>
          </cell>
          <cell r="D328" t="str">
            <v>HORIZON P/M PERLE</v>
          </cell>
          <cell r="E328" t="str">
            <v>O</v>
          </cell>
          <cell r="F328">
            <v>0</v>
          </cell>
          <cell r="G328">
            <v>0</v>
          </cell>
          <cell r="H328">
            <v>1693.62</v>
          </cell>
          <cell r="I328">
            <v>1981.67</v>
          </cell>
          <cell r="J328">
            <v>288.05</v>
          </cell>
          <cell r="K328">
            <v>0</v>
          </cell>
          <cell r="L328">
            <v>0</v>
          </cell>
          <cell r="M328">
            <v>0</v>
          </cell>
          <cell r="N328">
            <v>24.05</v>
          </cell>
          <cell r="O328">
            <v>493.65</v>
          </cell>
          <cell r="P328">
            <v>493.65</v>
          </cell>
          <cell r="Q328">
            <v>493.65</v>
          </cell>
          <cell r="R328">
            <v>757.65</v>
          </cell>
          <cell r="S328">
            <v>1024.6500000000001</v>
          </cell>
          <cell r="T328">
            <v>1243.82</v>
          </cell>
          <cell r="U328">
            <v>1400.82</v>
          </cell>
          <cell r="V328">
            <v>1483.36</v>
          </cell>
          <cell r="W328">
            <v>1611.61</v>
          </cell>
          <cell r="X328">
            <v>1693.62</v>
          </cell>
          <cell r="Y328">
            <v>1693.62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2</v>
          </cell>
          <cell r="AN328" t="str">
            <v/>
          </cell>
          <cell r="AO328">
            <v>0</v>
          </cell>
          <cell r="AP328">
            <v>0</v>
          </cell>
          <cell r="AQ328">
            <v>0</v>
          </cell>
          <cell r="AR328">
            <v>610</v>
          </cell>
          <cell r="AS328">
            <v>0</v>
          </cell>
          <cell r="AT328" t="str">
            <v/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20409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 t="str">
            <v/>
          </cell>
          <cell r="BK328">
            <v>4200</v>
          </cell>
          <cell r="BL328" t="str">
            <v>0</v>
          </cell>
          <cell r="BM328" t="str">
            <v>1</v>
          </cell>
          <cell r="BN328" t="str">
            <v/>
          </cell>
          <cell r="BO328" t="str">
            <v/>
          </cell>
        </row>
        <row r="329">
          <cell r="A329">
            <v>1</v>
          </cell>
          <cell r="B329">
            <v>4144112</v>
          </cell>
          <cell r="C329" t="str">
            <v>TRANSPORT</v>
          </cell>
          <cell r="D329" t="str">
            <v>HORIZON 8</v>
          </cell>
          <cell r="E329" t="str">
            <v>O</v>
          </cell>
          <cell r="F329">
            <v>0</v>
          </cell>
          <cell r="G329">
            <v>0</v>
          </cell>
          <cell r="H329">
            <v>875.06</v>
          </cell>
          <cell r="I329">
            <v>1037.26</v>
          </cell>
          <cell r="J329">
            <v>162.19999999999999</v>
          </cell>
          <cell r="K329">
            <v>0</v>
          </cell>
          <cell r="L329">
            <v>0</v>
          </cell>
          <cell r="M329">
            <v>0</v>
          </cell>
          <cell r="N329">
            <v>6.2</v>
          </cell>
          <cell r="O329">
            <v>336.87</v>
          </cell>
          <cell r="P329">
            <v>336.87</v>
          </cell>
          <cell r="Q329">
            <v>336.87</v>
          </cell>
          <cell r="R329">
            <v>492.87</v>
          </cell>
          <cell r="S329">
            <v>732.87</v>
          </cell>
          <cell r="T329">
            <v>801.06</v>
          </cell>
          <cell r="U329">
            <v>875.06</v>
          </cell>
          <cell r="V329">
            <v>875.06</v>
          </cell>
          <cell r="W329">
            <v>875.06</v>
          </cell>
          <cell r="X329">
            <v>875.06</v>
          </cell>
          <cell r="Y329">
            <v>875.06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2</v>
          </cell>
          <cell r="AN329" t="str">
            <v/>
          </cell>
          <cell r="AO329">
            <v>0</v>
          </cell>
          <cell r="AP329">
            <v>0</v>
          </cell>
          <cell r="AQ329">
            <v>0</v>
          </cell>
          <cell r="AR329">
            <v>610</v>
          </cell>
          <cell r="AS329">
            <v>0</v>
          </cell>
          <cell r="AT329" t="str">
            <v/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20411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 t="str">
            <v/>
          </cell>
          <cell r="BK329">
            <v>4200</v>
          </cell>
          <cell r="BL329" t="str">
            <v>0</v>
          </cell>
          <cell r="BM329" t="str">
            <v>1</v>
          </cell>
          <cell r="BN329" t="str">
            <v/>
          </cell>
          <cell r="BO329" t="str">
            <v/>
          </cell>
        </row>
        <row r="330">
          <cell r="A330">
            <v>1</v>
          </cell>
          <cell r="B330">
            <v>4144122</v>
          </cell>
          <cell r="C330" t="str">
            <v>TRANSPORT</v>
          </cell>
          <cell r="D330" t="str">
            <v>HORIZON P/S PERLE</v>
          </cell>
          <cell r="E330" t="str">
            <v>O</v>
          </cell>
          <cell r="F330">
            <v>0</v>
          </cell>
          <cell r="G330">
            <v>0</v>
          </cell>
          <cell r="H330">
            <v>3899.6</v>
          </cell>
          <cell r="I330">
            <v>4930.22</v>
          </cell>
          <cell r="J330">
            <v>1030.6199999999999</v>
          </cell>
          <cell r="K330">
            <v>0</v>
          </cell>
          <cell r="L330">
            <v>0</v>
          </cell>
          <cell r="M330">
            <v>0</v>
          </cell>
          <cell r="N330">
            <v>205.62</v>
          </cell>
          <cell r="O330">
            <v>527.37</v>
          </cell>
          <cell r="P330">
            <v>527.37</v>
          </cell>
          <cell r="Q330">
            <v>527.37</v>
          </cell>
          <cell r="R330">
            <v>1352.37</v>
          </cell>
          <cell r="S330">
            <v>2114.37</v>
          </cell>
          <cell r="T330">
            <v>2712.46</v>
          </cell>
          <cell r="U330">
            <v>3161.46</v>
          </cell>
          <cell r="V330">
            <v>3899.6</v>
          </cell>
          <cell r="W330">
            <v>3899.6</v>
          </cell>
          <cell r="X330">
            <v>3899.6</v>
          </cell>
          <cell r="Y330">
            <v>3899.6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2</v>
          </cell>
          <cell r="AN330" t="str">
            <v/>
          </cell>
          <cell r="AO330">
            <v>0</v>
          </cell>
          <cell r="AP330">
            <v>0</v>
          </cell>
          <cell r="AQ330">
            <v>0</v>
          </cell>
          <cell r="AR330">
            <v>610</v>
          </cell>
          <cell r="AS330">
            <v>0</v>
          </cell>
          <cell r="AT330" t="str">
            <v/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20412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 t="str">
            <v/>
          </cell>
          <cell r="BK330">
            <v>4200</v>
          </cell>
          <cell r="BL330" t="str">
            <v>0</v>
          </cell>
          <cell r="BM330" t="str">
            <v>1</v>
          </cell>
          <cell r="BN330" t="str">
            <v/>
          </cell>
          <cell r="BO330" t="str">
            <v/>
          </cell>
        </row>
        <row r="331">
          <cell r="A331">
            <v>1</v>
          </cell>
          <cell r="B331">
            <v>4144132</v>
          </cell>
          <cell r="C331" t="str">
            <v>TRANSPORT</v>
          </cell>
          <cell r="D331" t="str">
            <v>NORTH RIVER 8</v>
          </cell>
          <cell r="E331" t="str">
            <v>O</v>
          </cell>
          <cell r="F331">
            <v>0</v>
          </cell>
          <cell r="G331">
            <v>0</v>
          </cell>
          <cell r="H331">
            <v>5301.51</v>
          </cell>
          <cell r="I331">
            <v>6069.41</v>
          </cell>
          <cell r="J331">
            <v>767.9</v>
          </cell>
          <cell r="K331">
            <v>0</v>
          </cell>
          <cell r="L331">
            <v>818.85</v>
          </cell>
          <cell r="M331">
            <v>0</v>
          </cell>
          <cell r="N331">
            <v>255.9</v>
          </cell>
          <cell r="O331">
            <v>1024.92</v>
          </cell>
          <cell r="P331">
            <v>1024.92</v>
          </cell>
          <cell r="Q331">
            <v>1024.92</v>
          </cell>
          <cell r="R331">
            <v>1536.92</v>
          </cell>
          <cell r="S331">
            <v>2560.92</v>
          </cell>
          <cell r="T331">
            <v>3348.63</v>
          </cell>
          <cell r="U331">
            <v>3849.63</v>
          </cell>
          <cell r="V331">
            <v>4356.7</v>
          </cell>
          <cell r="W331">
            <v>4847.53</v>
          </cell>
          <cell r="X331">
            <v>5301.51</v>
          </cell>
          <cell r="Y331">
            <v>6120.36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</v>
          </cell>
          <cell r="AN331" t="str">
            <v/>
          </cell>
          <cell r="AO331">
            <v>0</v>
          </cell>
          <cell r="AP331">
            <v>0</v>
          </cell>
          <cell r="AQ331">
            <v>0</v>
          </cell>
          <cell r="AR331">
            <v>610</v>
          </cell>
          <cell r="AS331">
            <v>0</v>
          </cell>
          <cell r="AT331" t="str">
            <v/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20413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 t="str">
            <v/>
          </cell>
          <cell r="BK331">
            <v>4200</v>
          </cell>
          <cell r="BL331" t="str">
            <v>0</v>
          </cell>
          <cell r="BM331" t="str">
            <v>1</v>
          </cell>
          <cell r="BN331" t="str">
            <v/>
          </cell>
          <cell r="BO331" t="str">
            <v/>
          </cell>
        </row>
        <row r="332">
          <cell r="A332">
            <v>1</v>
          </cell>
          <cell r="B332">
            <v>4144152</v>
          </cell>
          <cell r="C332" t="str">
            <v>TRANSPORT</v>
          </cell>
          <cell r="D332" t="str">
            <v>HORIZON 8</v>
          </cell>
          <cell r="E332" t="str">
            <v>O</v>
          </cell>
          <cell r="F332">
            <v>0</v>
          </cell>
          <cell r="G332">
            <v>0</v>
          </cell>
          <cell r="H332">
            <v>1104.25</v>
          </cell>
          <cell r="I332">
            <v>1410.08</v>
          </cell>
          <cell r="J332">
            <v>305.83</v>
          </cell>
          <cell r="K332">
            <v>0</v>
          </cell>
          <cell r="L332">
            <v>0</v>
          </cell>
          <cell r="M332">
            <v>0</v>
          </cell>
          <cell r="N332">
            <v>172.83</v>
          </cell>
          <cell r="O332">
            <v>191.09</v>
          </cell>
          <cell r="P332">
            <v>191.09</v>
          </cell>
          <cell r="Q332">
            <v>191.09</v>
          </cell>
          <cell r="R332">
            <v>324.08999999999997</v>
          </cell>
          <cell r="S332">
            <v>542.09</v>
          </cell>
          <cell r="T332">
            <v>1104.25</v>
          </cell>
          <cell r="U332">
            <v>1104.25</v>
          </cell>
          <cell r="V332">
            <v>1104.25</v>
          </cell>
          <cell r="W332">
            <v>1104.25</v>
          </cell>
          <cell r="X332">
            <v>1104.25</v>
          </cell>
          <cell r="Y332">
            <v>1104.25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2</v>
          </cell>
          <cell r="AN332" t="str">
            <v/>
          </cell>
          <cell r="AO332">
            <v>0</v>
          </cell>
          <cell r="AP332">
            <v>0</v>
          </cell>
          <cell r="AQ332">
            <v>0</v>
          </cell>
          <cell r="AR332">
            <v>610</v>
          </cell>
          <cell r="AS332">
            <v>0</v>
          </cell>
          <cell r="AT332" t="str">
            <v/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20415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 t="str">
            <v/>
          </cell>
          <cell r="BK332">
            <v>4200</v>
          </cell>
          <cell r="BL332" t="str">
            <v>0</v>
          </cell>
          <cell r="BM332" t="str">
            <v>1</v>
          </cell>
          <cell r="BN332" t="str">
            <v/>
          </cell>
          <cell r="BO332" t="str">
            <v/>
          </cell>
        </row>
        <row r="333">
          <cell r="A333">
            <v>1</v>
          </cell>
          <cell r="B333">
            <v>4144172</v>
          </cell>
          <cell r="C333" t="str">
            <v>TRANSPORT</v>
          </cell>
          <cell r="D333" t="str">
            <v>NORTH RIVER 8</v>
          </cell>
          <cell r="E333" t="str">
            <v>O</v>
          </cell>
          <cell r="F333">
            <v>0</v>
          </cell>
          <cell r="G333">
            <v>0</v>
          </cell>
          <cell r="H333">
            <v>415.08</v>
          </cell>
          <cell r="I333">
            <v>467.63</v>
          </cell>
          <cell r="J333">
            <v>52.55</v>
          </cell>
          <cell r="K333">
            <v>0</v>
          </cell>
          <cell r="L333">
            <v>62.33</v>
          </cell>
          <cell r="M333">
            <v>0</v>
          </cell>
          <cell r="N333">
            <v>6.55</v>
          </cell>
          <cell r="O333">
            <v>31.18</v>
          </cell>
          <cell r="P333">
            <v>31.18</v>
          </cell>
          <cell r="Q333">
            <v>31.18</v>
          </cell>
          <cell r="R333">
            <v>77.180000000000007</v>
          </cell>
          <cell r="S333">
            <v>101.18</v>
          </cell>
          <cell r="T333">
            <v>214.24</v>
          </cell>
          <cell r="U333">
            <v>252.24</v>
          </cell>
          <cell r="V333">
            <v>263.27</v>
          </cell>
          <cell r="W333">
            <v>345.15</v>
          </cell>
          <cell r="X333">
            <v>415.08</v>
          </cell>
          <cell r="Y333">
            <v>477.41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2</v>
          </cell>
          <cell r="AN333" t="str">
            <v/>
          </cell>
          <cell r="AO333">
            <v>0</v>
          </cell>
          <cell r="AP333">
            <v>0</v>
          </cell>
          <cell r="AQ333">
            <v>0</v>
          </cell>
          <cell r="AR333">
            <v>610</v>
          </cell>
          <cell r="AS333">
            <v>0</v>
          </cell>
          <cell r="AT333" t="str">
            <v/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20417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 t="str">
            <v/>
          </cell>
          <cell r="BK333">
            <v>4200</v>
          </cell>
          <cell r="BL333" t="str">
            <v>0</v>
          </cell>
          <cell r="BM333" t="str">
            <v>1</v>
          </cell>
          <cell r="BN333" t="str">
            <v/>
          </cell>
          <cell r="BO333" t="str">
            <v/>
          </cell>
        </row>
        <row r="334">
          <cell r="A334">
            <v>1</v>
          </cell>
          <cell r="B334">
            <v>4144182</v>
          </cell>
          <cell r="C334" t="str">
            <v>TRANSPORT</v>
          </cell>
          <cell r="D334" t="str">
            <v>CASCADES PRIME #1 8</v>
          </cell>
          <cell r="E334" t="str">
            <v>O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2</v>
          </cell>
          <cell r="AN334" t="str">
            <v/>
          </cell>
          <cell r="AO334">
            <v>0</v>
          </cell>
          <cell r="AP334">
            <v>0</v>
          </cell>
          <cell r="AQ334">
            <v>0</v>
          </cell>
          <cell r="AR334">
            <v>610</v>
          </cell>
          <cell r="AS334">
            <v>0</v>
          </cell>
          <cell r="AT334" t="str">
            <v/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 t="str">
            <v/>
          </cell>
          <cell r="BK334">
            <v>4200</v>
          </cell>
          <cell r="BL334" t="str">
            <v>0</v>
          </cell>
          <cell r="BM334" t="str">
            <v>1</v>
          </cell>
          <cell r="BN334" t="str">
            <v/>
          </cell>
          <cell r="BO334" t="str">
            <v/>
          </cell>
        </row>
        <row r="335">
          <cell r="A335">
            <v>1</v>
          </cell>
          <cell r="B335">
            <v>4144202</v>
          </cell>
          <cell r="C335" t="str">
            <v>TRANSPORT</v>
          </cell>
          <cell r="D335" t="str">
            <v>NORTH RIVER 8</v>
          </cell>
          <cell r="E335" t="str">
            <v>O</v>
          </cell>
          <cell r="F335">
            <v>0</v>
          </cell>
          <cell r="G335">
            <v>0</v>
          </cell>
          <cell r="H335">
            <v>63350.559999999998</v>
          </cell>
          <cell r="I335">
            <v>70745.19</v>
          </cell>
          <cell r="J335">
            <v>7394.63</v>
          </cell>
          <cell r="K335">
            <v>0</v>
          </cell>
          <cell r="L335">
            <v>6333.94</v>
          </cell>
          <cell r="M335">
            <v>167.67</v>
          </cell>
          <cell r="N335">
            <v>2403.85</v>
          </cell>
          <cell r="O335">
            <v>5645.81</v>
          </cell>
          <cell r="P335">
            <v>5645.81</v>
          </cell>
          <cell r="Q335">
            <v>6312.89</v>
          </cell>
          <cell r="R335">
            <v>11860.24</v>
          </cell>
          <cell r="S335">
            <v>17817.63</v>
          </cell>
          <cell r="T335">
            <v>29767.99</v>
          </cell>
          <cell r="U335">
            <v>36646.54</v>
          </cell>
          <cell r="V335">
            <v>44706.82</v>
          </cell>
          <cell r="W335">
            <v>52976.26</v>
          </cell>
          <cell r="X335">
            <v>63350.559999999998</v>
          </cell>
          <cell r="Y335">
            <v>69516.83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244.18</v>
          </cell>
          <cell r="AJ335">
            <v>1375.25</v>
          </cell>
          <cell r="AK335">
            <v>1375.25</v>
          </cell>
          <cell r="AL335">
            <v>0</v>
          </cell>
          <cell r="AM335">
            <v>2</v>
          </cell>
          <cell r="AN335" t="str">
            <v/>
          </cell>
          <cell r="AO335">
            <v>0</v>
          </cell>
          <cell r="AP335">
            <v>0</v>
          </cell>
          <cell r="AQ335">
            <v>0</v>
          </cell>
          <cell r="AR335">
            <v>610</v>
          </cell>
          <cell r="AS335">
            <v>0</v>
          </cell>
          <cell r="AT335" t="str">
            <v/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20420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 t="str">
            <v/>
          </cell>
          <cell r="BK335">
            <v>4200</v>
          </cell>
          <cell r="BL335" t="str">
            <v>0</v>
          </cell>
          <cell r="BM335" t="str">
            <v>1</v>
          </cell>
          <cell r="BN335" t="str">
            <v/>
          </cell>
          <cell r="BO335" t="str">
            <v/>
          </cell>
        </row>
        <row r="336">
          <cell r="A336">
            <v>1</v>
          </cell>
          <cell r="B336">
            <v>4144222</v>
          </cell>
          <cell r="C336" t="str">
            <v>TRANSPORT</v>
          </cell>
          <cell r="D336" t="str">
            <v>NORTH RIVER 8</v>
          </cell>
          <cell r="E336" t="str">
            <v>O</v>
          </cell>
          <cell r="F336">
            <v>0</v>
          </cell>
          <cell r="G336">
            <v>0</v>
          </cell>
          <cell r="H336">
            <v>3710.48</v>
          </cell>
          <cell r="I336">
            <v>3912.04</v>
          </cell>
          <cell r="J336">
            <v>201.56</v>
          </cell>
          <cell r="K336">
            <v>0</v>
          </cell>
          <cell r="L336">
            <v>386.69</v>
          </cell>
          <cell r="M336">
            <v>0</v>
          </cell>
          <cell r="N336">
            <v>112.56</v>
          </cell>
          <cell r="O336">
            <v>1314.2</v>
          </cell>
          <cell r="P336">
            <v>1314.2</v>
          </cell>
          <cell r="Q336">
            <v>1314.2</v>
          </cell>
          <cell r="R336">
            <v>1403.2</v>
          </cell>
          <cell r="S336">
            <v>2001.2</v>
          </cell>
          <cell r="T336">
            <v>2224.9499999999998</v>
          </cell>
          <cell r="U336">
            <v>2579.9499999999998</v>
          </cell>
          <cell r="V336">
            <v>3212.46</v>
          </cell>
          <cell r="W336">
            <v>3386.83</v>
          </cell>
          <cell r="X336">
            <v>3710.48</v>
          </cell>
          <cell r="Y336">
            <v>4097.17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2</v>
          </cell>
          <cell r="AN336" t="str">
            <v/>
          </cell>
          <cell r="AO336">
            <v>0</v>
          </cell>
          <cell r="AP336">
            <v>0</v>
          </cell>
          <cell r="AQ336">
            <v>0</v>
          </cell>
          <cell r="AR336">
            <v>610</v>
          </cell>
          <cell r="AS336">
            <v>0</v>
          </cell>
          <cell r="AT336" t="str">
            <v/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20422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 t="str">
            <v/>
          </cell>
          <cell r="BK336">
            <v>4200</v>
          </cell>
          <cell r="BL336" t="str">
            <v>0</v>
          </cell>
          <cell r="BM336" t="str">
            <v>1</v>
          </cell>
          <cell r="BN336" t="str">
            <v/>
          </cell>
          <cell r="BO336" t="str">
            <v/>
          </cell>
        </row>
        <row r="337">
          <cell r="A337">
            <v>1</v>
          </cell>
          <cell r="B337">
            <v>4144232</v>
          </cell>
          <cell r="C337" t="str">
            <v>TRANSPORT</v>
          </cell>
          <cell r="D337" t="str">
            <v>HORIZON 10</v>
          </cell>
          <cell r="E337" t="str">
            <v>O</v>
          </cell>
          <cell r="F337">
            <v>0</v>
          </cell>
          <cell r="G337">
            <v>0</v>
          </cell>
          <cell r="H337">
            <v>289.08999999999997</v>
          </cell>
          <cell r="I337">
            <v>807.44</v>
          </cell>
          <cell r="J337">
            <v>518.35</v>
          </cell>
          <cell r="K337">
            <v>0</v>
          </cell>
          <cell r="L337">
            <v>0</v>
          </cell>
          <cell r="M337">
            <v>0</v>
          </cell>
          <cell r="N337">
            <v>72.33</v>
          </cell>
          <cell r="O337">
            <v>94.11</v>
          </cell>
          <cell r="P337">
            <v>94.11</v>
          </cell>
          <cell r="Q337">
            <v>94.11</v>
          </cell>
          <cell r="R337">
            <v>369.11</v>
          </cell>
          <cell r="S337">
            <v>460.11</v>
          </cell>
          <cell r="T337">
            <v>460.11</v>
          </cell>
          <cell r="U337">
            <v>460.11</v>
          </cell>
          <cell r="V337">
            <v>460.11</v>
          </cell>
          <cell r="W337">
            <v>289.08999999999997</v>
          </cell>
          <cell r="X337">
            <v>289.08999999999997</v>
          </cell>
          <cell r="Y337">
            <v>289.08999999999997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</v>
          </cell>
          <cell r="AN337" t="str">
            <v/>
          </cell>
          <cell r="AO337">
            <v>0</v>
          </cell>
          <cell r="AP337">
            <v>0</v>
          </cell>
          <cell r="AQ337">
            <v>0</v>
          </cell>
          <cell r="AR337">
            <v>610</v>
          </cell>
          <cell r="AS337">
            <v>0</v>
          </cell>
          <cell r="AT337" t="str">
            <v/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20423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 t="str">
            <v/>
          </cell>
          <cell r="BK337">
            <v>4200</v>
          </cell>
          <cell r="BL337" t="str">
            <v>0</v>
          </cell>
          <cell r="BM337" t="str">
            <v>1</v>
          </cell>
          <cell r="BN337" t="str">
            <v/>
          </cell>
          <cell r="BO337" t="str">
            <v/>
          </cell>
        </row>
        <row r="338">
          <cell r="A338">
            <v>1</v>
          </cell>
          <cell r="B338">
            <v>4144252</v>
          </cell>
          <cell r="C338" t="str">
            <v>TRANSPORT</v>
          </cell>
          <cell r="D338" t="str">
            <v>NORTH RIVER 10</v>
          </cell>
          <cell r="E338" t="str">
            <v>O</v>
          </cell>
          <cell r="F338">
            <v>0</v>
          </cell>
          <cell r="G338">
            <v>0</v>
          </cell>
          <cell r="H338">
            <v>14852.19</v>
          </cell>
          <cell r="I338">
            <v>16725.91</v>
          </cell>
          <cell r="J338">
            <v>1873.72</v>
          </cell>
          <cell r="K338">
            <v>0</v>
          </cell>
          <cell r="L338">
            <v>1400.35</v>
          </cell>
          <cell r="M338">
            <v>0</v>
          </cell>
          <cell r="N338">
            <v>349.72</v>
          </cell>
          <cell r="O338">
            <v>1355.81</v>
          </cell>
          <cell r="P338">
            <v>1355.81</v>
          </cell>
          <cell r="Q338">
            <v>1355.81</v>
          </cell>
          <cell r="R338">
            <v>2879.81</v>
          </cell>
          <cell r="S338">
            <v>4720.8100000000004</v>
          </cell>
          <cell r="T338">
            <v>6920.57</v>
          </cell>
          <cell r="U338">
            <v>8838.57</v>
          </cell>
          <cell r="V338">
            <v>11491.79</v>
          </cell>
          <cell r="W338">
            <v>13256.72</v>
          </cell>
          <cell r="X338">
            <v>14852.19</v>
          </cell>
          <cell r="Y338">
            <v>16252.54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2</v>
          </cell>
          <cell r="AN338" t="str">
            <v/>
          </cell>
          <cell r="AO338">
            <v>0</v>
          </cell>
          <cell r="AP338">
            <v>0</v>
          </cell>
          <cell r="AQ338">
            <v>0</v>
          </cell>
          <cell r="AR338">
            <v>610</v>
          </cell>
          <cell r="AS338">
            <v>0</v>
          </cell>
          <cell r="AT338" t="str">
            <v/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20425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 t="str">
            <v/>
          </cell>
          <cell r="BK338">
            <v>4200</v>
          </cell>
          <cell r="BL338" t="str">
            <v>0</v>
          </cell>
          <cell r="BM338" t="str">
            <v>1</v>
          </cell>
          <cell r="BN338" t="str">
            <v/>
          </cell>
          <cell r="BO338" t="str">
            <v/>
          </cell>
        </row>
        <row r="339">
          <cell r="A339">
            <v>1</v>
          </cell>
          <cell r="B339">
            <v>4145492</v>
          </cell>
          <cell r="C339" t="str">
            <v>TRANSPORT</v>
          </cell>
          <cell r="D339" t="str">
            <v>B27 PROTEC 2</v>
          </cell>
          <cell r="E339" t="str">
            <v>O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2</v>
          </cell>
          <cell r="AN339" t="str">
            <v/>
          </cell>
          <cell r="AO339">
            <v>0</v>
          </cell>
          <cell r="AP339">
            <v>0</v>
          </cell>
          <cell r="AQ339">
            <v>0</v>
          </cell>
          <cell r="AR339">
            <v>610</v>
          </cell>
          <cell r="AS339">
            <v>0</v>
          </cell>
          <cell r="AT339" t="str">
            <v/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 t="str">
            <v/>
          </cell>
          <cell r="BK339">
            <v>4200</v>
          </cell>
          <cell r="BL339" t="str">
            <v>0</v>
          </cell>
          <cell r="BM339" t="str">
            <v>1</v>
          </cell>
          <cell r="BN339" t="str">
            <v/>
          </cell>
          <cell r="BO339" t="str">
            <v/>
          </cell>
        </row>
        <row r="340">
          <cell r="A340">
            <v>2</v>
          </cell>
          <cell r="B340">
            <v>4145502</v>
          </cell>
          <cell r="C340" t="str">
            <v>TRANSPORT</v>
          </cell>
          <cell r="D340" t="str">
            <v>ECONO NATUREL P/S 4M</v>
          </cell>
          <cell r="E340" t="str">
            <v>O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2</v>
          </cell>
          <cell r="AN340" t="str">
            <v/>
          </cell>
          <cell r="AO340">
            <v>0</v>
          </cell>
          <cell r="AP340">
            <v>0</v>
          </cell>
          <cell r="AQ340">
            <v>0</v>
          </cell>
          <cell r="AR340">
            <v>610</v>
          </cell>
          <cell r="AS340">
            <v>0</v>
          </cell>
          <cell r="AT340" t="str">
            <v/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20750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 t="str">
            <v/>
          </cell>
          <cell r="BK340">
            <v>4200</v>
          </cell>
          <cell r="BL340" t="str">
            <v>0</v>
          </cell>
          <cell r="BM340" t="str">
            <v>1</v>
          </cell>
          <cell r="BN340" t="str">
            <v/>
          </cell>
          <cell r="BO340" t="str">
            <v/>
          </cell>
        </row>
        <row r="341">
          <cell r="A341">
            <v>2</v>
          </cell>
          <cell r="B341">
            <v>4145512</v>
          </cell>
          <cell r="C341" t="str">
            <v>TRANSPORT</v>
          </cell>
          <cell r="D341" t="str">
            <v>ECONO P/M NATUREL 4M</v>
          </cell>
          <cell r="E341" t="str">
            <v>O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2</v>
          </cell>
          <cell r="AN341" t="str">
            <v/>
          </cell>
          <cell r="AO341">
            <v>0</v>
          </cell>
          <cell r="AP341">
            <v>0</v>
          </cell>
          <cell r="AQ341">
            <v>0</v>
          </cell>
          <cell r="AR341">
            <v>610</v>
          </cell>
          <cell r="AS341">
            <v>0</v>
          </cell>
          <cell r="AT341" t="str">
            <v/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20751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 t="str">
            <v/>
          </cell>
          <cell r="BK341">
            <v>4200</v>
          </cell>
          <cell r="BL341" t="str">
            <v>0</v>
          </cell>
          <cell r="BM341" t="str">
            <v>1</v>
          </cell>
          <cell r="BN341" t="str">
            <v/>
          </cell>
          <cell r="BO341" t="str">
            <v/>
          </cell>
        </row>
        <row r="342">
          <cell r="A342">
            <v>2</v>
          </cell>
          <cell r="B342">
            <v>4145522</v>
          </cell>
          <cell r="C342" t="str">
            <v>TRANSPORT</v>
          </cell>
          <cell r="D342" t="str">
            <v>ECONO P/S NATUREL</v>
          </cell>
          <cell r="E342" t="str">
            <v>O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2</v>
          </cell>
          <cell r="AN342" t="str">
            <v/>
          </cell>
          <cell r="AO342">
            <v>0</v>
          </cell>
          <cell r="AP342">
            <v>0</v>
          </cell>
          <cell r="AQ342">
            <v>0</v>
          </cell>
          <cell r="AR342">
            <v>610</v>
          </cell>
          <cell r="AS342">
            <v>0</v>
          </cell>
          <cell r="AT342" t="str">
            <v/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 t="str">
            <v/>
          </cell>
          <cell r="BK342">
            <v>4200</v>
          </cell>
          <cell r="BL342" t="str">
            <v>0</v>
          </cell>
          <cell r="BM342" t="str">
            <v>1</v>
          </cell>
          <cell r="BN342" t="str">
            <v/>
          </cell>
          <cell r="BO342" t="str">
            <v/>
          </cell>
        </row>
        <row r="343">
          <cell r="A343">
            <v>2</v>
          </cell>
          <cell r="B343">
            <v>4145532</v>
          </cell>
          <cell r="C343" t="str">
            <v>TRANSPORT</v>
          </cell>
          <cell r="D343" t="str">
            <v>ECONO P/M NATUREL</v>
          </cell>
          <cell r="E343" t="str">
            <v>O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2</v>
          </cell>
          <cell r="AN343" t="str">
            <v/>
          </cell>
          <cell r="AO343">
            <v>0</v>
          </cell>
          <cell r="AP343">
            <v>0</v>
          </cell>
          <cell r="AQ343">
            <v>0</v>
          </cell>
          <cell r="AR343">
            <v>610</v>
          </cell>
          <cell r="AS343">
            <v>0</v>
          </cell>
          <cell r="AT343" t="str">
            <v/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 t="str">
            <v/>
          </cell>
          <cell r="BK343">
            <v>4200</v>
          </cell>
          <cell r="BL343" t="str">
            <v>0</v>
          </cell>
          <cell r="BM343" t="str">
            <v>1</v>
          </cell>
          <cell r="BN343" t="str">
            <v/>
          </cell>
          <cell r="BO343" t="str">
            <v/>
          </cell>
        </row>
        <row r="344">
          <cell r="A344">
            <v>2</v>
          </cell>
          <cell r="B344">
            <v>4145542</v>
          </cell>
          <cell r="C344" t="str">
            <v>TRANSPORT</v>
          </cell>
          <cell r="D344" t="str">
            <v>ECONO PLI EN</v>
          </cell>
          <cell r="E344" t="str">
            <v>O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2</v>
          </cell>
          <cell r="AN344" t="str">
            <v/>
          </cell>
          <cell r="AO344">
            <v>0</v>
          </cell>
          <cell r="AP344">
            <v>0</v>
          </cell>
          <cell r="AQ344">
            <v>0</v>
          </cell>
          <cell r="AR344">
            <v>610</v>
          </cell>
          <cell r="AS344">
            <v>0</v>
          </cell>
          <cell r="AT344" t="str">
            <v/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20754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 t="str">
            <v/>
          </cell>
          <cell r="BK344">
            <v>4200</v>
          </cell>
          <cell r="BL344" t="str">
            <v>0</v>
          </cell>
          <cell r="BM344" t="str">
            <v>1</v>
          </cell>
          <cell r="BN344" t="str">
            <v/>
          </cell>
          <cell r="BO344" t="str">
            <v/>
          </cell>
        </row>
        <row r="345">
          <cell r="A345">
            <v>2</v>
          </cell>
          <cell r="B345">
            <v>4145562</v>
          </cell>
          <cell r="C345" t="str">
            <v>TRANSPORT</v>
          </cell>
          <cell r="D345" t="str">
            <v>ECONO 8</v>
          </cell>
          <cell r="E345" t="str">
            <v>O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2</v>
          </cell>
          <cell r="AN345" t="str">
            <v/>
          </cell>
          <cell r="AO345">
            <v>0</v>
          </cell>
          <cell r="AP345">
            <v>0</v>
          </cell>
          <cell r="AQ345">
            <v>0</v>
          </cell>
          <cell r="AR345">
            <v>610</v>
          </cell>
          <cell r="AS345">
            <v>0</v>
          </cell>
          <cell r="AT345" t="str">
            <v/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20756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 t="str">
            <v/>
          </cell>
          <cell r="BK345">
            <v>4200</v>
          </cell>
          <cell r="BL345" t="str">
            <v>0</v>
          </cell>
          <cell r="BM345" t="str">
            <v>1</v>
          </cell>
          <cell r="BN345" t="str">
            <v/>
          </cell>
          <cell r="BO345" t="str">
            <v/>
          </cell>
        </row>
        <row r="346">
          <cell r="A346">
            <v>2</v>
          </cell>
          <cell r="B346">
            <v>4145572</v>
          </cell>
          <cell r="C346" t="str">
            <v>TRANSPORT</v>
          </cell>
          <cell r="D346" t="str">
            <v>ECONO 8</v>
          </cell>
          <cell r="E346" t="str">
            <v>O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2</v>
          </cell>
          <cell r="AN346" t="str">
            <v/>
          </cell>
          <cell r="AO346">
            <v>0</v>
          </cell>
          <cell r="AP346">
            <v>0</v>
          </cell>
          <cell r="AQ346">
            <v>0</v>
          </cell>
          <cell r="AR346">
            <v>610</v>
          </cell>
          <cell r="AS346">
            <v>0</v>
          </cell>
          <cell r="AT346" t="str">
            <v/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20757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 t="str">
            <v/>
          </cell>
          <cell r="BK346">
            <v>4200</v>
          </cell>
          <cell r="BL346" t="str">
            <v>0</v>
          </cell>
          <cell r="BM346" t="str">
            <v>1</v>
          </cell>
          <cell r="BN346" t="str">
            <v/>
          </cell>
          <cell r="BO346" t="str">
            <v/>
          </cell>
        </row>
        <row r="347">
          <cell r="A347">
            <v>1</v>
          </cell>
          <cell r="B347">
            <v>4145582</v>
          </cell>
          <cell r="C347" t="str">
            <v>TRANSPORT</v>
          </cell>
          <cell r="D347" t="str">
            <v>WILDRY PRE-BAIN DETRAYONS</v>
          </cell>
          <cell r="E347" t="str">
            <v>O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2</v>
          </cell>
          <cell r="AN347" t="str">
            <v/>
          </cell>
          <cell r="AO347">
            <v>0</v>
          </cell>
          <cell r="AP347">
            <v>0</v>
          </cell>
          <cell r="AQ347">
            <v>0</v>
          </cell>
          <cell r="AR347">
            <v>610</v>
          </cell>
          <cell r="AS347">
            <v>0</v>
          </cell>
          <cell r="AT347" t="str">
            <v/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 t="str">
            <v/>
          </cell>
          <cell r="BK347">
            <v>4200</v>
          </cell>
          <cell r="BL347" t="str">
            <v>0</v>
          </cell>
          <cell r="BM347" t="str">
            <v>1</v>
          </cell>
          <cell r="BN347" t="str">
            <v/>
          </cell>
          <cell r="BO347" t="str">
            <v/>
          </cell>
        </row>
        <row r="348">
          <cell r="A348">
            <v>2</v>
          </cell>
          <cell r="B348">
            <v>4145592</v>
          </cell>
          <cell r="C348" t="str">
            <v>TRANSPORT</v>
          </cell>
          <cell r="D348" t="str">
            <v>ECONO P/M BLANC</v>
          </cell>
          <cell r="E348" t="str">
            <v>O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2</v>
          </cell>
          <cell r="AN348" t="str">
            <v/>
          </cell>
          <cell r="AO348">
            <v>0</v>
          </cell>
          <cell r="AP348">
            <v>0</v>
          </cell>
          <cell r="AQ348">
            <v>0</v>
          </cell>
          <cell r="AR348">
            <v>610</v>
          </cell>
          <cell r="AS348">
            <v>0</v>
          </cell>
          <cell r="AT348" t="str">
            <v/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20759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 t="str">
            <v/>
          </cell>
          <cell r="BK348">
            <v>4200</v>
          </cell>
          <cell r="BL348" t="str">
            <v>0</v>
          </cell>
          <cell r="BM348" t="str">
            <v>1</v>
          </cell>
          <cell r="BN348" t="str">
            <v/>
          </cell>
          <cell r="BO348" t="str">
            <v/>
          </cell>
        </row>
        <row r="349">
          <cell r="A349">
            <v>2</v>
          </cell>
          <cell r="B349">
            <v>4145602</v>
          </cell>
          <cell r="C349" t="str">
            <v>TRANSPORT</v>
          </cell>
          <cell r="D349" t="str">
            <v>ECONO P/S BLANC</v>
          </cell>
          <cell r="E349" t="str">
            <v>O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2</v>
          </cell>
          <cell r="AN349" t="str">
            <v/>
          </cell>
          <cell r="AO349">
            <v>0</v>
          </cell>
          <cell r="AP349">
            <v>0</v>
          </cell>
          <cell r="AQ349">
            <v>0</v>
          </cell>
          <cell r="AR349">
            <v>610</v>
          </cell>
          <cell r="AS349">
            <v>0</v>
          </cell>
          <cell r="AT349" t="str">
            <v/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 t="str">
            <v/>
          </cell>
          <cell r="BK349">
            <v>4200</v>
          </cell>
          <cell r="BL349" t="str">
            <v>0</v>
          </cell>
          <cell r="BM349" t="str">
            <v>1</v>
          </cell>
          <cell r="BN349" t="str">
            <v/>
          </cell>
          <cell r="BO349" t="str">
            <v/>
          </cell>
        </row>
        <row r="350">
          <cell r="A350">
            <v>2</v>
          </cell>
          <cell r="B350">
            <v>4145612</v>
          </cell>
          <cell r="C350" t="str">
            <v>TRANSPORT</v>
          </cell>
          <cell r="D350" t="str">
            <v>ECONO 8</v>
          </cell>
          <cell r="E350" t="str">
            <v>O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2</v>
          </cell>
          <cell r="AN350" t="str">
            <v/>
          </cell>
          <cell r="AO350">
            <v>0</v>
          </cell>
          <cell r="AP350">
            <v>0</v>
          </cell>
          <cell r="AQ350">
            <v>0</v>
          </cell>
          <cell r="AR350">
            <v>610</v>
          </cell>
          <cell r="AS350">
            <v>0</v>
          </cell>
          <cell r="AT350" t="str">
            <v/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20761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 t="str">
            <v/>
          </cell>
          <cell r="BK350">
            <v>4200</v>
          </cell>
          <cell r="BL350" t="str">
            <v>0</v>
          </cell>
          <cell r="BM350" t="str">
            <v>1</v>
          </cell>
          <cell r="BN350" t="str">
            <v/>
          </cell>
          <cell r="BO350" t="str">
            <v/>
          </cell>
        </row>
        <row r="351">
          <cell r="A351">
            <v>2</v>
          </cell>
          <cell r="B351">
            <v>4145622</v>
          </cell>
          <cell r="C351" t="str">
            <v>TRANSPORT</v>
          </cell>
          <cell r="D351" t="str">
            <v>ECONO M/F NATURAL 4M ENG.</v>
          </cell>
          <cell r="E351" t="str">
            <v>O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2</v>
          </cell>
          <cell r="AN351" t="str">
            <v/>
          </cell>
          <cell r="AO351">
            <v>0</v>
          </cell>
          <cell r="AP351">
            <v>0</v>
          </cell>
          <cell r="AQ351">
            <v>0</v>
          </cell>
          <cell r="AR351">
            <v>610</v>
          </cell>
          <cell r="AS351">
            <v>0</v>
          </cell>
          <cell r="AT351" t="str">
            <v/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 t="str">
            <v/>
          </cell>
          <cell r="BK351">
            <v>4200</v>
          </cell>
          <cell r="BL351" t="str">
            <v>0</v>
          </cell>
          <cell r="BM351" t="str">
            <v>1</v>
          </cell>
          <cell r="BN351" t="str">
            <v/>
          </cell>
          <cell r="BO351" t="str">
            <v/>
          </cell>
        </row>
        <row r="352">
          <cell r="A352">
            <v>2</v>
          </cell>
          <cell r="B352">
            <v>4145632</v>
          </cell>
          <cell r="C352" t="str">
            <v>TRANSPORT</v>
          </cell>
          <cell r="D352" t="str">
            <v>ECONO NATUREL S/F 4M ENG.</v>
          </cell>
          <cell r="E352" t="str">
            <v>O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2</v>
          </cell>
          <cell r="AN352" t="str">
            <v/>
          </cell>
          <cell r="AO352">
            <v>0</v>
          </cell>
          <cell r="AP352">
            <v>0</v>
          </cell>
          <cell r="AQ352">
            <v>0</v>
          </cell>
          <cell r="AR352">
            <v>610</v>
          </cell>
          <cell r="AS352">
            <v>0</v>
          </cell>
          <cell r="AT352" t="str">
            <v/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 t="str">
            <v/>
          </cell>
          <cell r="BK352">
            <v>4200</v>
          </cell>
          <cell r="BL352" t="str">
            <v>0</v>
          </cell>
          <cell r="BM352" t="str">
            <v>1</v>
          </cell>
          <cell r="BN352" t="str">
            <v/>
          </cell>
          <cell r="BO352" t="str">
            <v/>
          </cell>
        </row>
        <row r="353">
          <cell r="A353">
            <v>2</v>
          </cell>
          <cell r="B353">
            <v>4145642</v>
          </cell>
          <cell r="C353" t="str">
            <v>TRANSPORT</v>
          </cell>
          <cell r="D353" t="str">
            <v>ECONO PLI EN</v>
          </cell>
          <cell r="E353" t="str">
            <v>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</v>
          </cell>
          <cell r="AN353" t="str">
            <v/>
          </cell>
          <cell r="AO353">
            <v>0</v>
          </cell>
          <cell r="AP353">
            <v>0</v>
          </cell>
          <cell r="AQ353">
            <v>0</v>
          </cell>
          <cell r="AR353">
            <v>610</v>
          </cell>
          <cell r="AS353">
            <v>0</v>
          </cell>
          <cell r="AT353" t="str">
            <v/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20764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 t="str">
            <v/>
          </cell>
          <cell r="BK353">
            <v>4200</v>
          </cell>
          <cell r="BL353" t="str">
            <v>0</v>
          </cell>
          <cell r="BM353" t="str">
            <v>1</v>
          </cell>
          <cell r="BN353" t="str">
            <v/>
          </cell>
          <cell r="BO353" t="str">
            <v/>
          </cell>
        </row>
        <row r="354">
          <cell r="A354">
            <v>2</v>
          </cell>
          <cell r="B354">
            <v>4145652</v>
          </cell>
          <cell r="C354" t="str">
            <v>TRANSPORT</v>
          </cell>
          <cell r="D354" t="str">
            <v>ECONO 8</v>
          </cell>
          <cell r="E354" t="str">
            <v>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2</v>
          </cell>
          <cell r="AN354" t="str">
            <v/>
          </cell>
          <cell r="AO354">
            <v>0</v>
          </cell>
          <cell r="AP354">
            <v>0</v>
          </cell>
          <cell r="AQ354">
            <v>0</v>
          </cell>
          <cell r="AR354">
            <v>610</v>
          </cell>
          <cell r="AS354">
            <v>0</v>
          </cell>
          <cell r="AT354" t="str">
            <v/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20765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 t="str">
            <v/>
          </cell>
          <cell r="BK354">
            <v>4200</v>
          </cell>
          <cell r="BL354" t="str">
            <v>0</v>
          </cell>
          <cell r="BM354" t="str">
            <v>1</v>
          </cell>
          <cell r="BN354" t="str">
            <v/>
          </cell>
          <cell r="BO354" t="str">
            <v/>
          </cell>
        </row>
        <row r="355">
          <cell r="A355">
            <v>2</v>
          </cell>
          <cell r="B355">
            <v>4145662</v>
          </cell>
          <cell r="C355" t="str">
            <v>TRANSPORT</v>
          </cell>
          <cell r="D355" t="str">
            <v>ECONO P/S BLANC 4M</v>
          </cell>
          <cell r="E355" t="str">
            <v>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2</v>
          </cell>
          <cell r="AN355" t="str">
            <v/>
          </cell>
          <cell r="AO355">
            <v>0</v>
          </cell>
          <cell r="AP355">
            <v>0</v>
          </cell>
          <cell r="AQ355">
            <v>0</v>
          </cell>
          <cell r="AR355">
            <v>610</v>
          </cell>
          <cell r="AS355">
            <v>0</v>
          </cell>
          <cell r="AT355" t="str">
            <v/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20766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 t="str">
            <v/>
          </cell>
          <cell r="BK355">
            <v>4200</v>
          </cell>
          <cell r="BL355" t="str">
            <v>0</v>
          </cell>
          <cell r="BM355" t="str">
            <v>1</v>
          </cell>
          <cell r="BN355" t="str">
            <v/>
          </cell>
          <cell r="BO355" t="str">
            <v/>
          </cell>
        </row>
        <row r="356">
          <cell r="A356">
            <v>2</v>
          </cell>
          <cell r="B356">
            <v>4145672</v>
          </cell>
          <cell r="C356" t="str">
            <v>TRANSPORT</v>
          </cell>
          <cell r="D356" t="str">
            <v>ECONO 8</v>
          </cell>
          <cell r="E356" t="str">
            <v>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2</v>
          </cell>
          <cell r="AN356" t="str">
            <v/>
          </cell>
          <cell r="AO356">
            <v>0</v>
          </cell>
          <cell r="AP356">
            <v>0</v>
          </cell>
          <cell r="AQ356">
            <v>0</v>
          </cell>
          <cell r="AR356">
            <v>610</v>
          </cell>
          <cell r="AS356">
            <v>0</v>
          </cell>
          <cell r="AT356" t="str">
            <v/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20767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 t="str">
            <v/>
          </cell>
          <cell r="BK356">
            <v>4200</v>
          </cell>
          <cell r="BL356" t="str">
            <v>0</v>
          </cell>
          <cell r="BM356" t="str">
            <v>1</v>
          </cell>
          <cell r="BN356" t="str">
            <v/>
          </cell>
          <cell r="BO356" t="str">
            <v/>
          </cell>
        </row>
        <row r="357">
          <cell r="A357">
            <v>2</v>
          </cell>
          <cell r="B357">
            <v>4145682</v>
          </cell>
          <cell r="C357" t="str">
            <v>TRANSPORT</v>
          </cell>
          <cell r="D357" t="str">
            <v>ECONO 8</v>
          </cell>
          <cell r="E357" t="str">
            <v>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2</v>
          </cell>
          <cell r="AN357" t="str">
            <v/>
          </cell>
          <cell r="AO357">
            <v>0</v>
          </cell>
          <cell r="AP357">
            <v>0</v>
          </cell>
          <cell r="AQ357">
            <v>0</v>
          </cell>
          <cell r="AR357">
            <v>610</v>
          </cell>
          <cell r="AS357">
            <v>0</v>
          </cell>
          <cell r="AT357" t="str">
            <v/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20768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 t="str">
            <v/>
          </cell>
          <cell r="BK357">
            <v>4200</v>
          </cell>
          <cell r="BL357" t="str">
            <v>0</v>
          </cell>
          <cell r="BM357" t="str">
            <v>1</v>
          </cell>
          <cell r="BN357" t="str">
            <v/>
          </cell>
          <cell r="BO357" t="str">
            <v/>
          </cell>
        </row>
        <row r="358">
          <cell r="A358">
            <v>1</v>
          </cell>
          <cell r="B358">
            <v>4145692</v>
          </cell>
          <cell r="C358" t="str">
            <v>TRANSPORT</v>
          </cell>
          <cell r="D358" t="str">
            <v>PERKINS 8</v>
          </cell>
          <cell r="E358" t="str">
            <v>O</v>
          </cell>
          <cell r="F358">
            <v>0</v>
          </cell>
          <cell r="G358">
            <v>0</v>
          </cell>
          <cell r="H358">
            <v>18374.560000000001</v>
          </cell>
          <cell r="I358">
            <v>21320.27</v>
          </cell>
          <cell r="J358">
            <v>2945.71</v>
          </cell>
          <cell r="K358">
            <v>0</v>
          </cell>
          <cell r="L358">
            <v>1897.41</v>
          </cell>
          <cell r="M358">
            <v>0</v>
          </cell>
          <cell r="N358">
            <v>1109.71</v>
          </cell>
          <cell r="O358">
            <v>2463.69</v>
          </cell>
          <cell r="P358">
            <v>2463.69</v>
          </cell>
          <cell r="Q358">
            <v>2463.69</v>
          </cell>
          <cell r="R358">
            <v>4299.6899999999996</v>
          </cell>
          <cell r="S358">
            <v>6093.69</v>
          </cell>
          <cell r="T358">
            <v>8364.3799999999992</v>
          </cell>
          <cell r="U358">
            <v>10370.379999999999</v>
          </cell>
          <cell r="V358">
            <v>13880.44</v>
          </cell>
          <cell r="W358">
            <v>15909.62</v>
          </cell>
          <cell r="X358">
            <v>18374.560000000001</v>
          </cell>
          <cell r="Y358">
            <v>20271.97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2</v>
          </cell>
          <cell r="AN358" t="str">
            <v/>
          </cell>
          <cell r="AO358">
            <v>0</v>
          </cell>
          <cell r="AP358">
            <v>0</v>
          </cell>
          <cell r="AQ358">
            <v>0</v>
          </cell>
          <cell r="AR358">
            <v>610</v>
          </cell>
          <cell r="AS358">
            <v>0</v>
          </cell>
          <cell r="AT358" t="str">
            <v/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20569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 t="str">
            <v/>
          </cell>
          <cell r="BK358">
            <v>4200</v>
          </cell>
          <cell r="BL358" t="str">
            <v>0</v>
          </cell>
          <cell r="BM358" t="str">
            <v>1</v>
          </cell>
          <cell r="BN358" t="str">
            <v/>
          </cell>
          <cell r="BO358" t="str">
            <v/>
          </cell>
        </row>
        <row r="359">
          <cell r="A359">
            <v>2</v>
          </cell>
          <cell r="B359">
            <v>4145702</v>
          </cell>
          <cell r="C359" t="str">
            <v>TRANSPORT</v>
          </cell>
          <cell r="D359" t="str">
            <v>ECONO 8</v>
          </cell>
          <cell r="E359" t="str">
            <v>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2</v>
          </cell>
          <cell r="AN359" t="str">
            <v/>
          </cell>
          <cell r="AO359">
            <v>0</v>
          </cell>
          <cell r="AP359">
            <v>0</v>
          </cell>
          <cell r="AQ359">
            <v>0</v>
          </cell>
          <cell r="AR359">
            <v>610</v>
          </cell>
          <cell r="AS359">
            <v>0</v>
          </cell>
          <cell r="AT359" t="str">
            <v/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 t="str">
            <v/>
          </cell>
          <cell r="BK359">
            <v>4200</v>
          </cell>
          <cell r="BL359" t="str">
            <v>0</v>
          </cell>
          <cell r="BM359" t="str">
            <v>1</v>
          </cell>
          <cell r="BN359" t="str">
            <v/>
          </cell>
          <cell r="BO359" t="str">
            <v/>
          </cell>
        </row>
        <row r="360">
          <cell r="A360">
            <v>2</v>
          </cell>
          <cell r="B360">
            <v>4145712</v>
          </cell>
          <cell r="C360" t="str">
            <v>TRANSPORT</v>
          </cell>
          <cell r="D360" t="str">
            <v>ECONO 10</v>
          </cell>
          <cell r="E360" t="str">
            <v>O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2</v>
          </cell>
          <cell r="AN360" t="str">
            <v/>
          </cell>
          <cell r="AO360">
            <v>0</v>
          </cell>
          <cell r="AP360">
            <v>0</v>
          </cell>
          <cell r="AQ360">
            <v>0</v>
          </cell>
          <cell r="AR360">
            <v>610</v>
          </cell>
          <cell r="AS360">
            <v>0</v>
          </cell>
          <cell r="AT360" t="str">
            <v/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20771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 t="str">
            <v/>
          </cell>
          <cell r="BK360">
            <v>4200</v>
          </cell>
          <cell r="BL360" t="str">
            <v>0</v>
          </cell>
          <cell r="BM360" t="str">
            <v>1</v>
          </cell>
          <cell r="BN360" t="str">
            <v/>
          </cell>
          <cell r="BO360" t="str">
            <v/>
          </cell>
        </row>
        <row r="361">
          <cell r="A361">
            <v>1</v>
          </cell>
          <cell r="B361">
            <v>4145772</v>
          </cell>
          <cell r="C361" t="str">
            <v>TRANSPORT</v>
          </cell>
          <cell r="D361" t="str">
            <v>B29 PROTEC SERV.DAIRY RND</v>
          </cell>
          <cell r="E361" t="str">
            <v>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2</v>
          </cell>
          <cell r="AN361" t="str">
            <v/>
          </cell>
          <cell r="AO361">
            <v>0</v>
          </cell>
          <cell r="AP361">
            <v>0</v>
          </cell>
          <cell r="AQ361">
            <v>0</v>
          </cell>
          <cell r="AR361">
            <v>610</v>
          </cell>
          <cell r="AS361">
            <v>0</v>
          </cell>
          <cell r="AT361" t="str">
            <v/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 t="str">
            <v/>
          </cell>
          <cell r="BK361">
            <v>4200</v>
          </cell>
          <cell r="BL361" t="str">
            <v>0</v>
          </cell>
          <cell r="BM361" t="str">
            <v>1</v>
          </cell>
          <cell r="BN361" t="str">
            <v/>
          </cell>
          <cell r="BO361" t="str">
            <v/>
          </cell>
        </row>
        <row r="362">
          <cell r="A362">
            <v>1</v>
          </cell>
          <cell r="B362">
            <v>4146152</v>
          </cell>
          <cell r="C362" t="str">
            <v>TRANSPORT</v>
          </cell>
          <cell r="D362" t="str">
            <v>CASCADES PLIS/MULTIPLES B</v>
          </cell>
          <cell r="E362" t="str">
            <v>O</v>
          </cell>
          <cell r="F362">
            <v>0</v>
          </cell>
          <cell r="G362">
            <v>0</v>
          </cell>
          <cell r="H362">
            <v>1002.67</v>
          </cell>
          <cell r="I362">
            <v>1091.67</v>
          </cell>
          <cell r="J362">
            <v>89</v>
          </cell>
          <cell r="K362">
            <v>0</v>
          </cell>
          <cell r="L362">
            <v>58.27</v>
          </cell>
          <cell r="M362">
            <v>0</v>
          </cell>
          <cell r="N362">
            <v>0</v>
          </cell>
          <cell r="O362">
            <v>217.21</v>
          </cell>
          <cell r="P362">
            <v>217.21</v>
          </cell>
          <cell r="Q362">
            <v>217.21</v>
          </cell>
          <cell r="R362">
            <v>306.20999999999998</v>
          </cell>
          <cell r="S362">
            <v>353.21</v>
          </cell>
          <cell r="T362">
            <v>539.66999999999996</v>
          </cell>
          <cell r="U362">
            <v>635.66999999999996</v>
          </cell>
          <cell r="V362">
            <v>732.48</v>
          </cell>
          <cell r="W362">
            <v>894.94</v>
          </cell>
          <cell r="X362">
            <v>1002.67</v>
          </cell>
          <cell r="Y362">
            <v>1060.94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2</v>
          </cell>
          <cell r="AN362" t="str">
            <v/>
          </cell>
          <cell r="AO362">
            <v>0</v>
          </cell>
          <cell r="AP362">
            <v>0</v>
          </cell>
          <cell r="AQ362">
            <v>0</v>
          </cell>
          <cell r="AR362">
            <v>610</v>
          </cell>
          <cell r="AS362">
            <v>0</v>
          </cell>
          <cell r="AT362" t="str">
            <v/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20615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 t="str">
            <v/>
          </cell>
          <cell r="BK362">
            <v>4200</v>
          </cell>
          <cell r="BL362" t="str">
            <v>0</v>
          </cell>
          <cell r="BM362" t="str">
            <v>1</v>
          </cell>
          <cell r="BN362" t="str">
            <v/>
          </cell>
          <cell r="BO362" t="str">
            <v/>
          </cell>
        </row>
        <row r="363">
          <cell r="A363">
            <v>1</v>
          </cell>
          <cell r="B363">
            <v>4146252</v>
          </cell>
          <cell r="C363" t="str">
            <v>TRANSPORT</v>
          </cell>
          <cell r="D363" t="str">
            <v>CASCADES C/FOLD BLANC</v>
          </cell>
          <cell r="E363" t="str">
            <v>O</v>
          </cell>
          <cell r="F363">
            <v>0</v>
          </cell>
          <cell r="G363">
            <v>0</v>
          </cell>
          <cell r="H363">
            <v>2005.79</v>
          </cell>
          <cell r="I363">
            <v>2200.84</v>
          </cell>
          <cell r="J363">
            <v>195.05</v>
          </cell>
          <cell r="K363">
            <v>0</v>
          </cell>
          <cell r="L363">
            <v>471.34</v>
          </cell>
          <cell r="M363">
            <v>0</v>
          </cell>
          <cell r="N363">
            <v>48.77</v>
          </cell>
          <cell r="O363">
            <v>19.489999999999998</v>
          </cell>
          <cell r="P363">
            <v>19.489999999999998</v>
          </cell>
          <cell r="Q363">
            <v>19.489999999999998</v>
          </cell>
          <cell r="R363">
            <v>136.49</v>
          </cell>
          <cell r="S363">
            <v>324.49</v>
          </cell>
          <cell r="T363">
            <v>809.8</v>
          </cell>
          <cell r="U363">
            <v>1109.8</v>
          </cell>
          <cell r="V363">
            <v>1486.03</v>
          </cell>
          <cell r="W363">
            <v>1949.14</v>
          </cell>
          <cell r="X363">
            <v>2005.79</v>
          </cell>
          <cell r="Y363">
            <v>2477.13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2</v>
          </cell>
          <cell r="AN363" t="str">
            <v/>
          </cell>
          <cell r="AO363">
            <v>0</v>
          </cell>
          <cell r="AP363">
            <v>0</v>
          </cell>
          <cell r="AQ363">
            <v>0</v>
          </cell>
          <cell r="AR363">
            <v>610</v>
          </cell>
          <cell r="AS363">
            <v>0</v>
          </cell>
          <cell r="AT363" t="str">
            <v/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20625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 t="str">
            <v/>
          </cell>
          <cell r="BK363">
            <v>4200</v>
          </cell>
          <cell r="BL363" t="str">
            <v>0</v>
          </cell>
          <cell r="BM363" t="str">
            <v>1</v>
          </cell>
          <cell r="BN363" t="str">
            <v/>
          </cell>
          <cell r="BO363" t="str">
            <v/>
          </cell>
        </row>
        <row r="364">
          <cell r="A364">
            <v>1</v>
          </cell>
          <cell r="B364">
            <v>4146352</v>
          </cell>
          <cell r="C364" t="str">
            <v>TRANSPORT</v>
          </cell>
          <cell r="D364" t="str">
            <v>CASCADES PLIS/SIMPLES BLA</v>
          </cell>
          <cell r="E364" t="str">
            <v>O</v>
          </cell>
          <cell r="F364">
            <v>0</v>
          </cell>
          <cell r="G364">
            <v>0</v>
          </cell>
          <cell r="H364">
            <v>0.33</v>
          </cell>
          <cell r="I364">
            <v>0.33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0.33</v>
          </cell>
          <cell r="P364">
            <v>0.33</v>
          </cell>
          <cell r="Q364">
            <v>0.33</v>
          </cell>
          <cell r="R364">
            <v>0.33</v>
          </cell>
          <cell r="S364">
            <v>0.33</v>
          </cell>
          <cell r="T364">
            <v>0.33</v>
          </cell>
          <cell r="U364">
            <v>0.33</v>
          </cell>
          <cell r="V364">
            <v>0.33</v>
          </cell>
          <cell r="W364">
            <v>0.33</v>
          </cell>
          <cell r="X364">
            <v>0.33</v>
          </cell>
          <cell r="Y364">
            <v>0.33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2</v>
          </cell>
          <cell r="AN364" t="str">
            <v/>
          </cell>
          <cell r="AO364">
            <v>0</v>
          </cell>
          <cell r="AP364">
            <v>0</v>
          </cell>
          <cell r="AQ364">
            <v>0</v>
          </cell>
          <cell r="AR364">
            <v>610</v>
          </cell>
          <cell r="AS364">
            <v>0</v>
          </cell>
          <cell r="AT364" t="str">
            <v/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20635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 t="str">
            <v/>
          </cell>
          <cell r="BK364">
            <v>4200</v>
          </cell>
          <cell r="BL364" t="str">
            <v>0</v>
          </cell>
          <cell r="BM364" t="str">
            <v>1</v>
          </cell>
          <cell r="BN364" t="str">
            <v/>
          </cell>
          <cell r="BO364" t="str">
            <v/>
          </cell>
        </row>
        <row r="365">
          <cell r="A365">
            <v>1</v>
          </cell>
          <cell r="B365">
            <v>4146452</v>
          </cell>
          <cell r="C365" t="str">
            <v>TRANSPORT</v>
          </cell>
          <cell r="D365" t="str">
            <v>CASCADES RLX. 8 X 425' BL</v>
          </cell>
          <cell r="E365" t="str">
            <v>O</v>
          </cell>
          <cell r="F365">
            <v>0</v>
          </cell>
          <cell r="G365">
            <v>0</v>
          </cell>
          <cell r="H365">
            <v>1644.02</v>
          </cell>
          <cell r="I365">
            <v>1670.02</v>
          </cell>
          <cell r="J365">
            <v>26</v>
          </cell>
          <cell r="K365">
            <v>0</v>
          </cell>
          <cell r="L365">
            <v>78.900000000000006</v>
          </cell>
          <cell r="M365">
            <v>0</v>
          </cell>
          <cell r="N365">
            <v>0</v>
          </cell>
          <cell r="O365">
            <v>225.15</v>
          </cell>
          <cell r="P365">
            <v>225.15</v>
          </cell>
          <cell r="Q365">
            <v>225.15</v>
          </cell>
          <cell r="R365">
            <v>251.15</v>
          </cell>
          <cell r="S365">
            <v>720.15</v>
          </cell>
          <cell r="T365">
            <v>925.45</v>
          </cell>
          <cell r="U365">
            <v>1124.45</v>
          </cell>
          <cell r="V365">
            <v>1286.0999999999999</v>
          </cell>
          <cell r="W365">
            <v>1536.56</v>
          </cell>
          <cell r="X365">
            <v>1644.02</v>
          </cell>
          <cell r="Y365">
            <v>1722.92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2</v>
          </cell>
          <cell r="AN365" t="str">
            <v/>
          </cell>
          <cell r="AO365">
            <v>0</v>
          </cell>
          <cell r="AP365">
            <v>0</v>
          </cell>
          <cell r="AQ365">
            <v>0</v>
          </cell>
          <cell r="AR365">
            <v>610</v>
          </cell>
          <cell r="AS365">
            <v>0</v>
          </cell>
          <cell r="AT365" t="str">
            <v/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20645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 t="str">
            <v/>
          </cell>
          <cell r="BK365">
            <v>4200</v>
          </cell>
          <cell r="BL365" t="str">
            <v>0</v>
          </cell>
          <cell r="BM365" t="str">
            <v>1</v>
          </cell>
          <cell r="BN365" t="str">
            <v/>
          </cell>
          <cell r="BO365" t="str">
            <v/>
          </cell>
        </row>
        <row r="366">
          <cell r="A366">
            <v>1</v>
          </cell>
          <cell r="B366">
            <v>4148502</v>
          </cell>
          <cell r="C366" t="str">
            <v>TRANSPORT</v>
          </cell>
          <cell r="D366" t="str">
            <v>W.T. NATUREL PLI/SIMPLE 4</v>
          </cell>
          <cell r="E366" t="str">
            <v>O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2</v>
          </cell>
          <cell r="AN366" t="str">
            <v/>
          </cell>
          <cell r="AO366">
            <v>0</v>
          </cell>
          <cell r="AP366">
            <v>0</v>
          </cell>
          <cell r="AQ366">
            <v>0</v>
          </cell>
          <cell r="AR366">
            <v>610</v>
          </cell>
          <cell r="AS366">
            <v>0</v>
          </cell>
          <cell r="AT366" t="str">
            <v/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 t="str">
            <v/>
          </cell>
          <cell r="BK366">
            <v>4200</v>
          </cell>
          <cell r="BL366" t="str">
            <v>0</v>
          </cell>
          <cell r="BM366" t="str">
            <v>1</v>
          </cell>
          <cell r="BN366" t="str">
            <v/>
          </cell>
          <cell r="BO366" t="str">
            <v/>
          </cell>
        </row>
        <row r="367">
          <cell r="A367">
            <v>1</v>
          </cell>
          <cell r="B367">
            <v>4151001</v>
          </cell>
          <cell r="C367" t="str">
            <v>RECLAMATIONS</v>
          </cell>
          <cell r="D367" t="str">
            <v>GLOBAL</v>
          </cell>
          <cell r="E367" t="str">
            <v>O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2266.9299999999998</v>
          </cell>
          <cell r="AJ367">
            <v>2266.9299999999998</v>
          </cell>
          <cell r="AK367">
            <v>2266.9299999999998</v>
          </cell>
          <cell r="AL367">
            <v>0</v>
          </cell>
          <cell r="AM367">
            <v>1</v>
          </cell>
          <cell r="AN367" t="str">
            <v/>
          </cell>
          <cell r="AO367">
            <v>0</v>
          </cell>
          <cell r="AP367">
            <v>0</v>
          </cell>
          <cell r="AQ367">
            <v>0</v>
          </cell>
          <cell r="AR367">
            <v>600</v>
          </cell>
          <cell r="AS367">
            <v>0</v>
          </cell>
          <cell r="AT367" t="str">
            <v/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 t="str">
            <v/>
          </cell>
          <cell r="BK367">
            <v>4300</v>
          </cell>
          <cell r="BL367" t="str">
            <v>0</v>
          </cell>
          <cell r="BM367" t="str">
            <v>1</v>
          </cell>
          <cell r="BN367" t="str">
            <v/>
          </cell>
          <cell r="BO367" t="str">
            <v/>
          </cell>
        </row>
        <row r="368">
          <cell r="A368">
            <v>1</v>
          </cell>
          <cell r="B368">
            <v>4159001</v>
          </cell>
          <cell r="C368" t="str">
            <v>RECLAMATIONS</v>
          </cell>
          <cell r="D368" t="str">
            <v>TRANSFERT DIVISION PAPIER</v>
          </cell>
          <cell r="E368" t="str">
            <v>O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35</v>
          </cell>
          <cell r="AB368">
            <v>35</v>
          </cell>
          <cell r="AC368">
            <v>35</v>
          </cell>
          <cell r="AD368">
            <v>35</v>
          </cell>
          <cell r="AE368">
            <v>35</v>
          </cell>
          <cell r="AF368">
            <v>35</v>
          </cell>
          <cell r="AG368">
            <v>35</v>
          </cell>
          <cell r="AH368">
            <v>35</v>
          </cell>
          <cell r="AI368">
            <v>35</v>
          </cell>
          <cell r="AJ368">
            <v>1512.85</v>
          </cell>
          <cell r="AK368">
            <v>1512.85</v>
          </cell>
          <cell r="AL368">
            <v>0</v>
          </cell>
          <cell r="AM368">
            <v>1</v>
          </cell>
          <cell r="AN368" t="str">
            <v/>
          </cell>
          <cell r="AO368">
            <v>0</v>
          </cell>
          <cell r="AP368">
            <v>0</v>
          </cell>
          <cell r="AQ368">
            <v>0</v>
          </cell>
          <cell r="AR368">
            <v>600</v>
          </cell>
          <cell r="AS368">
            <v>0</v>
          </cell>
          <cell r="AT368" t="str">
            <v/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 t="str">
            <v/>
          </cell>
          <cell r="BK368">
            <v>4300</v>
          </cell>
          <cell r="BL368" t="str">
            <v>0</v>
          </cell>
          <cell r="BM368" t="str">
            <v>1</v>
          </cell>
          <cell r="BN368" t="str">
            <v/>
          </cell>
          <cell r="BO368" t="str">
            <v/>
          </cell>
        </row>
        <row r="369">
          <cell r="A369">
            <v>1</v>
          </cell>
          <cell r="B369">
            <v>4159002</v>
          </cell>
          <cell r="C369" t="str">
            <v>RECLAMATIONS</v>
          </cell>
          <cell r="D369" t="str">
            <v>TRANSFERT DIV. SERVIETTES</v>
          </cell>
          <cell r="E369" t="str">
            <v>O</v>
          </cell>
          <cell r="F369">
            <v>0</v>
          </cell>
          <cell r="G369">
            <v>0</v>
          </cell>
          <cell r="H369">
            <v>7051.38</v>
          </cell>
          <cell r="I369">
            <v>10262.549999999999</v>
          </cell>
          <cell r="J369">
            <v>3211.17</v>
          </cell>
          <cell r="K369">
            <v>0</v>
          </cell>
          <cell r="L369">
            <v>1134.0999999999999</v>
          </cell>
          <cell r="M369">
            <v>0</v>
          </cell>
          <cell r="N369">
            <v>1735.61</v>
          </cell>
          <cell r="O369">
            <v>2259.41</v>
          </cell>
          <cell r="P369">
            <v>2628.81</v>
          </cell>
          <cell r="Q369">
            <v>4685.0600000000004</v>
          </cell>
          <cell r="R369">
            <v>4698.3500000000004</v>
          </cell>
          <cell r="S369">
            <v>5086.51</v>
          </cell>
          <cell r="T369">
            <v>4989.54</v>
          </cell>
          <cell r="U369">
            <v>5008.04</v>
          </cell>
          <cell r="V369">
            <v>4752.75</v>
          </cell>
          <cell r="W369">
            <v>5307.59</v>
          </cell>
          <cell r="X369">
            <v>7051.38</v>
          </cell>
          <cell r="Y369">
            <v>8185.48</v>
          </cell>
          <cell r="Z369">
            <v>354.95</v>
          </cell>
          <cell r="AA369">
            <v>1728.09</v>
          </cell>
          <cell r="AB369">
            <v>2593.9499999999998</v>
          </cell>
          <cell r="AC369">
            <v>2593.9499999999998</v>
          </cell>
          <cell r="AD369">
            <v>2726.45</v>
          </cell>
          <cell r="AE369">
            <v>788.46</v>
          </cell>
          <cell r="AF369">
            <v>1457.84</v>
          </cell>
          <cell r="AG369">
            <v>1970.09</v>
          </cell>
          <cell r="AH369">
            <v>3314.51</v>
          </cell>
          <cell r="AI369">
            <v>3592.34</v>
          </cell>
          <cell r="AJ369">
            <v>5331.18</v>
          </cell>
          <cell r="AK369">
            <v>9316.2199999999993</v>
          </cell>
          <cell r="AL369">
            <v>0</v>
          </cell>
          <cell r="AM369">
            <v>2</v>
          </cell>
          <cell r="AN369" t="str">
            <v/>
          </cell>
          <cell r="AO369">
            <v>0</v>
          </cell>
          <cell r="AP369">
            <v>0</v>
          </cell>
          <cell r="AQ369">
            <v>0</v>
          </cell>
          <cell r="AR369">
            <v>600</v>
          </cell>
          <cell r="AS369">
            <v>0</v>
          </cell>
          <cell r="AT369" t="str">
            <v/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 t="str">
            <v/>
          </cell>
          <cell r="BK369">
            <v>4300</v>
          </cell>
          <cell r="BL369" t="str">
            <v>0</v>
          </cell>
          <cell r="BM369" t="str">
            <v>1</v>
          </cell>
          <cell r="BN369" t="str">
            <v/>
          </cell>
          <cell r="BO369" t="str">
            <v/>
          </cell>
        </row>
        <row r="370">
          <cell r="A370">
            <v>1</v>
          </cell>
          <cell r="B370">
            <v>4159003</v>
          </cell>
          <cell r="C370" t="str">
            <v>RECLAMATIONS</v>
          </cell>
          <cell r="D370" t="str">
            <v>TRANSFERT DIVISION SACS</v>
          </cell>
          <cell r="E370" t="str">
            <v>O</v>
          </cell>
          <cell r="F370">
            <v>0</v>
          </cell>
          <cell r="G370">
            <v>0</v>
          </cell>
          <cell r="H370">
            <v>4373.55</v>
          </cell>
          <cell r="I370">
            <v>5266.85</v>
          </cell>
          <cell r="J370">
            <v>893.3</v>
          </cell>
          <cell r="K370">
            <v>0</v>
          </cell>
          <cell r="L370">
            <v>680.58</v>
          </cell>
          <cell r="M370">
            <v>0</v>
          </cell>
          <cell r="N370">
            <v>399.88</v>
          </cell>
          <cell r="O370">
            <v>399.88</v>
          </cell>
          <cell r="P370">
            <v>918.97</v>
          </cell>
          <cell r="Q370">
            <v>1493.05</v>
          </cell>
          <cell r="R370">
            <v>2041.66</v>
          </cell>
          <cell r="S370">
            <v>2103.46</v>
          </cell>
          <cell r="T370">
            <v>2139.9299999999998</v>
          </cell>
          <cell r="U370">
            <v>2352.7399999999998</v>
          </cell>
          <cell r="V370">
            <v>3190.93</v>
          </cell>
          <cell r="W370">
            <v>3878.64</v>
          </cell>
          <cell r="X370">
            <v>4373.55</v>
          </cell>
          <cell r="Y370">
            <v>5054.13</v>
          </cell>
          <cell r="Z370">
            <v>71.42</v>
          </cell>
          <cell r="AA370">
            <v>311.89</v>
          </cell>
          <cell r="AB370">
            <v>761.89</v>
          </cell>
          <cell r="AC370">
            <v>2258.3000000000002</v>
          </cell>
          <cell r="AD370">
            <v>2345.61</v>
          </cell>
          <cell r="AE370">
            <v>2489.36</v>
          </cell>
          <cell r="AF370">
            <v>2745.84</v>
          </cell>
          <cell r="AG370">
            <v>2745.84</v>
          </cell>
          <cell r="AH370">
            <v>3174.85</v>
          </cell>
          <cell r="AI370">
            <v>3669.85</v>
          </cell>
          <cell r="AJ370">
            <v>3895.69</v>
          </cell>
          <cell r="AK370">
            <v>3932.22</v>
          </cell>
          <cell r="AL370">
            <v>0</v>
          </cell>
          <cell r="AM370">
            <v>3</v>
          </cell>
          <cell r="AN370" t="str">
            <v/>
          </cell>
          <cell r="AO370">
            <v>0</v>
          </cell>
          <cell r="AP370">
            <v>0</v>
          </cell>
          <cell r="AQ370">
            <v>0</v>
          </cell>
          <cell r="AR370">
            <v>600</v>
          </cell>
          <cell r="AS370">
            <v>0</v>
          </cell>
          <cell r="AT370" t="str">
            <v/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 t="str">
            <v/>
          </cell>
          <cell r="BK370">
            <v>4300</v>
          </cell>
          <cell r="BL370" t="str">
            <v>0</v>
          </cell>
          <cell r="BM370" t="str">
            <v>1</v>
          </cell>
          <cell r="BN370" t="str">
            <v/>
          </cell>
          <cell r="BO370" t="str">
            <v/>
          </cell>
        </row>
        <row r="371">
          <cell r="A371">
            <v>1</v>
          </cell>
          <cell r="B371">
            <v>4159004</v>
          </cell>
          <cell r="C371" t="str">
            <v>RECLAMATIONS</v>
          </cell>
          <cell r="D371" t="str">
            <v>TRANSFERT DIVISION BOITES</v>
          </cell>
          <cell r="E371" t="str">
            <v>O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90.19</v>
          </cell>
          <cell r="AD371">
            <v>90.19</v>
          </cell>
          <cell r="AE371">
            <v>90.19</v>
          </cell>
          <cell r="AF371">
            <v>90.19</v>
          </cell>
          <cell r="AG371">
            <v>90.19</v>
          </cell>
          <cell r="AH371">
            <v>90.19</v>
          </cell>
          <cell r="AI371">
            <v>90.19</v>
          </cell>
          <cell r="AJ371">
            <v>90.19</v>
          </cell>
          <cell r="AK371">
            <v>90.19</v>
          </cell>
          <cell r="AL371">
            <v>0</v>
          </cell>
          <cell r="AM371">
            <v>4</v>
          </cell>
          <cell r="AN371" t="str">
            <v/>
          </cell>
          <cell r="AO371">
            <v>0</v>
          </cell>
          <cell r="AP371">
            <v>0</v>
          </cell>
          <cell r="AQ371">
            <v>0</v>
          </cell>
          <cell r="AR371">
            <v>600</v>
          </cell>
          <cell r="AS371">
            <v>0</v>
          </cell>
          <cell r="AT371" t="str">
            <v/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 t="str">
            <v/>
          </cell>
          <cell r="BK371">
            <v>4300</v>
          </cell>
          <cell r="BL371" t="str">
            <v>0</v>
          </cell>
          <cell r="BM371" t="str">
            <v>1</v>
          </cell>
          <cell r="BN371" t="str">
            <v/>
          </cell>
          <cell r="BO371" t="str">
            <v/>
          </cell>
        </row>
        <row r="372">
          <cell r="A372">
            <v>1</v>
          </cell>
          <cell r="B372">
            <v>4201001</v>
          </cell>
          <cell r="C372" t="str">
            <v>INV PRODUITS FINIS VAR</v>
          </cell>
          <cell r="D372" t="str">
            <v>PAPIER</v>
          </cell>
          <cell r="E372" t="str">
            <v>O</v>
          </cell>
          <cell r="F372">
            <v>0</v>
          </cell>
          <cell r="G372">
            <v>0</v>
          </cell>
          <cell r="H372">
            <v>356161.29</v>
          </cell>
          <cell r="I372">
            <v>10561601.300000001</v>
          </cell>
          <cell r="J372">
            <v>10917762.59</v>
          </cell>
          <cell r="K372">
            <v>0</v>
          </cell>
          <cell r="L372">
            <v>356161.29</v>
          </cell>
          <cell r="M372">
            <v>523416.01</v>
          </cell>
          <cell r="N372">
            <v>421439</v>
          </cell>
          <cell r="O372">
            <v>380519.88</v>
          </cell>
          <cell r="P372">
            <v>418512.43</v>
          </cell>
          <cell r="Q372">
            <v>636716.91</v>
          </cell>
          <cell r="R372">
            <v>519526.43</v>
          </cell>
          <cell r="S372">
            <v>481713.26</v>
          </cell>
          <cell r="T372">
            <v>585735.43000000005</v>
          </cell>
          <cell r="U372">
            <v>595861.67000000004</v>
          </cell>
          <cell r="V372">
            <v>493700.29</v>
          </cell>
          <cell r="W372">
            <v>365251</v>
          </cell>
          <cell r="X372">
            <v>356161.29</v>
          </cell>
          <cell r="Y372">
            <v>523416.01</v>
          </cell>
          <cell r="Z372">
            <v>165816</v>
          </cell>
          <cell r="AA372">
            <v>99543</v>
          </cell>
          <cell r="AB372">
            <v>147169.18</v>
          </cell>
          <cell r="AC372">
            <v>111281</v>
          </cell>
          <cell r="AD372">
            <v>269204.88</v>
          </cell>
          <cell r="AE372">
            <v>232775</v>
          </cell>
          <cell r="AF372">
            <v>307580.3</v>
          </cell>
          <cell r="AG372">
            <v>303420</v>
          </cell>
          <cell r="AH372">
            <v>298280.94</v>
          </cell>
          <cell r="AI372">
            <v>266702</v>
          </cell>
          <cell r="AJ372">
            <v>279911.40000000002</v>
          </cell>
          <cell r="AK372">
            <v>387382.6</v>
          </cell>
          <cell r="AL372">
            <v>253998</v>
          </cell>
          <cell r="AM372">
            <v>1</v>
          </cell>
          <cell r="AN372" t="str">
            <v/>
          </cell>
          <cell r="AO372">
            <v>0</v>
          </cell>
          <cell r="AP372">
            <v>0</v>
          </cell>
          <cell r="AQ372">
            <v>0</v>
          </cell>
          <cell r="AR372">
            <v>780</v>
          </cell>
          <cell r="AS372">
            <v>0</v>
          </cell>
          <cell r="AT372" t="str">
            <v/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 t="str">
            <v/>
          </cell>
          <cell r="BK372">
            <v>6400</v>
          </cell>
          <cell r="BL372" t="str">
            <v/>
          </cell>
          <cell r="BM372" t="str">
            <v>1</v>
          </cell>
          <cell r="BN372" t="str">
            <v/>
          </cell>
          <cell r="BO372" t="str">
            <v/>
          </cell>
        </row>
        <row r="373">
          <cell r="A373">
            <v>1</v>
          </cell>
          <cell r="B373">
            <v>4201002</v>
          </cell>
          <cell r="C373" t="str">
            <v>INV PRODUITS FINIS VAR</v>
          </cell>
          <cell r="D373" t="str">
            <v>SERVIETTES</v>
          </cell>
          <cell r="E373" t="str">
            <v>O</v>
          </cell>
          <cell r="F373">
            <v>0</v>
          </cell>
          <cell r="G373">
            <v>0</v>
          </cell>
          <cell r="H373">
            <v>2440531.21</v>
          </cell>
          <cell r="I373">
            <v>32705194.079999998</v>
          </cell>
          <cell r="J373">
            <v>35145725.289999999</v>
          </cell>
          <cell r="K373">
            <v>0</v>
          </cell>
          <cell r="L373">
            <v>2440531.21</v>
          </cell>
          <cell r="M373">
            <v>2219391.39</v>
          </cell>
          <cell r="N373">
            <v>1793436</v>
          </cell>
          <cell r="O373">
            <v>2563881</v>
          </cell>
          <cell r="P373">
            <v>2752763</v>
          </cell>
          <cell r="Q373">
            <v>2347017</v>
          </cell>
          <cell r="R373">
            <v>2780974.27</v>
          </cell>
          <cell r="S373">
            <v>2932132.48</v>
          </cell>
          <cell r="T373">
            <v>2954988.1</v>
          </cell>
          <cell r="U373">
            <v>2429028.41</v>
          </cell>
          <cell r="V373">
            <v>2215727.09</v>
          </cell>
          <cell r="W373">
            <v>2389424.69</v>
          </cell>
          <cell r="X373">
            <v>2440531.21</v>
          </cell>
          <cell r="Y373">
            <v>2219391.39</v>
          </cell>
          <cell r="Z373">
            <v>885090</v>
          </cell>
          <cell r="AA373">
            <v>962633</v>
          </cell>
          <cell r="AB373">
            <v>1069757.53</v>
          </cell>
          <cell r="AC373">
            <v>1322842</v>
          </cell>
          <cell r="AD373">
            <v>1458472</v>
          </cell>
          <cell r="AE373">
            <v>1276528</v>
          </cell>
          <cell r="AF373">
            <v>1200289</v>
          </cell>
          <cell r="AG373">
            <v>1282556</v>
          </cell>
          <cell r="AH373">
            <v>1100463</v>
          </cell>
          <cell r="AI373">
            <v>1371572</v>
          </cell>
          <cell r="AJ373">
            <v>1815561</v>
          </cell>
          <cell r="AK373">
            <v>1673799</v>
          </cell>
          <cell r="AL373">
            <v>1037125.06</v>
          </cell>
          <cell r="AM373">
            <v>2</v>
          </cell>
          <cell r="AN373" t="str">
            <v/>
          </cell>
          <cell r="AO373">
            <v>0</v>
          </cell>
          <cell r="AP373">
            <v>0</v>
          </cell>
          <cell r="AQ373">
            <v>0</v>
          </cell>
          <cell r="AR373">
            <v>780</v>
          </cell>
          <cell r="AS373">
            <v>0</v>
          </cell>
          <cell r="AT373" t="str">
            <v/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 t="str">
            <v/>
          </cell>
          <cell r="BK373">
            <v>6400</v>
          </cell>
          <cell r="BL373" t="str">
            <v/>
          </cell>
          <cell r="BM373" t="str">
            <v>1</v>
          </cell>
          <cell r="BN373" t="str">
            <v/>
          </cell>
          <cell r="BO373" t="str">
            <v/>
          </cell>
        </row>
        <row r="374">
          <cell r="A374">
            <v>1</v>
          </cell>
          <cell r="B374">
            <v>4201003</v>
          </cell>
          <cell r="C374" t="str">
            <v>INV PRODUITS FINIS VAR</v>
          </cell>
          <cell r="D374" t="str">
            <v>SACS</v>
          </cell>
          <cell r="E374" t="str">
            <v>O</v>
          </cell>
          <cell r="F374">
            <v>0</v>
          </cell>
          <cell r="G374">
            <v>0</v>
          </cell>
          <cell r="H374">
            <v>1378995.58</v>
          </cell>
          <cell r="I374">
            <v>15678804.99</v>
          </cell>
          <cell r="J374">
            <v>17057800.57</v>
          </cell>
          <cell r="K374">
            <v>0</v>
          </cell>
          <cell r="L374">
            <v>2721794.11</v>
          </cell>
          <cell r="M374">
            <v>2732247.09</v>
          </cell>
          <cell r="N374">
            <v>1203447</v>
          </cell>
          <cell r="O374">
            <v>1265079</v>
          </cell>
          <cell r="P374">
            <v>1171911</v>
          </cell>
          <cell r="Q374">
            <v>1221268</v>
          </cell>
          <cell r="R374">
            <v>1222706</v>
          </cell>
          <cell r="S374">
            <v>1209760</v>
          </cell>
          <cell r="T374">
            <v>1219808</v>
          </cell>
          <cell r="U374">
            <v>1234358</v>
          </cell>
          <cell r="V374">
            <v>1180919.8700000001</v>
          </cell>
          <cell r="W374">
            <v>1277388.8700000001</v>
          </cell>
          <cell r="X374">
            <v>1378995.58</v>
          </cell>
          <cell r="Y374">
            <v>1389448.56</v>
          </cell>
          <cell r="Z374">
            <v>853405</v>
          </cell>
          <cell r="AA374">
            <v>1054878</v>
          </cell>
          <cell r="AB374">
            <v>1113143</v>
          </cell>
          <cell r="AC374">
            <v>956607</v>
          </cell>
          <cell r="AD374">
            <v>842344.18</v>
          </cell>
          <cell r="AE374">
            <v>844826</v>
          </cell>
          <cell r="AF374">
            <v>793115</v>
          </cell>
          <cell r="AG374">
            <v>844251</v>
          </cell>
          <cell r="AH374">
            <v>909661</v>
          </cell>
          <cell r="AI374">
            <v>944976</v>
          </cell>
          <cell r="AJ374">
            <v>1072552</v>
          </cell>
          <cell r="AK374">
            <v>1117831</v>
          </cell>
          <cell r="AL374">
            <v>777254.22</v>
          </cell>
          <cell r="AM374">
            <v>3</v>
          </cell>
          <cell r="AN374" t="str">
            <v/>
          </cell>
          <cell r="AO374">
            <v>0</v>
          </cell>
          <cell r="AP374">
            <v>0</v>
          </cell>
          <cell r="AQ374">
            <v>0</v>
          </cell>
          <cell r="AR374">
            <v>780</v>
          </cell>
          <cell r="AS374">
            <v>0</v>
          </cell>
          <cell r="AT374" t="str">
            <v/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 t="str">
            <v/>
          </cell>
          <cell r="BK374">
            <v>6400</v>
          </cell>
          <cell r="BL374" t="str">
            <v/>
          </cell>
          <cell r="BM374" t="str">
            <v>1</v>
          </cell>
          <cell r="BN374" t="str">
            <v/>
          </cell>
          <cell r="BO374" t="str">
            <v/>
          </cell>
        </row>
        <row r="375">
          <cell r="A375">
            <v>1</v>
          </cell>
          <cell r="B375">
            <v>4201004</v>
          </cell>
          <cell r="C375" t="str">
            <v>INV PRODUITS FINIS VAR</v>
          </cell>
          <cell r="D375" t="str">
            <v>BOITES</v>
          </cell>
          <cell r="E375" t="str">
            <v>O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2106912.69</v>
          </cell>
          <cell r="AA375">
            <v>2106912.69</v>
          </cell>
          <cell r="AB375">
            <v>2106912.69</v>
          </cell>
          <cell r="AC375">
            <v>2106912.69</v>
          </cell>
          <cell r="AD375">
            <v>2106912.69</v>
          </cell>
          <cell r="AE375">
            <v>2106912.69</v>
          </cell>
          <cell r="AF375">
            <v>2106912.69</v>
          </cell>
          <cell r="AG375">
            <v>2106912.69</v>
          </cell>
          <cell r="AH375">
            <v>2106912.69</v>
          </cell>
          <cell r="AI375">
            <v>2106912.69</v>
          </cell>
          <cell r="AJ375">
            <v>2106912.69</v>
          </cell>
          <cell r="AK375">
            <v>0</v>
          </cell>
          <cell r="AL375">
            <v>0</v>
          </cell>
          <cell r="AM375">
            <v>4</v>
          </cell>
          <cell r="AN375" t="str">
            <v/>
          </cell>
          <cell r="AO375">
            <v>0</v>
          </cell>
          <cell r="AP375">
            <v>0</v>
          </cell>
          <cell r="AQ375">
            <v>0</v>
          </cell>
          <cell r="AR375">
            <v>780</v>
          </cell>
          <cell r="AS375">
            <v>0</v>
          </cell>
          <cell r="AT375" t="str">
            <v/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 t="str">
            <v/>
          </cell>
          <cell r="BK375">
            <v>6400</v>
          </cell>
          <cell r="BL375" t="str">
            <v>0</v>
          </cell>
          <cell r="BM375" t="str">
            <v>1</v>
          </cell>
          <cell r="BN375" t="str">
            <v/>
          </cell>
          <cell r="BO375" t="str">
            <v/>
          </cell>
        </row>
        <row r="376">
          <cell r="A376">
            <v>1</v>
          </cell>
          <cell r="B376">
            <v>4211101</v>
          </cell>
          <cell r="C376" t="str">
            <v>INV MAT PREM</v>
          </cell>
          <cell r="D376" t="str">
            <v>OLD NEWS PAPER - GRADE#10</v>
          </cell>
          <cell r="E376" t="str">
            <v>O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1</v>
          </cell>
          <cell r="AN376" t="str">
            <v/>
          </cell>
          <cell r="AO376">
            <v>0</v>
          </cell>
          <cell r="AP376">
            <v>0</v>
          </cell>
          <cell r="AQ376">
            <v>0</v>
          </cell>
          <cell r="AR376">
            <v>650</v>
          </cell>
          <cell r="AS376">
            <v>0</v>
          </cell>
          <cell r="AT376" t="str">
            <v/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 t="str">
            <v/>
          </cell>
          <cell r="BK376">
            <v>5100</v>
          </cell>
          <cell r="BL376" t="str">
            <v>0</v>
          </cell>
          <cell r="BM376" t="str">
            <v>1</v>
          </cell>
          <cell r="BN376" t="str">
            <v/>
          </cell>
          <cell r="BO376" t="str">
            <v/>
          </cell>
        </row>
        <row r="377">
          <cell r="A377">
            <v>1</v>
          </cell>
          <cell r="B377">
            <v>4211111</v>
          </cell>
          <cell r="C377" t="str">
            <v>INV MAT PREM</v>
          </cell>
          <cell r="D377" t="str">
            <v>BLANK NEWS     - GRADE#11</v>
          </cell>
          <cell r="E377" t="str">
            <v>O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1</v>
          </cell>
          <cell r="AN377" t="str">
            <v/>
          </cell>
          <cell r="AO377">
            <v>0</v>
          </cell>
          <cell r="AP377">
            <v>0</v>
          </cell>
          <cell r="AQ377">
            <v>0</v>
          </cell>
          <cell r="AR377">
            <v>650</v>
          </cell>
          <cell r="AS377">
            <v>0</v>
          </cell>
          <cell r="AT377" t="str">
            <v/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 t="str">
            <v/>
          </cell>
          <cell r="BK377">
            <v>5100</v>
          </cell>
          <cell r="BL377" t="str">
            <v>0</v>
          </cell>
          <cell r="BM377" t="str">
            <v>1</v>
          </cell>
          <cell r="BN377" t="str">
            <v/>
          </cell>
          <cell r="BO377" t="str">
            <v/>
          </cell>
        </row>
        <row r="378">
          <cell r="A378">
            <v>1</v>
          </cell>
          <cell r="B378">
            <v>4211141</v>
          </cell>
          <cell r="C378" t="str">
            <v>INV MAT PREM</v>
          </cell>
          <cell r="D378" t="str">
            <v>GCPO           - GRADE#14</v>
          </cell>
          <cell r="E378" t="str">
            <v>O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1</v>
          </cell>
          <cell r="AN378" t="str">
            <v/>
          </cell>
          <cell r="AO378">
            <v>0</v>
          </cell>
          <cell r="AP378">
            <v>0</v>
          </cell>
          <cell r="AQ378">
            <v>0</v>
          </cell>
          <cell r="AR378">
            <v>650</v>
          </cell>
          <cell r="AS378">
            <v>0</v>
          </cell>
          <cell r="AT378" t="str">
            <v/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 t="str">
            <v/>
          </cell>
          <cell r="BK378">
            <v>5100</v>
          </cell>
          <cell r="BL378" t="str">
            <v>0</v>
          </cell>
          <cell r="BM378" t="str">
            <v>1</v>
          </cell>
          <cell r="BN378" t="str">
            <v/>
          </cell>
          <cell r="BO378" t="str">
            <v/>
          </cell>
        </row>
        <row r="379">
          <cell r="A379">
            <v>1</v>
          </cell>
          <cell r="B379">
            <v>4211211</v>
          </cell>
          <cell r="C379" t="str">
            <v>INV MAT PREM</v>
          </cell>
          <cell r="D379" t="str">
            <v>OCC            - GRADE#21</v>
          </cell>
          <cell r="E379" t="str">
            <v>O</v>
          </cell>
          <cell r="F379">
            <v>0</v>
          </cell>
          <cell r="G379">
            <v>0</v>
          </cell>
          <cell r="H379">
            <v>6279</v>
          </cell>
          <cell r="I379">
            <v>158996.48000000001</v>
          </cell>
          <cell r="J379">
            <v>165275.48000000001</v>
          </cell>
          <cell r="K379">
            <v>0</v>
          </cell>
          <cell r="L379">
            <v>6279</v>
          </cell>
          <cell r="M379">
            <v>11853</v>
          </cell>
          <cell r="N379">
            <v>24531.68</v>
          </cell>
          <cell r="O379">
            <v>7627</v>
          </cell>
          <cell r="P379">
            <v>5905.59</v>
          </cell>
          <cell r="Q379">
            <v>11833.16</v>
          </cell>
          <cell r="R379">
            <v>2575.5</v>
          </cell>
          <cell r="S379">
            <v>16179.25</v>
          </cell>
          <cell r="T379">
            <v>14458.05</v>
          </cell>
          <cell r="U379">
            <v>21581.02</v>
          </cell>
          <cell r="V379">
            <v>5135.13</v>
          </cell>
          <cell r="W379">
            <v>5368</v>
          </cell>
          <cell r="X379">
            <v>6279</v>
          </cell>
          <cell r="Y379">
            <v>11853</v>
          </cell>
          <cell r="Z379">
            <v>8362</v>
          </cell>
          <cell r="AA379">
            <v>3880.26</v>
          </cell>
          <cell r="AB379">
            <v>1224.1300000000001</v>
          </cell>
          <cell r="AC379">
            <v>3954</v>
          </cell>
          <cell r="AD379">
            <v>278.63</v>
          </cell>
          <cell r="AE379">
            <v>2865.39</v>
          </cell>
          <cell r="AF379">
            <v>19561.89</v>
          </cell>
          <cell r="AG379">
            <v>21668.75</v>
          </cell>
          <cell r="AH379">
            <v>30407.46</v>
          </cell>
          <cell r="AI379">
            <v>6274.63</v>
          </cell>
          <cell r="AJ379">
            <v>30823.19</v>
          </cell>
          <cell r="AK379">
            <v>23797.74</v>
          </cell>
          <cell r="AL379">
            <v>4124</v>
          </cell>
          <cell r="AM379">
            <v>1</v>
          </cell>
          <cell r="AN379" t="str">
            <v/>
          </cell>
          <cell r="AO379">
            <v>0</v>
          </cell>
          <cell r="AP379">
            <v>0</v>
          </cell>
          <cell r="AQ379">
            <v>0</v>
          </cell>
          <cell r="AR379">
            <v>650</v>
          </cell>
          <cell r="AS379">
            <v>0</v>
          </cell>
          <cell r="AT379" t="str">
            <v/>
          </cell>
          <cell r="AU379">
            <v>0</v>
          </cell>
          <cell r="AV379">
            <v>76.510000000000005</v>
          </cell>
          <cell r="AW379">
            <v>0</v>
          </cell>
          <cell r="AX379">
            <v>181.86</v>
          </cell>
          <cell r="AY379">
            <v>11853</v>
          </cell>
          <cell r="AZ379">
            <v>-76.510000000000005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 t="str">
            <v/>
          </cell>
          <cell r="BK379">
            <v>5100</v>
          </cell>
          <cell r="BL379" t="str">
            <v>0</v>
          </cell>
          <cell r="BM379" t="str">
            <v>1</v>
          </cell>
          <cell r="BN379" t="str">
            <v/>
          </cell>
          <cell r="BO379" t="str">
            <v/>
          </cell>
        </row>
        <row r="380">
          <cell r="A380">
            <v>1</v>
          </cell>
          <cell r="B380">
            <v>4211221</v>
          </cell>
          <cell r="C380" t="str">
            <v>INV MAT PREM</v>
          </cell>
          <cell r="D380" t="str">
            <v>DLK            - GRADE#22</v>
          </cell>
          <cell r="E380" t="str">
            <v>O</v>
          </cell>
          <cell r="F380">
            <v>0</v>
          </cell>
          <cell r="G380">
            <v>0</v>
          </cell>
          <cell r="H380">
            <v>17971</v>
          </cell>
          <cell r="I380">
            <v>391750.8</v>
          </cell>
          <cell r="J380">
            <v>409721.8</v>
          </cell>
          <cell r="K380">
            <v>0</v>
          </cell>
          <cell r="L380">
            <v>17971</v>
          </cell>
          <cell r="M380">
            <v>13068</v>
          </cell>
          <cell r="N380">
            <v>37718.400000000001</v>
          </cell>
          <cell r="O380">
            <v>25834</v>
          </cell>
          <cell r="P380">
            <v>15841.04</v>
          </cell>
          <cell r="Q380">
            <v>20862.810000000001</v>
          </cell>
          <cell r="R380">
            <v>21555.42</v>
          </cell>
          <cell r="S380">
            <v>35186.46</v>
          </cell>
          <cell r="T380">
            <v>31290.02</v>
          </cell>
          <cell r="U380">
            <v>41754.239999999998</v>
          </cell>
          <cell r="V380">
            <v>17817.2</v>
          </cell>
          <cell r="W380">
            <v>14395</v>
          </cell>
          <cell r="X380">
            <v>17971</v>
          </cell>
          <cell r="Y380">
            <v>13068</v>
          </cell>
          <cell r="Z380">
            <v>11441</v>
          </cell>
          <cell r="AA380">
            <v>4612.5</v>
          </cell>
          <cell r="AB380">
            <v>10891.46</v>
          </cell>
          <cell r="AC380">
            <v>2070</v>
          </cell>
          <cell r="AD380">
            <v>12725.57</v>
          </cell>
          <cell r="AE380">
            <v>12346.08</v>
          </cell>
          <cell r="AF380">
            <v>20718.939999999999</v>
          </cell>
          <cell r="AG380">
            <v>20060.669999999998</v>
          </cell>
          <cell r="AH380">
            <v>27649.05</v>
          </cell>
          <cell r="AI380">
            <v>37285.82</v>
          </cell>
          <cell r="AJ380">
            <v>12855.08</v>
          </cell>
          <cell r="AK380">
            <v>46917.919999999998</v>
          </cell>
          <cell r="AL380">
            <v>5976</v>
          </cell>
          <cell r="AM380">
            <v>1</v>
          </cell>
          <cell r="AN380" t="str">
            <v/>
          </cell>
          <cell r="AO380">
            <v>0</v>
          </cell>
          <cell r="AP380">
            <v>0</v>
          </cell>
          <cell r="AQ380">
            <v>0</v>
          </cell>
          <cell r="AR380">
            <v>650</v>
          </cell>
          <cell r="AS380">
            <v>0</v>
          </cell>
          <cell r="AT380" t="str">
            <v/>
          </cell>
          <cell r="AU380">
            <v>0</v>
          </cell>
          <cell r="AV380">
            <v>196.6</v>
          </cell>
          <cell r="AW380">
            <v>0</v>
          </cell>
          <cell r="AX380">
            <v>147.31</v>
          </cell>
          <cell r="AY380">
            <v>13068</v>
          </cell>
          <cell r="AZ380">
            <v>-196.6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 t="str">
            <v/>
          </cell>
          <cell r="BK380">
            <v>5100</v>
          </cell>
          <cell r="BL380" t="str">
            <v>0</v>
          </cell>
          <cell r="BM380" t="str">
            <v>1</v>
          </cell>
          <cell r="BN380" t="str">
            <v/>
          </cell>
          <cell r="BO380" t="str">
            <v/>
          </cell>
        </row>
        <row r="381">
          <cell r="A381">
            <v>1</v>
          </cell>
          <cell r="B381">
            <v>4211421</v>
          </cell>
          <cell r="C381" t="str">
            <v>INV MAT PREM</v>
          </cell>
          <cell r="D381" t="str">
            <v>SCPO           - GRADE#42</v>
          </cell>
          <cell r="E381" t="str">
            <v>O</v>
          </cell>
          <cell r="F381">
            <v>0</v>
          </cell>
          <cell r="G381">
            <v>0</v>
          </cell>
          <cell r="H381">
            <v>0</v>
          </cell>
          <cell r="I381">
            <v>443417.97</v>
          </cell>
          <cell r="J381">
            <v>443417.97</v>
          </cell>
          <cell r="K381">
            <v>0</v>
          </cell>
          <cell r="L381">
            <v>0</v>
          </cell>
          <cell r="M381">
            <v>2738</v>
          </cell>
          <cell r="N381">
            <v>0</v>
          </cell>
          <cell r="O381">
            <v>4440</v>
          </cell>
          <cell r="P381">
            <v>13351.29</v>
          </cell>
          <cell r="Q381">
            <v>21187.599999999999</v>
          </cell>
          <cell r="R381">
            <v>34296.83</v>
          </cell>
          <cell r="S381">
            <v>78995.740000000005</v>
          </cell>
          <cell r="T381">
            <v>21659.07</v>
          </cell>
          <cell r="U381">
            <v>28005.24</v>
          </cell>
          <cell r="V381">
            <v>62937.1</v>
          </cell>
          <cell r="W381">
            <v>56940</v>
          </cell>
          <cell r="X381">
            <v>0</v>
          </cell>
          <cell r="Y381">
            <v>2738</v>
          </cell>
          <cell r="Z381">
            <v>8964</v>
          </cell>
          <cell r="AA381">
            <v>9028</v>
          </cell>
          <cell r="AB381">
            <v>0</v>
          </cell>
          <cell r="AC381">
            <v>6739</v>
          </cell>
          <cell r="AD381">
            <v>13012.74</v>
          </cell>
          <cell r="AE381">
            <v>0</v>
          </cell>
          <cell r="AF381">
            <v>9989.25</v>
          </cell>
          <cell r="AG381">
            <v>12397.5</v>
          </cell>
          <cell r="AH381">
            <v>37688.83</v>
          </cell>
          <cell r="AI381">
            <v>8639.68</v>
          </cell>
          <cell r="AJ381">
            <v>0</v>
          </cell>
          <cell r="AK381">
            <v>0</v>
          </cell>
          <cell r="AL381">
            <v>0</v>
          </cell>
          <cell r="AM381">
            <v>1</v>
          </cell>
          <cell r="AN381" t="str">
            <v/>
          </cell>
          <cell r="AO381">
            <v>0</v>
          </cell>
          <cell r="AP381">
            <v>0</v>
          </cell>
          <cell r="AQ381">
            <v>0</v>
          </cell>
          <cell r="AR381">
            <v>650</v>
          </cell>
          <cell r="AS381">
            <v>0</v>
          </cell>
          <cell r="AT381" t="str">
            <v/>
          </cell>
          <cell r="AU381">
            <v>0</v>
          </cell>
          <cell r="AV381">
            <v>0</v>
          </cell>
          <cell r="AW381">
            <v>0</v>
          </cell>
          <cell r="AX381">
            <v>8.24</v>
          </cell>
          <cell r="AY381">
            <v>2738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 t="str">
            <v/>
          </cell>
          <cell r="BK381">
            <v>5100</v>
          </cell>
          <cell r="BL381" t="str">
            <v>0</v>
          </cell>
          <cell r="BM381" t="str">
            <v>1</v>
          </cell>
          <cell r="BN381" t="str">
            <v/>
          </cell>
          <cell r="BO381" t="str">
            <v/>
          </cell>
        </row>
        <row r="382">
          <cell r="A382">
            <v>1</v>
          </cell>
          <cell r="B382">
            <v>4211981</v>
          </cell>
          <cell r="C382" t="str">
            <v>INV MAT PREM</v>
          </cell>
          <cell r="D382" t="str">
            <v>SCRAP INTERN - SERVIETTES</v>
          </cell>
          <cell r="E382" t="str">
            <v>O</v>
          </cell>
          <cell r="F382">
            <v>0</v>
          </cell>
          <cell r="G382">
            <v>0</v>
          </cell>
          <cell r="H382">
            <v>0</v>
          </cell>
          <cell r="I382">
            <v>3302.5</v>
          </cell>
          <cell r="J382">
            <v>3302.5</v>
          </cell>
          <cell r="K382">
            <v>0</v>
          </cell>
          <cell r="L382">
            <v>0</v>
          </cell>
          <cell r="M382">
            <v>0</v>
          </cell>
          <cell r="N382">
            <v>724.5</v>
          </cell>
          <cell r="O382">
            <v>2578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-4649</v>
          </cell>
          <cell r="AA382">
            <v>10100</v>
          </cell>
          <cell r="AB382">
            <v>9167.5</v>
          </cell>
          <cell r="AC382">
            <v>8009</v>
          </cell>
          <cell r="AD382">
            <v>3913.78</v>
          </cell>
          <cell r="AE382">
            <v>6454.5</v>
          </cell>
          <cell r="AF382">
            <v>6221</v>
          </cell>
          <cell r="AG382">
            <v>2365</v>
          </cell>
          <cell r="AH382">
            <v>1664.5</v>
          </cell>
          <cell r="AI382">
            <v>952</v>
          </cell>
          <cell r="AJ382">
            <v>375</v>
          </cell>
          <cell r="AK382">
            <v>998.23</v>
          </cell>
          <cell r="AL382">
            <v>0</v>
          </cell>
          <cell r="AM382">
            <v>1</v>
          </cell>
          <cell r="AN382" t="str">
            <v/>
          </cell>
          <cell r="AO382">
            <v>0</v>
          </cell>
          <cell r="AP382">
            <v>0</v>
          </cell>
          <cell r="AQ382">
            <v>0</v>
          </cell>
          <cell r="AR382">
            <v>650</v>
          </cell>
          <cell r="AS382">
            <v>0</v>
          </cell>
          <cell r="AT382" t="str">
            <v/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 t="str">
            <v/>
          </cell>
          <cell r="BK382">
            <v>5100</v>
          </cell>
          <cell r="BL382" t="str">
            <v>0</v>
          </cell>
          <cell r="BM382" t="str">
            <v>1</v>
          </cell>
          <cell r="BN382" t="str">
            <v/>
          </cell>
          <cell r="BO382" t="str">
            <v/>
          </cell>
        </row>
        <row r="383">
          <cell r="A383">
            <v>1</v>
          </cell>
          <cell r="B383">
            <v>4211991</v>
          </cell>
          <cell r="C383" t="str">
            <v>INV MAT PREM</v>
          </cell>
          <cell r="D383" t="str">
            <v>SCRAP INT.- BOITE PLIANTE</v>
          </cell>
          <cell r="E383" t="str">
            <v>O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1962</v>
          </cell>
          <cell r="AA383">
            <v>1368</v>
          </cell>
          <cell r="AB383">
            <v>0</v>
          </cell>
          <cell r="AC383">
            <v>1026</v>
          </cell>
          <cell r="AD383">
            <v>1152</v>
          </cell>
          <cell r="AE383">
            <v>288</v>
          </cell>
          <cell r="AF383">
            <v>540</v>
          </cell>
          <cell r="AG383">
            <v>0</v>
          </cell>
          <cell r="AH383">
            <v>1065</v>
          </cell>
          <cell r="AI383">
            <v>0</v>
          </cell>
          <cell r="AJ383">
            <v>0</v>
          </cell>
          <cell r="AK383">
            <v>0</v>
          </cell>
          <cell r="AL383">
            <v>126</v>
          </cell>
          <cell r="AM383">
            <v>1</v>
          </cell>
          <cell r="AN383" t="str">
            <v/>
          </cell>
          <cell r="AO383">
            <v>0</v>
          </cell>
          <cell r="AP383">
            <v>0</v>
          </cell>
          <cell r="AQ383">
            <v>0</v>
          </cell>
          <cell r="AR383">
            <v>650</v>
          </cell>
          <cell r="AS383">
            <v>0</v>
          </cell>
          <cell r="AT383" t="str">
            <v/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 t="str">
            <v/>
          </cell>
          <cell r="BK383">
            <v>5100</v>
          </cell>
          <cell r="BL383" t="str">
            <v>0</v>
          </cell>
          <cell r="BM383" t="str">
            <v>1</v>
          </cell>
          <cell r="BN383" t="str">
            <v/>
          </cell>
          <cell r="BO383" t="str">
            <v/>
          </cell>
        </row>
        <row r="384">
          <cell r="A384">
            <v>1</v>
          </cell>
          <cell r="B384">
            <v>4212222</v>
          </cell>
          <cell r="C384" t="str">
            <v>INV MAT PREM      KINGSEY</v>
          </cell>
          <cell r="D384" t="str">
            <v>BRUN22</v>
          </cell>
          <cell r="E384" t="str">
            <v>O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27540</v>
          </cell>
          <cell r="AB384">
            <v>4913.8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</v>
          </cell>
          <cell r="AN384" t="str">
            <v/>
          </cell>
          <cell r="AO384">
            <v>0</v>
          </cell>
          <cell r="AP384">
            <v>0</v>
          </cell>
          <cell r="AQ384">
            <v>0</v>
          </cell>
          <cell r="AR384">
            <v>650</v>
          </cell>
          <cell r="AS384">
            <v>0</v>
          </cell>
          <cell r="AT384" t="str">
            <v/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 t="str">
            <v/>
          </cell>
          <cell r="BK384">
            <v>5100</v>
          </cell>
          <cell r="BL384" t="str">
            <v>0</v>
          </cell>
          <cell r="BM384" t="str">
            <v>1</v>
          </cell>
          <cell r="BN384" t="str">
            <v/>
          </cell>
          <cell r="BO384" t="str">
            <v/>
          </cell>
        </row>
        <row r="385">
          <cell r="A385">
            <v>1</v>
          </cell>
          <cell r="B385">
            <v>4212242</v>
          </cell>
          <cell r="C385" t="str">
            <v>INV MAT PREM      KINGSEY</v>
          </cell>
          <cell r="D385" t="str">
            <v>BRUN24</v>
          </cell>
          <cell r="E385" t="str">
            <v>O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2</v>
          </cell>
          <cell r="AN385" t="str">
            <v/>
          </cell>
          <cell r="AO385">
            <v>0</v>
          </cell>
          <cell r="AP385">
            <v>0</v>
          </cell>
          <cell r="AQ385">
            <v>0</v>
          </cell>
          <cell r="AR385">
            <v>650</v>
          </cell>
          <cell r="AS385">
            <v>0</v>
          </cell>
          <cell r="AT385" t="str">
            <v/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 t="str">
            <v/>
          </cell>
          <cell r="BK385">
            <v>5100</v>
          </cell>
          <cell r="BL385" t="str">
            <v>0</v>
          </cell>
          <cell r="BM385" t="str">
            <v>1</v>
          </cell>
          <cell r="BN385" t="str">
            <v/>
          </cell>
          <cell r="BO385" t="str">
            <v/>
          </cell>
        </row>
        <row r="386">
          <cell r="A386">
            <v>1</v>
          </cell>
          <cell r="B386">
            <v>4212262</v>
          </cell>
          <cell r="C386" t="str">
            <v>INV MAT PREM      KINGSEY</v>
          </cell>
          <cell r="D386" t="str">
            <v>BRUN26</v>
          </cell>
          <cell r="E386" t="str">
            <v>O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2</v>
          </cell>
          <cell r="AN386" t="str">
            <v/>
          </cell>
          <cell r="AO386">
            <v>0</v>
          </cell>
          <cell r="AP386">
            <v>0</v>
          </cell>
          <cell r="AQ386">
            <v>0</v>
          </cell>
          <cell r="AR386">
            <v>650</v>
          </cell>
          <cell r="AS386">
            <v>0</v>
          </cell>
          <cell r="AT386" t="str">
            <v/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 t="str">
            <v/>
          </cell>
          <cell r="BK386">
            <v>5100</v>
          </cell>
          <cell r="BL386" t="str">
            <v>0</v>
          </cell>
          <cell r="BM386" t="str">
            <v>1</v>
          </cell>
          <cell r="BN386" t="str">
            <v/>
          </cell>
          <cell r="BO386" t="str">
            <v/>
          </cell>
        </row>
        <row r="387">
          <cell r="A387">
            <v>1</v>
          </cell>
          <cell r="B387">
            <v>4212272</v>
          </cell>
          <cell r="C387" t="str">
            <v>INV MAT PREM      KINGSEY</v>
          </cell>
          <cell r="D387" t="str">
            <v>BRUN27</v>
          </cell>
          <cell r="E387" t="str">
            <v>O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2</v>
          </cell>
          <cell r="AN387" t="str">
            <v/>
          </cell>
          <cell r="AO387">
            <v>0</v>
          </cell>
          <cell r="AP387">
            <v>0</v>
          </cell>
          <cell r="AQ387">
            <v>0</v>
          </cell>
          <cell r="AR387">
            <v>650</v>
          </cell>
          <cell r="AS387">
            <v>0</v>
          </cell>
          <cell r="AT387" t="str">
            <v/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 t="str">
            <v/>
          </cell>
          <cell r="BK387">
            <v>5100</v>
          </cell>
          <cell r="BL387" t="str">
            <v>0</v>
          </cell>
          <cell r="BM387" t="str">
            <v>1</v>
          </cell>
          <cell r="BN387" t="str">
            <v/>
          </cell>
          <cell r="BO387" t="str">
            <v/>
          </cell>
        </row>
        <row r="388">
          <cell r="A388">
            <v>1</v>
          </cell>
          <cell r="B388">
            <v>4212292</v>
          </cell>
          <cell r="C388" t="str">
            <v>INV MAT PREM      KINGSEY</v>
          </cell>
          <cell r="D388" t="str">
            <v>BRUN29</v>
          </cell>
          <cell r="E388" t="str">
            <v>O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2</v>
          </cell>
          <cell r="AN388" t="str">
            <v/>
          </cell>
          <cell r="AO388">
            <v>0</v>
          </cell>
          <cell r="AP388">
            <v>0</v>
          </cell>
          <cell r="AQ388">
            <v>0</v>
          </cell>
          <cell r="AR388">
            <v>650</v>
          </cell>
          <cell r="AS388">
            <v>0</v>
          </cell>
          <cell r="AT388" t="str">
            <v/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 t="str">
            <v/>
          </cell>
          <cell r="BK388">
            <v>5100</v>
          </cell>
          <cell r="BL388" t="str">
            <v>0</v>
          </cell>
          <cell r="BM388" t="str">
            <v>1</v>
          </cell>
          <cell r="BN388" t="str">
            <v/>
          </cell>
          <cell r="BO388" t="str">
            <v/>
          </cell>
        </row>
        <row r="389">
          <cell r="A389">
            <v>1</v>
          </cell>
          <cell r="B389">
            <v>4213202</v>
          </cell>
          <cell r="C389" t="str">
            <v>INV MAT PREM      KINGSEY</v>
          </cell>
          <cell r="D389" t="str">
            <v>BLANC20</v>
          </cell>
          <cell r="E389" t="str">
            <v>O</v>
          </cell>
          <cell r="F389">
            <v>0</v>
          </cell>
          <cell r="G389">
            <v>0</v>
          </cell>
          <cell r="H389">
            <v>0</v>
          </cell>
          <cell r="I389">
            <v>1270.2</v>
          </cell>
          <cell r="J389">
            <v>1270.2</v>
          </cell>
          <cell r="K389">
            <v>0</v>
          </cell>
          <cell r="L389">
            <v>0</v>
          </cell>
          <cell r="M389">
            <v>0</v>
          </cell>
          <cell r="N389">
            <v>1270.2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36382.5</v>
          </cell>
          <cell r="AF389">
            <v>0</v>
          </cell>
          <cell r="AG389">
            <v>0</v>
          </cell>
          <cell r="AH389">
            <v>60967.5</v>
          </cell>
          <cell r="AI389">
            <v>76326.8</v>
          </cell>
          <cell r="AJ389">
            <v>58851.1</v>
          </cell>
          <cell r="AK389">
            <v>0</v>
          </cell>
          <cell r="AL389">
            <v>0</v>
          </cell>
          <cell r="AM389">
            <v>2</v>
          </cell>
          <cell r="AN389" t="str">
            <v/>
          </cell>
          <cell r="AO389">
            <v>0</v>
          </cell>
          <cell r="AP389">
            <v>0</v>
          </cell>
          <cell r="AQ389">
            <v>0</v>
          </cell>
          <cell r="AR389">
            <v>650</v>
          </cell>
          <cell r="AS389">
            <v>0</v>
          </cell>
          <cell r="AT389" t="str">
            <v/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 t="str">
            <v/>
          </cell>
          <cell r="BK389">
            <v>5100</v>
          </cell>
          <cell r="BL389" t="str">
            <v>0</v>
          </cell>
          <cell r="BM389" t="str">
            <v>1</v>
          </cell>
          <cell r="BN389" t="str">
            <v/>
          </cell>
          <cell r="BO389" t="str">
            <v/>
          </cell>
        </row>
        <row r="390">
          <cell r="A390">
            <v>1</v>
          </cell>
          <cell r="B390">
            <v>4213242</v>
          </cell>
          <cell r="C390" t="str">
            <v>INV MAT PREM      KINGSEY</v>
          </cell>
          <cell r="D390" t="str">
            <v>BLANC24</v>
          </cell>
          <cell r="E390" t="str">
            <v>O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2</v>
          </cell>
          <cell r="AN390" t="str">
            <v/>
          </cell>
          <cell r="AO390">
            <v>0</v>
          </cell>
          <cell r="AP390">
            <v>0</v>
          </cell>
          <cell r="AQ390">
            <v>0</v>
          </cell>
          <cell r="AR390">
            <v>650</v>
          </cell>
          <cell r="AS390">
            <v>0</v>
          </cell>
          <cell r="AT390" t="str">
            <v/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 t="str">
            <v/>
          </cell>
          <cell r="BK390">
            <v>5100</v>
          </cell>
          <cell r="BL390" t="str">
            <v>0</v>
          </cell>
          <cell r="BM390" t="str">
            <v>1</v>
          </cell>
          <cell r="BN390" t="str">
            <v/>
          </cell>
          <cell r="BO390" t="str">
            <v/>
          </cell>
        </row>
        <row r="391">
          <cell r="A391">
            <v>1</v>
          </cell>
          <cell r="B391">
            <v>4213262</v>
          </cell>
          <cell r="C391" t="str">
            <v>INV MAT PREM      KINGSEY</v>
          </cell>
          <cell r="D391" t="str">
            <v>BLANC26</v>
          </cell>
          <cell r="E391" t="str">
            <v>O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2</v>
          </cell>
          <cell r="AN391" t="str">
            <v/>
          </cell>
          <cell r="AO391">
            <v>0</v>
          </cell>
          <cell r="AP391">
            <v>0</v>
          </cell>
          <cell r="AQ391">
            <v>0</v>
          </cell>
          <cell r="AR391">
            <v>650</v>
          </cell>
          <cell r="AS391">
            <v>0</v>
          </cell>
          <cell r="AT391" t="str">
            <v/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 t="str">
            <v/>
          </cell>
          <cell r="BK391">
            <v>5100</v>
          </cell>
          <cell r="BL391" t="str">
            <v>0</v>
          </cell>
          <cell r="BM391" t="str">
            <v>1</v>
          </cell>
          <cell r="BN391" t="str">
            <v/>
          </cell>
          <cell r="BO391" t="str">
            <v/>
          </cell>
        </row>
        <row r="392">
          <cell r="A392">
            <v>1</v>
          </cell>
          <cell r="B392">
            <v>4213272</v>
          </cell>
          <cell r="C392" t="str">
            <v>INV MAT PREM      KINGSEY</v>
          </cell>
          <cell r="D392" t="str">
            <v>BLANC27</v>
          </cell>
          <cell r="E392" t="str">
            <v>O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2</v>
          </cell>
          <cell r="AN392" t="str">
            <v/>
          </cell>
          <cell r="AO392">
            <v>0</v>
          </cell>
          <cell r="AP392">
            <v>0</v>
          </cell>
          <cell r="AQ392">
            <v>0</v>
          </cell>
          <cell r="AR392">
            <v>650</v>
          </cell>
          <cell r="AS392">
            <v>0</v>
          </cell>
          <cell r="AT392" t="str">
            <v/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 t="str">
            <v/>
          </cell>
          <cell r="BK392">
            <v>5100</v>
          </cell>
          <cell r="BL392" t="str">
            <v>0</v>
          </cell>
          <cell r="BM392" t="str">
            <v>1</v>
          </cell>
          <cell r="BN392" t="str">
            <v/>
          </cell>
          <cell r="BO392" t="str">
            <v/>
          </cell>
        </row>
        <row r="393">
          <cell r="A393">
            <v>1</v>
          </cell>
          <cell r="B393">
            <v>4213292</v>
          </cell>
          <cell r="C393" t="str">
            <v>INV MAT PREM      KINGSEY</v>
          </cell>
          <cell r="D393" t="str">
            <v>BLANC29</v>
          </cell>
          <cell r="E393" t="str">
            <v>O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2</v>
          </cell>
          <cell r="AN393" t="str">
            <v/>
          </cell>
          <cell r="AO393">
            <v>0</v>
          </cell>
          <cell r="AP393">
            <v>0</v>
          </cell>
          <cell r="AQ393">
            <v>0</v>
          </cell>
          <cell r="AR393">
            <v>650</v>
          </cell>
          <cell r="AS393">
            <v>0</v>
          </cell>
          <cell r="AT393" t="str">
            <v/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 t="str">
            <v/>
          </cell>
          <cell r="BK393">
            <v>5100</v>
          </cell>
          <cell r="BL393" t="str">
            <v>0</v>
          </cell>
          <cell r="BM393" t="str">
            <v>1</v>
          </cell>
          <cell r="BN393" t="str">
            <v/>
          </cell>
          <cell r="BO393" t="str">
            <v/>
          </cell>
        </row>
        <row r="394">
          <cell r="A394">
            <v>1</v>
          </cell>
          <cell r="B394">
            <v>4219001</v>
          </cell>
          <cell r="C394" t="str">
            <v>INV MAT PREM</v>
          </cell>
          <cell r="D394" t="str">
            <v>TRANSFERT DIVISION PAPIER</v>
          </cell>
          <cell r="E394" t="str">
            <v>O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1</v>
          </cell>
          <cell r="AN394" t="str">
            <v/>
          </cell>
          <cell r="AO394">
            <v>0</v>
          </cell>
          <cell r="AP394">
            <v>0</v>
          </cell>
          <cell r="AQ394">
            <v>0</v>
          </cell>
          <cell r="AR394">
            <v>650</v>
          </cell>
          <cell r="AS394">
            <v>0</v>
          </cell>
          <cell r="AT394" t="str">
            <v/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 t="str">
            <v/>
          </cell>
          <cell r="BK394">
            <v>5100</v>
          </cell>
          <cell r="BL394" t="str">
            <v>0</v>
          </cell>
          <cell r="BM394" t="str">
            <v>1</v>
          </cell>
          <cell r="BN394" t="str">
            <v/>
          </cell>
          <cell r="BO394" t="str">
            <v/>
          </cell>
        </row>
        <row r="395">
          <cell r="A395">
            <v>1</v>
          </cell>
          <cell r="B395">
            <v>4219002</v>
          </cell>
          <cell r="C395" t="str">
            <v>INV MAT PREM</v>
          </cell>
          <cell r="D395" t="str">
            <v>TRANSFERT DIV. SERVIETTES</v>
          </cell>
          <cell r="E395" t="str">
            <v>O</v>
          </cell>
          <cell r="F395">
            <v>0</v>
          </cell>
          <cell r="G395">
            <v>0</v>
          </cell>
          <cell r="H395">
            <v>165049.5</v>
          </cell>
          <cell r="I395">
            <v>0</v>
          </cell>
          <cell r="J395">
            <v>165049.5</v>
          </cell>
          <cell r="K395">
            <v>0</v>
          </cell>
          <cell r="L395">
            <v>165049.5</v>
          </cell>
          <cell r="M395">
            <v>157778.5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165049.5</v>
          </cell>
          <cell r="Y395">
            <v>157778.5</v>
          </cell>
          <cell r="Z395">
            <v>40842</v>
          </cell>
          <cell r="AA395">
            <v>10818</v>
          </cell>
          <cell r="AB395">
            <v>10818</v>
          </cell>
          <cell r="AC395">
            <v>10818</v>
          </cell>
          <cell r="AD395">
            <v>10818</v>
          </cell>
          <cell r="AE395">
            <v>10818</v>
          </cell>
          <cell r="AF395">
            <v>10818</v>
          </cell>
          <cell r="AG395">
            <v>10818</v>
          </cell>
          <cell r="AH395">
            <v>10818</v>
          </cell>
          <cell r="AI395">
            <v>10818</v>
          </cell>
          <cell r="AJ395">
            <v>10818</v>
          </cell>
          <cell r="AK395">
            <v>0</v>
          </cell>
          <cell r="AL395">
            <v>18349</v>
          </cell>
          <cell r="AM395">
            <v>2</v>
          </cell>
          <cell r="AN395" t="str">
            <v/>
          </cell>
          <cell r="AO395">
            <v>0</v>
          </cell>
          <cell r="AP395">
            <v>0</v>
          </cell>
          <cell r="AQ395">
            <v>0</v>
          </cell>
          <cell r="AR395">
            <v>650</v>
          </cell>
          <cell r="AS395">
            <v>0</v>
          </cell>
          <cell r="AT395" t="str">
            <v/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 t="str">
            <v/>
          </cell>
          <cell r="BK395">
            <v>5100</v>
          </cell>
          <cell r="BL395" t="str">
            <v>0</v>
          </cell>
          <cell r="BM395" t="str">
            <v>1</v>
          </cell>
          <cell r="BN395" t="str">
            <v/>
          </cell>
          <cell r="BO395" t="str">
            <v/>
          </cell>
        </row>
        <row r="396">
          <cell r="A396">
            <v>1</v>
          </cell>
          <cell r="B396">
            <v>4219003</v>
          </cell>
          <cell r="C396" t="str">
            <v>INV MAT PREM</v>
          </cell>
          <cell r="D396" t="str">
            <v>TRANSFERT DIVISION SACS</v>
          </cell>
          <cell r="E396" t="str">
            <v>O</v>
          </cell>
          <cell r="F396">
            <v>0</v>
          </cell>
          <cell r="G396">
            <v>0</v>
          </cell>
          <cell r="H396">
            <v>1122973</v>
          </cell>
          <cell r="I396">
            <v>11829301.470000001</v>
          </cell>
          <cell r="J396">
            <v>12952274.470000001</v>
          </cell>
          <cell r="K396">
            <v>0</v>
          </cell>
          <cell r="L396">
            <v>1122973</v>
          </cell>
          <cell r="M396">
            <v>1023450.36</v>
          </cell>
          <cell r="N396">
            <v>1333768</v>
          </cell>
          <cell r="O396">
            <v>1362818</v>
          </cell>
          <cell r="P396">
            <v>1326097.68</v>
          </cell>
          <cell r="Q396">
            <v>1238687</v>
          </cell>
          <cell r="R396">
            <v>1154579</v>
          </cell>
          <cell r="S396">
            <v>1104098</v>
          </cell>
          <cell r="T396">
            <v>1124507</v>
          </cell>
          <cell r="U396">
            <v>1144511</v>
          </cell>
          <cell r="V396">
            <v>1043217.79</v>
          </cell>
          <cell r="W396">
            <v>997018</v>
          </cell>
          <cell r="X396">
            <v>1122973</v>
          </cell>
          <cell r="Y396">
            <v>1023450.36</v>
          </cell>
          <cell r="Z396">
            <v>1037078</v>
          </cell>
          <cell r="AA396">
            <v>1048535</v>
          </cell>
          <cell r="AB396">
            <v>994505</v>
          </cell>
          <cell r="AC396">
            <v>977666.97</v>
          </cell>
          <cell r="AD396">
            <v>970000</v>
          </cell>
          <cell r="AE396">
            <v>830476.08</v>
          </cell>
          <cell r="AF396">
            <v>911465</v>
          </cell>
          <cell r="AG396">
            <v>1007830</v>
          </cell>
          <cell r="AH396">
            <v>956207</v>
          </cell>
          <cell r="AI396">
            <v>1046651.4</v>
          </cell>
          <cell r="AJ396">
            <v>1066201</v>
          </cell>
          <cell r="AK396">
            <v>1187138.8</v>
          </cell>
          <cell r="AL396">
            <v>1070462</v>
          </cell>
          <cell r="AM396">
            <v>3</v>
          </cell>
          <cell r="AN396" t="str">
            <v/>
          </cell>
          <cell r="AO396">
            <v>0</v>
          </cell>
          <cell r="AP396">
            <v>0</v>
          </cell>
          <cell r="AQ396">
            <v>0</v>
          </cell>
          <cell r="AR396">
            <v>650</v>
          </cell>
          <cell r="AS396">
            <v>0</v>
          </cell>
          <cell r="AT396" t="str">
            <v/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 t="str">
            <v/>
          </cell>
          <cell r="BK396">
            <v>5100</v>
          </cell>
          <cell r="BL396" t="str">
            <v>0</v>
          </cell>
          <cell r="BM396" t="str">
            <v>1</v>
          </cell>
          <cell r="BN396" t="str">
            <v/>
          </cell>
          <cell r="BO396" t="str">
            <v/>
          </cell>
        </row>
        <row r="397">
          <cell r="A397">
            <v>2</v>
          </cell>
          <cell r="B397">
            <v>4219004</v>
          </cell>
          <cell r="C397" t="str">
            <v>INV MAT PREM</v>
          </cell>
          <cell r="D397" t="str">
            <v>TRANSFERT DIVISION BOITES</v>
          </cell>
          <cell r="E397" t="str">
            <v>O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841728.57</v>
          </cell>
          <cell r="AA397">
            <v>841728.57</v>
          </cell>
          <cell r="AB397">
            <v>841728.57</v>
          </cell>
          <cell r="AC397">
            <v>841728.57</v>
          </cell>
          <cell r="AD397">
            <v>841728.57</v>
          </cell>
          <cell r="AE397">
            <v>841728.57</v>
          </cell>
          <cell r="AF397">
            <v>841728.57</v>
          </cell>
          <cell r="AG397">
            <v>841728.57</v>
          </cell>
          <cell r="AH397">
            <v>841728.57</v>
          </cell>
          <cell r="AI397">
            <v>841728.57</v>
          </cell>
          <cell r="AJ397">
            <v>841728.57</v>
          </cell>
          <cell r="AK397">
            <v>0</v>
          </cell>
          <cell r="AL397">
            <v>0</v>
          </cell>
          <cell r="AM397">
            <v>4</v>
          </cell>
          <cell r="AN397" t="str">
            <v/>
          </cell>
          <cell r="AO397">
            <v>0</v>
          </cell>
          <cell r="AP397">
            <v>0</v>
          </cell>
          <cell r="AQ397">
            <v>0</v>
          </cell>
          <cell r="AR397">
            <v>650</v>
          </cell>
          <cell r="AS397">
            <v>0</v>
          </cell>
          <cell r="AT397" t="str">
            <v/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 t="str">
            <v/>
          </cell>
          <cell r="BK397">
            <v>5100</v>
          </cell>
          <cell r="BL397" t="str">
            <v>0</v>
          </cell>
          <cell r="BM397" t="str">
            <v>1</v>
          </cell>
          <cell r="BN397" t="str">
            <v/>
          </cell>
          <cell r="BO397" t="str">
            <v/>
          </cell>
        </row>
        <row r="398">
          <cell r="A398">
            <v>1</v>
          </cell>
          <cell r="B398">
            <v>4221101</v>
          </cell>
          <cell r="C398" t="str">
            <v>MATIERE PREMIERE   ACHATS</v>
          </cell>
          <cell r="D398" t="str">
            <v>NEWS PAPER     - GRADE#09</v>
          </cell>
          <cell r="E398" t="str">
            <v>O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1</v>
          </cell>
          <cell r="AN398" t="str">
            <v/>
          </cell>
          <cell r="AO398">
            <v>0</v>
          </cell>
          <cell r="AP398">
            <v>0</v>
          </cell>
          <cell r="AQ398">
            <v>0</v>
          </cell>
          <cell r="AR398">
            <v>660</v>
          </cell>
          <cell r="AS398">
            <v>0</v>
          </cell>
          <cell r="AT398" t="str">
            <v/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1</v>
          </cell>
          <cell r="BC398">
            <v>1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 t="str">
            <v/>
          </cell>
          <cell r="BK398">
            <v>5100</v>
          </cell>
          <cell r="BL398" t="str">
            <v>0</v>
          </cell>
          <cell r="BM398" t="str">
            <v>1</v>
          </cell>
          <cell r="BN398" t="str">
            <v/>
          </cell>
          <cell r="BO398" t="str">
            <v/>
          </cell>
        </row>
        <row r="399">
          <cell r="A399">
            <v>1</v>
          </cell>
          <cell r="B399">
            <v>4221111</v>
          </cell>
          <cell r="C399" t="str">
            <v>MATIERE PREMIERE   ACHATS</v>
          </cell>
          <cell r="D399" t="str">
            <v>BLANK NEWS     - GRADE#24</v>
          </cell>
          <cell r="E399" t="str">
            <v>O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3213</v>
          </cell>
          <cell r="AA399">
            <v>350</v>
          </cell>
          <cell r="AB399">
            <v>350</v>
          </cell>
          <cell r="AC399">
            <v>350</v>
          </cell>
          <cell r="AD399">
            <v>350</v>
          </cell>
          <cell r="AE399">
            <v>350</v>
          </cell>
          <cell r="AF399">
            <v>350</v>
          </cell>
          <cell r="AG399">
            <v>350</v>
          </cell>
          <cell r="AH399">
            <v>350</v>
          </cell>
          <cell r="AI399">
            <v>350</v>
          </cell>
          <cell r="AJ399">
            <v>350</v>
          </cell>
          <cell r="AK399">
            <v>350</v>
          </cell>
          <cell r="AL399">
            <v>0</v>
          </cell>
          <cell r="AM399">
            <v>1</v>
          </cell>
          <cell r="AN399" t="str">
            <v/>
          </cell>
          <cell r="AO399">
            <v>0</v>
          </cell>
          <cell r="AP399">
            <v>0</v>
          </cell>
          <cell r="AQ399">
            <v>0</v>
          </cell>
          <cell r="AR399">
            <v>660</v>
          </cell>
          <cell r="AS399">
            <v>0</v>
          </cell>
          <cell r="AT399" t="str">
            <v/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1</v>
          </cell>
          <cell r="BC399">
            <v>1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 t="str">
            <v/>
          </cell>
          <cell r="BK399">
            <v>5100</v>
          </cell>
          <cell r="BL399" t="str">
            <v>0</v>
          </cell>
          <cell r="BM399" t="str">
            <v>1</v>
          </cell>
          <cell r="BN399" t="str">
            <v/>
          </cell>
          <cell r="BO399" t="str">
            <v/>
          </cell>
        </row>
        <row r="400">
          <cell r="A400">
            <v>1</v>
          </cell>
          <cell r="B400">
            <v>4221141</v>
          </cell>
          <cell r="C400" t="str">
            <v>MATIERE PREMIERE   ACHATS</v>
          </cell>
          <cell r="D400" t="str">
            <v>GCPO           - GRADE#25</v>
          </cell>
          <cell r="E400" t="str">
            <v>O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1</v>
          </cell>
          <cell r="AN400" t="str">
            <v/>
          </cell>
          <cell r="AO400">
            <v>0</v>
          </cell>
          <cell r="AP400">
            <v>0</v>
          </cell>
          <cell r="AQ400">
            <v>0</v>
          </cell>
          <cell r="AR400">
            <v>660</v>
          </cell>
          <cell r="AS400">
            <v>0</v>
          </cell>
          <cell r="AT400" t="str">
            <v/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1</v>
          </cell>
          <cell r="BC400">
            <v>1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 t="str">
            <v/>
          </cell>
          <cell r="BK400">
            <v>5100</v>
          </cell>
          <cell r="BL400" t="str">
            <v>0</v>
          </cell>
          <cell r="BM400" t="str">
            <v>1</v>
          </cell>
          <cell r="BN400" t="str">
            <v/>
          </cell>
          <cell r="BO400" t="str">
            <v/>
          </cell>
        </row>
        <row r="401">
          <cell r="A401">
            <v>1</v>
          </cell>
          <cell r="B401">
            <v>4221211</v>
          </cell>
          <cell r="C401" t="str">
            <v>MATIERE PREMIERE   ACHATS</v>
          </cell>
          <cell r="D401" t="str">
            <v>OCC            - GRADE#11</v>
          </cell>
          <cell r="E401" t="str">
            <v>O</v>
          </cell>
          <cell r="F401">
            <v>0</v>
          </cell>
          <cell r="G401">
            <v>0</v>
          </cell>
          <cell r="H401">
            <v>1410679.93</v>
          </cell>
          <cell r="I401">
            <v>2204027.9500000002</v>
          </cell>
          <cell r="J401">
            <v>793348.02</v>
          </cell>
          <cell r="K401">
            <v>0</v>
          </cell>
          <cell r="L401">
            <v>111289.51</v>
          </cell>
          <cell r="M401">
            <v>23833.11</v>
          </cell>
          <cell r="N401">
            <v>158501</v>
          </cell>
          <cell r="O401">
            <v>259567.35999999999</v>
          </cell>
          <cell r="P401">
            <v>449593.31</v>
          </cell>
          <cell r="Q401">
            <v>587515.01</v>
          </cell>
          <cell r="R401">
            <v>757735.4</v>
          </cell>
          <cell r="S401">
            <v>899400.95</v>
          </cell>
          <cell r="T401">
            <v>1062995.97</v>
          </cell>
          <cell r="U401">
            <v>1150563.6100000001</v>
          </cell>
          <cell r="V401">
            <v>1251205.3799999999</v>
          </cell>
          <cell r="W401">
            <v>1327831.1299999999</v>
          </cell>
          <cell r="X401">
            <v>1410679.93</v>
          </cell>
          <cell r="Y401">
            <v>1498136.33</v>
          </cell>
          <cell r="Z401">
            <v>54332.27</v>
          </cell>
          <cell r="AA401">
            <v>106336.98</v>
          </cell>
          <cell r="AB401">
            <v>175169.63</v>
          </cell>
          <cell r="AC401">
            <v>241572.44</v>
          </cell>
          <cell r="AD401">
            <v>307873.95</v>
          </cell>
          <cell r="AE401">
            <v>398860.09</v>
          </cell>
          <cell r="AF401">
            <v>558882.81999999995</v>
          </cell>
          <cell r="AG401">
            <v>694067.49</v>
          </cell>
          <cell r="AH401">
            <v>839332.98</v>
          </cell>
          <cell r="AI401">
            <v>925198.41</v>
          </cell>
          <cell r="AJ401">
            <v>1042215</v>
          </cell>
          <cell r="AK401">
            <v>1172915.1499999999</v>
          </cell>
          <cell r="AL401">
            <v>0</v>
          </cell>
          <cell r="AM401">
            <v>1</v>
          </cell>
          <cell r="AN401" t="str">
            <v/>
          </cell>
          <cell r="AO401">
            <v>0</v>
          </cell>
          <cell r="AP401">
            <v>0</v>
          </cell>
          <cell r="AQ401">
            <v>0</v>
          </cell>
          <cell r="AR401">
            <v>660</v>
          </cell>
          <cell r="AS401">
            <v>0</v>
          </cell>
          <cell r="AT401" t="str">
            <v/>
          </cell>
          <cell r="AU401">
            <v>1211</v>
          </cell>
          <cell r="AV401">
            <v>0</v>
          </cell>
          <cell r="AW401">
            <v>1154.6600000000001</v>
          </cell>
          <cell r="AX401">
            <v>0</v>
          </cell>
          <cell r="AY401">
            <v>0</v>
          </cell>
          <cell r="AZ401">
            <v>1112.79</v>
          </cell>
          <cell r="BA401">
            <v>0</v>
          </cell>
          <cell r="BB401">
            <v>0</v>
          </cell>
          <cell r="BC401">
            <v>1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 t="str">
            <v/>
          </cell>
          <cell r="BK401">
            <v>5100</v>
          </cell>
          <cell r="BL401" t="str">
            <v>0</v>
          </cell>
          <cell r="BM401" t="str">
            <v>1</v>
          </cell>
          <cell r="BN401" t="str">
            <v/>
          </cell>
          <cell r="BO401" t="str">
            <v/>
          </cell>
        </row>
        <row r="402">
          <cell r="A402">
            <v>1</v>
          </cell>
          <cell r="B402">
            <v>4221221</v>
          </cell>
          <cell r="C402" t="str">
            <v>MATIERE PREMIERE   ACHATS</v>
          </cell>
          <cell r="D402" t="str">
            <v>DLK            - GRADE#13</v>
          </cell>
          <cell r="E402" t="str">
            <v>O</v>
          </cell>
          <cell r="F402">
            <v>0</v>
          </cell>
          <cell r="G402">
            <v>0</v>
          </cell>
          <cell r="H402">
            <v>579513.31000000006</v>
          </cell>
          <cell r="I402">
            <v>1010732.13</v>
          </cell>
          <cell r="J402">
            <v>431218.82</v>
          </cell>
          <cell r="K402">
            <v>0</v>
          </cell>
          <cell r="L402">
            <v>32891.449999999997</v>
          </cell>
          <cell r="M402">
            <v>4365.5</v>
          </cell>
          <cell r="N402">
            <v>58010.46</v>
          </cell>
          <cell r="O402">
            <v>124254.79</v>
          </cell>
          <cell r="P402">
            <v>133683.69</v>
          </cell>
          <cell r="Q402">
            <v>211878.86</v>
          </cell>
          <cell r="R402">
            <v>314400.77</v>
          </cell>
          <cell r="S402">
            <v>374379.7</v>
          </cell>
          <cell r="T402">
            <v>421221.14</v>
          </cell>
          <cell r="U402">
            <v>474109.94</v>
          </cell>
          <cell r="V402">
            <v>521477.9</v>
          </cell>
          <cell r="W402">
            <v>551655.54</v>
          </cell>
          <cell r="X402">
            <v>579513.31000000006</v>
          </cell>
          <cell r="Y402">
            <v>608039.26</v>
          </cell>
          <cell r="Z402">
            <v>50397.36</v>
          </cell>
          <cell r="AA402">
            <v>84663.63</v>
          </cell>
          <cell r="AB402">
            <v>140739.69</v>
          </cell>
          <cell r="AC402">
            <v>220973.39</v>
          </cell>
          <cell r="AD402">
            <v>316851.89</v>
          </cell>
          <cell r="AE402">
            <v>406135.52</v>
          </cell>
          <cell r="AF402">
            <v>499392.33</v>
          </cell>
          <cell r="AG402">
            <v>611709.97</v>
          </cell>
          <cell r="AH402">
            <v>734441.67</v>
          </cell>
          <cell r="AI402">
            <v>818547.44</v>
          </cell>
          <cell r="AJ402">
            <v>925035.69</v>
          </cell>
          <cell r="AK402">
            <v>1012774.35</v>
          </cell>
          <cell r="AL402">
            <v>0</v>
          </cell>
          <cell r="AM402">
            <v>1</v>
          </cell>
          <cell r="AN402" t="str">
            <v/>
          </cell>
          <cell r="AO402">
            <v>0</v>
          </cell>
          <cell r="AP402">
            <v>0</v>
          </cell>
          <cell r="AQ402">
            <v>0</v>
          </cell>
          <cell r="AR402">
            <v>660</v>
          </cell>
          <cell r="AS402">
            <v>0</v>
          </cell>
          <cell r="AT402" t="str">
            <v/>
          </cell>
          <cell r="AU402">
            <v>1221</v>
          </cell>
          <cell r="AV402">
            <v>0</v>
          </cell>
          <cell r="AW402">
            <v>318.64</v>
          </cell>
          <cell r="AX402">
            <v>0</v>
          </cell>
          <cell r="AY402">
            <v>0</v>
          </cell>
          <cell r="AZ402">
            <v>335.95</v>
          </cell>
          <cell r="BA402">
            <v>0</v>
          </cell>
          <cell r="BB402">
            <v>0</v>
          </cell>
          <cell r="BC402">
            <v>1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 t="str">
            <v/>
          </cell>
          <cell r="BK402">
            <v>5100</v>
          </cell>
          <cell r="BL402" t="str">
            <v>0</v>
          </cell>
          <cell r="BM402" t="str">
            <v>1</v>
          </cell>
          <cell r="BN402" t="str">
            <v/>
          </cell>
          <cell r="BO402" t="str">
            <v/>
          </cell>
        </row>
        <row r="403">
          <cell r="A403">
            <v>1</v>
          </cell>
          <cell r="B403">
            <v>4221421</v>
          </cell>
          <cell r="C403" t="str">
            <v>MATIERE PREMIERE   ACHATS</v>
          </cell>
          <cell r="D403" t="str">
            <v>SCPO           - GRADE#42</v>
          </cell>
          <cell r="E403" t="str">
            <v>O</v>
          </cell>
          <cell r="F403">
            <v>0</v>
          </cell>
          <cell r="G403">
            <v>0</v>
          </cell>
          <cell r="H403">
            <v>2245564.9700000002</v>
          </cell>
          <cell r="I403">
            <v>3137746.17</v>
          </cell>
          <cell r="J403">
            <v>892181.2</v>
          </cell>
          <cell r="K403">
            <v>0</v>
          </cell>
          <cell r="L403">
            <v>261944.31</v>
          </cell>
          <cell r="M403">
            <v>67898.28</v>
          </cell>
          <cell r="N403">
            <v>183620.33</v>
          </cell>
          <cell r="O403">
            <v>377194.73</v>
          </cell>
          <cell r="P403">
            <v>573833.67000000004</v>
          </cell>
          <cell r="Q403">
            <v>762632.05</v>
          </cell>
          <cell r="R403">
            <v>983392.66</v>
          </cell>
          <cell r="S403">
            <v>1251045.83</v>
          </cell>
          <cell r="T403">
            <v>1503603.02</v>
          </cell>
          <cell r="U403">
            <v>1732417.39</v>
          </cell>
          <cell r="V403">
            <v>1939018.44</v>
          </cell>
          <cell r="W403">
            <v>2098292.92</v>
          </cell>
          <cell r="X403">
            <v>2245564.9700000002</v>
          </cell>
          <cell r="Y403">
            <v>2439611</v>
          </cell>
          <cell r="Z403">
            <v>63123.29</v>
          </cell>
          <cell r="AA403">
            <v>138498.23999999999</v>
          </cell>
          <cell r="AB403">
            <v>193882.52</v>
          </cell>
          <cell r="AC403">
            <v>298892.63</v>
          </cell>
          <cell r="AD403">
            <v>451102.13</v>
          </cell>
          <cell r="AE403">
            <v>559360.34</v>
          </cell>
          <cell r="AF403">
            <v>727233.87</v>
          </cell>
          <cell r="AG403">
            <v>889952.24</v>
          </cell>
          <cell r="AH403">
            <v>1077823.43</v>
          </cell>
          <cell r="AI403">
            <v>1186229.83</v>
          </cell>
          <cell r="AJ403">
            <v>1297791.29</v>
          </cell>
          <cell r="AK403">
            <v>1415078.22</v>
          </cell>
          <cell r="AL403">
            <v>0</v>
          </cell>
          <cell r="AM403">
            <v>1</v>
          </cell>
          <cell r="AN403" t="str">
            <v/>
          </cell>
          <cell r="AO403">
            <v>0</v>
          </cell>
          <cell r="AP403">
            <v>0</v>
          </cell>
          <cell r="AQ403">
            <v>0</v>
          </cell>
          <cell r="AR403">
            <v>660</v>
          </cell>
          <cell r="AS403">
            <v>0</v>
          </cell>
          <cell r="AT403" t="str">
            <v/>
          </cell>
          <cell r="AU403">
            <v>1421</v>
          </cell>
          <cell r="AV403">
            <v>0</v>
          </cell>
          <cell r="AW403">
            <v>584.6</v>
          </cell>
          <cell r="AX403">
            <v>0</v>
          </cell>
          <cell r="AY403">
            <v>0</v>
          </cell>
          <cell r="AZ403">
            <v>443.22</v>
          </cell>
          <cell r="BA403">
            <v>0</v>
          </cell>
          <cell r="BB403">
            <v>1</v>
          </cell>
          <cell r="BC403">
            <v>1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 t="str">
            <v/>
          </cell>
          <cell r="BK403">
            <v>5100</v>
          </cell>
          <cell r="BL403" t="str">
            <v>0</v>
          </cell>
          <cell r="BM403" t="str">
            <v>1</v>
          </cell>
          <cell r="BN403" t="str">
            <v/>
          </cell>
          <cell r="BO403" t="str">
            <v/>
          </cell>
        </row>
        <row r="404">
          <cell r="A404">
            <v>1</v>
          </cell>
          <cell r="B404">
            <v>4221981</v>
          </cell>
          <cell r="C404" t="str">
            <v>MATIERE PREMIERE   ACHATS</v>
          </cell>
          <cell r="D404" t="str">
            <v>SCRAP INT. - SERVIETTES</v>
          </cell>
          <cell r="E404" t="str">
            <v>O</v>
          </cell>
          <cell r="F404">
            <v>0</v>
          </cell>
          <cell r="G404">
            <v>0</v>
          </cell>
          <cell r="H404">
            <v>-22320.5</v>
          </cell>
          <cell r="I404">
            <v>104123.03</v>
          </cell>
          <cell r="J404">
            <v>126443.53</v>
          </cell>
          <cell r="K404">
            <v>0</v>
          </cell>
          <cell r="L404">
            <v>4927.25</v>
          </cell>
          <cell r="M404">
            <v>11720.04</v>
          </cell>
          <cell r="N404">
            <v>14757.8</v>
          </cell>
          <cell r="O404">
            <v>29070.799999999999</v>
          </cell>
          <cell r="P404">
            <v>36329.120000000003</v>
          </cell>
          <cell r="Q404">
            <v>35212.49</v>
          </cell>
          <cell r="R404">
            <v>21587.13</v>
          </cell>
          <cell r="S404">
            <v>22014.53</v>
          </cell>
          <cell r="T404">
            <v>23237.02</v>
          </cell>
          <cell r="U404">
            <v>6471.41</v>
          </cell>
          <cell r="V404">
            <v>-1972.66</v>
          </cell>
          <cell r="W404">
            <v>-9404.23</v>
          </cell>
          <cell r="X404">
            <v>-22320.5</v>
          </cell>
          <cell r="Y404">
            <v>-29113.29</v>
          </cell>
          <cell r="Z404">
            <v>7149</v>
          </cell>
          <cell r="AA404">
            <v>14720.5</v>
          </cell>
          <cell r="AB404">
            <v>21221</v>
          </cell>
          <cell r="AC404">
            <v>27810.5</v>
          </cell>
          <cell r="AD404">
            <v>32120.87</v>
          </cell>
          <cell r="AE404">
            <v>38438.97</v>
          </cell>
          <cell r="AF404">
            <v>43104.22</v>
          </cell>
          <cell r="AG404">
            <v>53699.5</v>
          </cell>
          <cell r="AH404">
            <v>60183.88</v>
          </cell>
          <cell r="AI404">
            <v>67599.88</v>
          </cell>
          <cell r="AJ404">
            <v>75390.62</v>
          </cell>
          <cell r="AK404">
            <v>81934.66</v>
          </cell>
          <cell r="AL404">
            <v>0</v>
          </cell>
          <cell r="AM404">
            <v>1</v>
          </cell>
          <cell r="AN404" t="str">
            <v/>
          </cell>
          <cell r="AO404">
            <v>0</v>
          </cell>
          <cell r="AP404">
            <v>0</v>
          </cell>
          <cell r="AQ404">
            <v>0</v>
          </cell>
          <cell r="AR404">
            <v>660</v>
          </cell>
          <cell r="AS404">
            <v>0</v>
          </cell>
          <cell r="AT404" t="str">
            <v/>
          </cell>
          <cell r="AU404">
            <v>1981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1</v>
          </cell>
          <cell r="BC404">
            <v>1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 t="str">
            <v/>
          </cell>
          <cell r="BK404">
            <v>5100</v>
          </cell>
          <cell r="BL404" t="str">
            <v>0</v>
          </cell>
          <cell r="BM404" t="str">
            <v>1</v>
          </cell>
          <cell r="BN404" t="str">
            <v/>
          </cell>
          <cell r="BO404" t="str">
            <v/>
          </cell>
        </row>
        <row r="405">
          <cell r="A405">
            <v>1</v>
          </cell>
          <cell r="B405">
            <v>4221991</v>
          </cell>
          <cell r="C405" t="str">
            <v>MATIERE PREMIERE   ACHATS</v>
          </cell>
          <cell r="D405" t="str">
            <v>SCRAP INT. - BOITES</v>
          </cell>
          <cell r="E405" t="str">
            <v>O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10170</v>
          </cell>
          <cell r="AA405">
            <v>18126</v>
          </cell>
          <cell r="AB405">
            <v>29322</v>
          </cell>
          <cell r="AC405">
            <v>38766.480000000003</v>
          </cell>
          <cell r="AD405">
            <v>48270.48</v>
          </cell>
          <cell r="AE405">
            <v>59538.48</v>
          </cell>
          <cell r="AF405">
            <v>68295.600000000006</v>
          </cell>
          <cell r="AG405">
            <v>73065.84</v>
          </cell>
          <cell r="AH405">
            <v>76017.84</v>
          </cell>
          <cell r="AI405">
            <v>76017.84</v>
          </cell>
          <cell r="AJ405">
            <v>89445.84</v>
          </cell>
          <cell r="AK405">
            <v>92192.93</v>
          </cell>
          <cell r="AL405">
            <v>0</v>
          </cell>
          <cell r="AM405">
            <v>1</v>
          </cell>
          <cell r="AN405" t="str">
            <v/>
          </cell>
          <cell r="AO405">
            <v>0</v>
          </cell>
          <cell r="AP405">
            <v>0</v>
          </cell>
          <cell r="AQ405">
            <v>0</v>
          </cell>
          <cell r="AR405">
            <v>660</v>
          </cell>
          <cell r="AS405">
            <v>0</v>
          </cell>
          <cell r="AT405" t="str">
            <v/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1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 t="str">
            <v/>
          </cell>
          <cell r="BK405">
            <v>5100</v>
          </cell>
          <cell r="BL405" t="str">
            <v>0</v>
          </cell>
          <cell r="BM405" t="str">
            <v>1</v>
          </cell>
          <cell r="BN405" t="str">
            <v/>
          </cell>
          <cell r="BO405" t="str">
            <v/>
          </cell>
        </row>
        <row r="406">
          <cell r="A406">
            <v>1</v>
          </cell>
          <cell r="B406">
            <v>4222222</v>
          </cell>
          <cell r="C406" t="str">
            <v>MATIERE PREMIERE   ACHATS</v>
          </cell>
          <cell r="D406" t="str">
            <v>BRUN22</v>
          </cell>
          <cell r="E406" t="str">
            <v>O</v>
          </cell>
          <cell r="F406">
            <v>0</v>
          </cell>
          <cell r="G406">
            <v>0</v>
          </cell>
          <cell r="H406">
            <v>-11400.92</v>
          </cell>
          <cell r="I406">
            <v>0</v>
          </cell>
          <cell r="J406">
            <v>11400.92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-11400.92</v>
          </cell>
          <cell r="R406">
            <v>-11400.92</v>
          </cell>
          <cell r="S406">
            <v>-11400.92</v>
          </cell>
          <cell r="T406">
            <v>-11400.92</v>
          </cell>
          <cell r="U406">
            <v>-11400.92</v>
          </cell>
          <cell r="V406">
            <v>-11400.92</v>
          </cell>
          <cell r="W406">
            <v>-11400.92</v>
          </cell>
          <cell r="X406">
            <v>-11400.92</v>
          </cell>
          <cell r="Y406">
            <v>-11400.92</v>
          </cell>
          <cell r="Z406">
            <v>85479.6</v>
          </cell>
          <cell r="AA406">
            <v>116637.3</v>
          </cell>
          <cell r="AB406">
            <v>131076.6</v>
          </cell>
          <cell r="AC406">
            <v>131076.6</v>
          </cell>
          <cell r="AD406">
            <v>147602.28</v>
          </cell>
          <cell r="AE406">
            <v>147602.28</v>
          </cell>
          <cell r="AF406">
            <v>147602.28</v>
          </cell>
          <cell r="AG406">
            <v>147602.28</v>
          </cell>
          <cell r="AH406">
            <v>148152.53</v>
          </cell>
          <cell r="AI406">
            <v>147602.28</v>
          </cell>
          <cell r="AJ406">
            <v>147602.28</v>
          </cell>
          <cell r="AK406">
            <v>151142.42000000001</v>
          </cell>
          <cell r="AL406">
            <v>0</v>
          </cell>
          <cell r="AM406">
            <v>2</v>
          </cell>
          <cell r="AN406" t="str">
            <v/>
          </cell>
          <cell r="AO406">
            <v>0</v>
          </cell>
          <cell r="AP406">
            <v>0</v>
          </cell>
          <cell r="AQ406">
            <v>0</v>
          </cell>
          <cell r="AR406">
            <v>660</v>
          </cell>
          <cell r="AS406">
            <v>0</v>
          </cell>
          <cell r="AT406" t="str">
            <v/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1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 t="str">
            <v/>
          </cell>
          <cell r="BK406">
            <v>5100</v>
          </cell>
          <cell r="BL406" t="str">
            <v>0</v>
          </cell>
          <cell r="BM406" t="str">
            <v>1</v>
          </cell>
          <cell r="BN406" t="str">
            <v/>
          </cell>
          <cell r="BO406" t="str">
            <v/>
          </cell>
        </row>
        <row r="407">
          <cell r="A407">
            <v>1</v>
          </cell>
          <cell r="B407">
            <v>1173020</v>
          </cell>
          <cell r="C407" t="str">
            <v>PAYE D'AVANCE</v>
          </cell>
          <cell r="D407" t="str">
            <v>CSST AJUST.PROV. ANNEE-1</v>
          </cell>
          <cell r="E407" t="str">
            <v>N</v>
          </cell>
          <cell r="F407">
            <v>0</v>
          </cell>
          <cell r="G407">
            <v>0</v>
          </cell>
          <cell r="H407">
            <v>0.85</v>
          </cell>
          <cell r="I407">
            <v>0</v>
          </cell>
          <cell r="J407">
            <v>36650.85</v>
          </cell>
          <cell r="K407">
            <v>0</v>
          </cell>
          <cell r="L407">
            <v>0</v>
          </cell>
          <cell r="M407">
            <v>0.85</v>
          </cell>
          <cell r="N407">
            <v>36651.699999999997</v>
          </cell>
          <cell r="O407">
            <v>0.85</v>
          </cell>
          <cell r="P407">
            <v>0.85</v>
          </cell>
          <cell r="Q407">
            <v>0.85</v>
          </cell>
          <cell r="R407">
            <v>0.85</v>
          </cell>
          <cell r="S407">
            <v>0.85</v>
          </cell>
          <cell r="T407">
            <v>0.85</v>
          </cell>
          <cell r="U407">
            <v>0.85</v>
          </cell>
          <cell r="V407">
            <v>0.85</v>
          </cell>
          <cell r="W407">
            <v>0.85</v>
          </cell>
          <cell r="X407">
            <v>0.85</v>
          </cell>
          <cell r="Y407">
            <v>0</v>
          </cell>
          <cell r="Z407">
            <v>0.85</v>
          </cell>
          <cell r="AA407">
            <v>0.85</v>
          </cell>
          <cell r="AB407">
            <v>39181.410000000003</v>
          </cell>
          <cell r="AC407">
            <v>39181.410000000003</v>
          </cell>
          <cell r="AD407">
            <v>39181.410000000003</v>
          </cell>
          <cell r="AE407">
            <v>39181.410000000003</v>
          </cell>
          <cell r="AF407">
            <v>39181.410000000003</v>
          </cell>
          <cell r="AG407">
            <v>39181.410000000003</v>
          </cell>
          <cell r="AH407">
            <v>39181.410000000003</v>
          </cell>
          <cell r="AI407">
            <v>39181.410000000003</v>
          </cell>
          <cell r="AJ407">
            <v>39181.410000000003</v>
          </cell>
          <cell r="AK407">
            <v>36651.699999999997</v>
          </cell>
          <cell r="AL407">
            <v>0</v>
          </cell>
          <cell r="AM407">
            <v>0</v>
          </cell>
          <cell r="AN407" t="str">
            <v/>
          </cell>
          <cell r="AO407">
            <v>0</v>
          </cell>
          <cell r="AP407">
            <v>0</v>
          </cell>
          <cell r="AQ407">
            <v>0</v>
          </cell>
          <cell r="AR407">
            <v>120</v>
          </cell>
          <cell r="AS407">
            <v>0</v>
          </cell>
          <cell r="AT407" t="str">
            <v/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 t="str">
            <v/>
          </cell>
          <cell r="BK407">
            <v>1600</v>
          </cell>
          <cell r="BL407" t="str">
            <v>0</v>
          </cell>
          <cell r="BM407" t="str">
            <v>1</v>
          </cell>
          <cell r="BN407" t="str">
            <v/>
          </cell>
          <cell r="BO407" t="str">
            <v/>
          </cell>
        </row>
        <row r="408">
          <cell r="A408">
            <v>1</v>
          </cell>
          <cell r="B408">
            <v>1262370</v>
          </cell>
          <cell r="C408" t="str">
            <v>INFORMATIQUE</v>
          </cell>
          <cell r="D408" t="str">
            <v>IMPRIMANTE</v>
          </cell>
          <cell r="E408" t="str">
            <v>N</v>
          </cell>
          <cell r="F408">
            <v>0</v>
          </cell>
          <cell r="G408">
            <v>0</v>
          </cell>
          <cell r="H408">
            <v>22533.7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22533.7</v>
          </cell>
          <cell r="O408">
            <v>22533.7</v>
          </cell>
          <cell r="P408">
            <v>22533.7</v>
          </cell>
          <cell r="Q408">
            <v>22533.7</v>
          </cell>
          <cell r="R408">
            <v>22533.7</v>
          </cell>
          <cell r="S408">
            <v>22533.7</v>
          </cell>
          <cell r="T408">
            <v>22533.7</v>
          </cell>
          <cell r="U408">
            <v>22533.7</v>
          </cell>
          <cell r="V408">
            <v>22533.7</v>
          </cell>
          <cell r="W408">
            <v>22533.7</v>
          </cell>
          <cell r="X408">
            <v>22533.7</v>
          </cell>
          <cell r="Y408">
            <v>22533.7</v>
          </cell>
          <cell r="Z408">
            <v>12997.62</v>
          </cell>
          <cell r="AA408">
            <v>15883.62</v>
          </cell>
          <cell r="AB408">
            <v>18748.900000000001</v>
          </cell>
          <cell r="AC408">
            <v>18748.900000000001</v>
          </cell>
          <cell r="AD408">
            <v>18748.900000000001</v>
          </cell>
          <cell r="AE408">
            <v>18748.900000000001</v>
          </cell>
          <cell r="AF408">
            <v>18748.900000000001</v>
          </cell>
          <cell r="AG408">
            <v>18748.900000000001</v>
          </cell>
          <cell r="AH408">
            <v>22533.7</v>
          </cell>
          <cell r="AI408">
            <v>22533.7</v>
          </cell>
          <cell r="AJ408">
            <v>22533.7</v>
          </cell>
          <cell r="AK408">
            <v>22533.7</v>
          </cell>
          <cell r="AL408">
            <v>0</v>
          </cell>
          <cell r="AM408">
            <v>0</v>
          </cell>
          <cell r="AN408" t="str">
            <v/>
          </cell>
          <cell r="AO408">
            <v>0</v>
          </cell>
          <cell r="AP408">
            <v>0</v>
          </cell>
          <cell r="AQ408">
            <v>0</v>
          </cell>
          <cell r="AR408">
            <v>310</v>
          </cell>
          <cell r="AS408">
            <v>0</v>
          </cell>
          <cell r="AT408" t="str">
            <v/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36</v>
          </cell>
          <cell r="BJ408" t="str">
            <v/>
          </cell>
          <cell r="BK408">
            <v>1700</v>
          </cell>
          <cell r="BL408" t="str">
            <v>1</v>
          </cell>
          <cell r="BM408" t="str">
            <v>1</v>
          </cell>
          <cell r="BN408" t="str">
            <v/>
          </cell>
          <cell r="BO408" t="str">
            <v/>
          </cell>
        </row>
        <row r="409">
          <cell r="A409">
            <v>1</v>
          </cell>
          <cell r="B409">
            <v>4222272</v>
          </cell>
          <cell r="C409" t="str">
            <v>MATIERE PREMIERE   ACHATS</v>
          </cell>
          <cell r="D409" t="str">
            <v>BRUN27</v>
          </cell>
          <cell r="E409" t="str">
            <v>O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2</v>
          </cell>
          <cell r="AN409" t="str">
            <v/>
          </cell>
          <cell r="AO409">
            <v>0</v>
          </cell>
          <cell r="AP409">
            <v>0</v>
          </cell>
          <cell r="AQ409">
            <v>0</v>
          </cell>
          <cell r="AR409">
            <v>660</v>
          </cell>
          <cell r="AS409">
            <v>0</v>
          </cell>
          <cell r="AT409" t="str">
            <v/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 t="str">
            <v/>
          </cell>
          <cell r="BK409">
            <v>5100</v>
          </cell>
          <cell r="BL409" t="str">
            <v>0</v>
          </cell>
          <cell r="BM409" t="str">
            <v>1</v>
          </cell>
          <cell r="BN409" t="str">
            <v/>
          </cell>
          <cell r="BO409" t="str">
            <v/>
          </cell>
        </row>
        <row r="410">
          <cell r="A410">
            <v>1</v>
          </cell>
          <cell r="B410">
            <v>2503010</v>
          </cell>
          <cell r="C410" t="str">
            <v>PASSIF A LONG TERME</v>
          </cell>
          <cell r="D410" t="str">
            <v>LOC. ACQ PRET IBM</v>
          </cell>
          <cell r="E410" t="str">
            <v>N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 t="str">
            <v/>
          </cell>
          <cell r="AO410">
            <v>0</v>
          </cell>
          <cell r="AP410">
            <v>0</v>
          </cell>
          <cell r="AQ410">
            <v>0</v>
          </cell>
          <cell r="AR410">
            <v>540</v>
          </cell>
          <cell r="AS410">
            <v>0</v>
          </cell>
          <cell r="AT410" t="str">
            <v/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 t="str">
            <v/>
          </cell>
          <cell r="BK410">
            <v>2200</v>
          </cell>
          <cell r="BL410" t="str">
            <v>0</v>
          </cell>
          <cell r="BM410" t="str">
            <v>1</v>
          </cell>
          <cell r="BN410" t="str">
            <v/>
          </cell>
          <cell r="BO410" t="str">
            <v/>
          </cell>
        </row>
        <row r="411">
          <cell r="A411">
            <v>1</v>
          </cell>
          <cell r="B411">
            <v>1164021</v>
          </cell>
          <cell r="C411" t="str">
            <v>INV PIECES DE RECHANGES</v>
          </cell>
          <cell r="D411" t="str">
            <v>TAMIS ET PLAQUES</v>
          </cell>
          <cell r="E411" t="str">
            <v>O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1</v>
          </cell>
          <cell r="AN411" t="str">
            <v/>
          </cell>
          <cell r="AO411">
            <v>0</v>
          </cell>
          <cell r="AP411">
            <v>0</v>
          </cell>
          <cell r="AQ411">
            <v>0</v>
          </cell>
          <cell r="AR411">
            <v>100</v>
          </cell>
          <cell r="AS411">
            <v>0</v>
          </cell>
          <cell r="AT411" t="str">
            <v/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 t="str">
            <v/>
          </cell>
          <cell r="BK411">
            <v>1600</v>
          </cell>
          <cell r="BL411" t="str">
            <v>0</v>
          </cell>
          <cell r="BM411" t="str">
            <v>1</v>
          </cell>
          <cell r="BN411" t="str">
            <v/>
          </cell>
          <cell r="BO411" t="str">
            <v/>
          </cell>
        </row>
        <row r="412">
          <cell r="A412">
            <v>1</v>
          </cell>
          <cell r="B412">
            <v>1176000</v>
          </cell>
          <cell r="C412" t="str">
            <v>PAYE D'AVANCE</v>
          </cell>
          <cell r="D412" t="str">
            <v>PROJET BOITES PLIANTES</v>
          </cell>
          <cell r="E412" t="str">
            <v>O</v>
          </cell>
          <cell r="F412">
            <v>0</v>
          </cell>
          <cell r="G412">
            <v>0</v>
          </cell>
          <cell r="H412">
            <v>3.85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3.85</v>
          </cell>
          <cell r="N412">
            <v>3.85</v>
          </cell>
          <cell r="O412">
            <v>3.85</v>
          </cell>
          <cell r="P412">
            <v>3.85</v>
          </cell>
          <cell r="Q412">
            <v>3.85</v>
          </cell>
          <cell r="R412">
            <v>3.85</v>
          </cell>
          <cell r="S412">
            <v>3.85</v>
          </cell>
          <cell r="T412">
            <v>3.85</v>
          </cell>
          <cell r="U412">
            <v>3.85</v>
          </cell>
          <cell r="V412">
            <v>3.85</v>
          </cell>
          <cell r="W412">
            <v>3.85</v>
          </cell>
          <cell r="X412">
            <v>3.85</v>
          </cell>
          <cell r="Y412">
            <v>0</v>
          </cell>
          <cell r="Z412">
            <v>10250</v>
          </cell>
          <cell r="AA412">
            <v>10250</v>
          </cell>
          <cell r="AB412">
            <v>10250</v>
          </cell>
          <cell r="AC412">
            <v>10250</v>
          </cell>
          <cell r="AD412">
            <v>10250</v>
          </cell>
          <cell r="AE412">
            <v>10250</v>
          </cell>
          <cell r="AF412">
            <v>10250</v>
          </cell>
          <cell r="AG412">
            <v>3.85</v>
          </cell>
          <cell r="AH412">
            <v>3.85</v>
          </cell>
          <cell r="AI412">
            <v>3.85</v>
          </cell>
          <cell r="AJ412">
            <v>3.85</v>
          </cell>
          <cell r="AK412">
            <v>3.85</v>
          </cell>
          <cell r="AL412">
            <v>0</v>
          </cell>
          <cell r="AM412">
            <v>0</v>
          </cell>
          <cell r="AN412" t="str">
            <v/>
          </cell>
          <cell r="AO412">
            <v>0</v>
          </cell>
          <cell r="AP412">
            <v>0</v>
          </cell>
          <cell r="AQ412">
            <v>0</v>
          </cell>
          <cell r="AR412">
            <v>120</v>
          </cell>
          <cell r="AS412">
            <v>0</v>
          </cell>
          <cell r="AT412" t="str">
            <v/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 t="str">
            <v/>
          </cell>
          <cell r="BK412">
            <v>1600</v>
          </cell>
          <cell r="BL412" t="str">
            <v>0</v>
          </cell>
          <cell r="BM412" t="str">
            <v>1</v>
          </cell>
          <cell r="BN412" t="str">
            <v/>
          </cell>
          <cell r="BO412" t="str">
            <v/>
          </cell>
        </row>
        <row r="413">
          <cell r="A413">
            <v>1</v>
          </cell>
          <cell r="B413">
            <v>4223262</v>
          </cell>
          <cell r="C413" t="str">
            <v>MATIERE PREMIERE   ACHATS</v>
          </cell>
          <cell r="D413" t="str">
            <v>BLANC26</v>
          </cell>
          <cell r="E413" t="str">
            <v>O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2</v>
          </cell>
          <cell r="AN413" t="str">
            <v/>
          </cell>
          <cell r="AO413">
            <v>0</v>
          </cell>
          <cell r="AP413">
            <v>0</v>
          </cell>
          <cell r="AQ413">
            <v>0</v>
          </cell>
          <cell r="AR413">
            <v>660</v>
          </cell>
          <cell r="AS413">
            <v>0</v>
          </cell>
          <cell r="AT413" t="str">
            <v/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1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 t="str">
            <v/>
          </cell>
          <cell r="BK413">
            <v>5100</v>
          </cell>
          <cell r="BL413" t="str">
            <v>0</v>
          </cell>
          <cell r="BM413" t="str">
            <v>1</v>
          </cell>
          <cell r="BN413" t="str">
            <v/>
          </cell>
          <cell r="BO413" t="str">
            <v/>
          </cell>
        </row>
        <row r="414">
          <cell r="A414">
            <v>1</v>
          </cell>
          <cell r="B414">
            <v>4115762</v>
          </cell>
          <cell r="C414" t="str">
            <v>PERKINS M/F 12X250 SHRINK</v>
          </cell>
          <cell r="D414" t="str">
            <v>PN101576</v>
          </cell>
          <cell r="E414" t="str">
            <v>O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2</v>
          </cell>
          <cell r="AN414" t="str">
            <v/>
          </cell>
          <cell r="AO414">
            <v>0</v>
          </cell>
          <cell r="AP414">
            <v>0</v>
          </cell>
          <cell r="AQ414">
            <v>0</v>
          </cell>
          <cell r="AR414">
            <v>600</v>
          </cell>
          <cell r="AS414">
            <v>0</v>
          </cell>
          <cell r="AT414" t="str">
            <v/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20576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 t="str">
            <v/>
          </cell>
          <cell r="BK414">
            <v>4000</v>
          </cell>
          <cell r="BL414" t="str">
            <v>0</v>
          </cell>
          <cell r="BM414" t="str">
            <v>1</v>
          </cell>
          <cell r="BN414" t="str">
            <v/>
          </cell>
          <cell r="BO414" t="str">
            <v/>
          </cell>
        </row>
        <row r="415">
          <cell r="A415">
            <v>1</v>
          </cell>
          <cell r="B415">
            <v>1332850</v>
          </cell>
          <cell r="C415" t="str">
            <v>EGOUT SANITAIRE</v>
          </cell>
          <cell r="D415" t="str">
            <v/>
          </cell>
          <cell r="E415" t="str">
            <v>N</v>
          </cell>
          <cell r="F415">
            <v>0</v>
          </cell>
          <cell r="G415">
            <v>0</v>
          </cell>
          <cell r="H415">
            <v>7845.22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7845.22</v>
          </cell>
          <cell r="O415">
            <v>7845.22</v>
          </cell>
          <cell r="P415">
            <v>7845.22</v>
          </cell>
          <cell r="Q415">
            <v>7845.22</v>
          </cell>
          <cell r="R415">
            <v>7845.22</v>
          </cell>
          <cell r="S415">
            <v>7845.22</v>
          </cell>
          <cell r="T415">
            <v>7845.22</v>
          </cell>
          <cell r="U415">
            <v>7845.22</v>
          </cell>
          <cell r="V415">
            <v>7845.22</v>
          </cell>
          <cell r="W415">
            <v>7845.22</v>
          </cell>
          <cell r="X415">
            <v>7845.22</v>
          </cell>
          <cell r="Y415">
            <v>7845.22</v>
          </cell>
          <cell r="Z415">
            <v>7845.22</v>
          </cell>
          <cell r="AA415">
            <v>7845.22</v>
          </cell>
          <cell r="AB415">
            <v>7845.22</v>
          </cell>
          <cell r="AC415">
            <v>7845.22</v>
          </cell>
          <cell r="AD415">
            <v>7845.22</v>
          </cell>
          <cell r="AE415">
            <v>7845.22</v>
          </cell>
          <cell r="AF415">
            <v>7845.22</v>
          </cell>
          <cell r="AG415">
            <v>7845.22</v>
          </cell>
          <cell r="AH415">
            <v>7845.22</v>
          </cell>
          <cell r="AI415">
            <v>7845.22</v>
          </cell>
          <cell r="AJ415">
            <v>7845.22</v>
          </cell>
          <cell r="AK415">
            <v>7845.22</v>
          </cell>
          <cell r="AL415">
            <v>0</v>
          </cell>
          <cell r="AM415">
            <v>0</v>
          </cell>
          <cell r="AN415" t="str">
            <v/>
          </cell>
          <cell r="AO415">
            <v>0</v>
          </cell>
          <cell r="AP415">
            <v>0</v>
          </cell>
          <cell r="AQ415">
            <v>0</v>
          </cell>
          <cell r="AR415">
            <v>290</v>
          </cell>
          <cell r="AS415">
            <v>0</v>
          </cell>
          <cell r="AT415" t="str">
            <v/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240</v>
          </cell>
          <cell r="BJ415" t="str">
            <v/>
          </cell>
          <cell r="BK415">
            <v>1700</v>
          </cell>
          <cell r="BL415" t="str">
            <v>1</v>
          </cell>
          <cell r="BM415" t="str">
            <v>1</v>
          </cell>
          <cell r="BN415" t="str">
            <v/>
          </cell>
          <cell r="BO415" t="str">
            <v/>
          </cell>
        </row>
        <row r="416">
          <cell r="A416">
            <v>1</v>
          </cell>
          <cell r="B416">
            <v>4229001</v>
          </cell>
          <cell r="C416" t="str">
            <v>MATIERE PREMIERE</v>
          </cell>
          <cell r="D416" t="str">
            <v>TRANSFERT DIVISION PAPIER</v>
          </cell>
          <cell r="E416" t="str">
            <v>O</v>
          </cell>
          <cell r="F416">
            <v>0</v>
          </cell>
          <cell r="G416">
            <v>0</v>
          </cell>
          <cell r="H416">
            <v>11947.65</v>
          </cell>
          <cell r="I416">
            <v>17003.79</v>
          </cell>
          <cell r="J416">
            <v>5056.1400000000003</v>
          </cell>
          <cell r="K416">
            <v>0</v>
          </cell>
          <cell r="L416">
            <v>4619.2299999999996</v>
          </cell>
          <cell r="M416">
            <v>0</v>
          </cell>
          <cell r="N416">
            <v>118.72</v>
          </cell>
          <cell r="O416">
            <v>1442.84</v>
          </cell>
          <cell r="P416">
            <v>1911.44</v>
          </cell>
          <cell r="Q416">
            <v>3291.45</v>
          </cell>
          <cell r="R416">
            <v>5884.71</v>
          </cell>
          <cell r="S416">
            <v>6653.49</v>
          </cell>
          <cell r="T416">
            <v>6653.49</v>
          </cell>
          <cell r="U416">
            <v>8427.77</v>
          </cell>
          <cell r="V416">
            <v>10133.73</v>
          </cell>
          <cell r="W416">
            <v>11010.71</v>
          </cell>
          <cell r="X416">
            <v>11947.65</v>
          </cell>
          <cell r="Y416">
            <v>16566.88</v>
          </cell>
          <cell r="Z416">
            <v>2390</v>
          </cell>
          <cell r="AA416">
            <v>-10060.5</v>
          </cell>
          <cell r="AB416">
            <v>-2824.1</v>
          </cell>
          <cell r="AC416">
            <v>802.08</v>
          </cell>
          <cell r="AD416">
            <v>4732.08</v>
          </cell>
          <cell r="AE416">
            <v>11362.68</v>
          </cell>
          <cell r="AF416">
            <v>15492.68</v>
          </cell>
          <cell r="AG416">
            <v>17480.48</v>
          </cell>
          <cell r="AH416">
            <v>20675.099999999999</v>
          </cell>
          <cell r="AI416">
            <v>22705.1</v>
          </cell>
          <cell r="AJ416">
            <v>24608.25</v>
          </cell>
          <cell r="AK416">
            <v>29244</v>
          </cell>
          <cell r="AL416">
            <v>0</v>
          </cell>
          <cell r="AM416">
            <v>1</v>
          </cell>
          <cell r="AN416" t="str">
            <v/>
          </cell>
          <cell r="AO416">
            <v>0</v>
          </cell>
          <cell r="AP416">
            <v>0</v>
          </cell>
          <cell r="AQ416">
            <v>0</v>
          </cell>
          <cell r="AR416">
            <v>660</v>
          </cell>
          <cell r="AS416">
            <v>0</v>
          </cell>
          <cell r="AT416" t="str">
            <v/>
          </cell>
          <cell r="AU416">
            <v>1981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1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 t="str">
            <v/>
          </cell>
          <cell r="BK416">
            <v>5100</v>
          </cell>
          <cell r="BL416" t="str">
            <v>0</v>
          </cell>
          <cell r="BM416" t="str">
            <v>1</v>
          </cell>
          <cell r="BN416" t="str">
            <v/>
          </cell>
          <cell r="BO416" t="str">
            <v/>
          </cell>
        </row>
        <row r="417">
          <cell r="A417">
            <v>1</v>
          </cell>
          <cell r="B417">
            <v>4229002</v>
          </cell>
          <cell r="C417" t="str">
            <v>MATIERE PREMIERE</v>
          </cell>
          <cell r="D417" t="str">
            <v>TRANSFERT DIV. SERVIETTES</v>
          </cell>
          <cell r="E417" t="str">
            <v>O</v>
          </cell>
          <cell r="F417">
            <v>0</v>
          </cell>
          <cell r="G417">
            <v>0</v>
          </cell>
          <cell r="H417">
            <v>1488.5</v>
          </cell>
          <cell r="I417">
            <v>1705.3</v>
          </cell>
          <cell r="J417">
            <v>216.8</v>
          </cell>
          <cell r="K417">
            <v>0</v>
          </cell>
          <cell r="L417">
            <v>377.02</v>
          </cell>
          <cell r="M417">
            <v>0</v>
          </cell>
          <cell r="N417">
            <v>0</v>
          </cell>
          <cell r="O417">
            <v>18.5</v>
          </cell>
          <cell r="P417">
            <v>18.5</v>
          </cell>
          <cell r="Q417">
            <v>171.77</v>
          </cell>
          <cell r="R417">
            <v>545.44000000000005</v>
          </cell>
          <cell r="S417">
            <v>798.1</v>
          </cell>
          <cell r="T417">
            <v>1138.5</v>
          </cell>
          <cell r="U417">
            <v>1138.5</v>
          </cell>
          <cell r="V417">
            <v>1138.5</v>
          </cell>
          <cell r="W417">
            <v>1488.5</v>
          </cell>
          <cell r="X417">
            <v>1488.5</v>
          </cell>
          <cell r="Y417">
            <v>1865.52</v>
          </cell>
          <cell r="Z417">
            <v>375.55</v>
          </cell>
          <cell r="AA417">
            <v>1481.8</v>
          </cell>
          <cell r="AB417">
            <v>1656.93</v>
          </cell>
          <cell r="AC417">
            <v>1656.93</v>
          </cell>
          <cell r="AD417">
            <v>2722.98</v>
          </cell>
          <cell r="AE417">
            <v>3285.98</v>
          </cell>
          <cell r="AF417">
            <v>3446.75</v>
          </cell>
          <cell r="AG417">
            <v>3696.75</v>
          </cell>
          <cell r="AH417">
            <v>4133.75</v>
          </cell>
          <cell r="AI417">
            <v>4918.08</v>
          </cell>
          <cell r="AJ417">
            <v>5092.37</v>
          </cell>
          <cell r="AK417">
            <v>5362.4</v>
          </cell>
          <cell r="AL417">
            <v>0</v>
          </cell>
          <cell r="AM417">
            <v>2</v>
          </cell>
          <cell r="AN417" t="str">
            <v/>
          </cell>
          <cell r="AO417">
            <v>0</v>
          </cell>
          <cell r="AP417">
            <v>0</v>
          </cell>
          <cell r="AQ417">
            <v>0</v>
          </cell>
          <cell r="AR417">
            <v>660</v>
          </cell>
          <cell r="AS417">
            <v>0</v>
          </cell>
          <cell r="AT417" t="str">
            <v/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 t="str">
            <v/>
          </cell>
          <cell r="BK417">
            <v>5100</v>
          </cell>
          <cell r="BL417" t="str">
            <v>0</v>
          </cell>
          <cell r="BM417" t="str">
            <v>1</v>
          </cell>
          <cell r="BN417" t="str">
            <v/>
          </cell>
          <cell r="BO417" t="str">
            <v/>
          </cell>
        </row>
        <row r="418">
          <cell r="A418">
            <v>1</v>
          </cell>
          <cell r="B418">
            <v>4229003</v>
          </cell>
          <cell r="C418" t="str">
            <v>MATIERE PREMIERE</v>
          </cell>
          <cell r="D418" t="str">
            <v>TRANSFERT DIVISION SACS</v>
          </cell>
          <cell r="E418" t="str">
            <v>O</v>
          </cell>
          <cell r="F418">
            <v>0</v>
          </cell>
          <cell r="G418">
            <v>0</v>
          </cell>
          <cell r="H418">
            <v>4137817.26</v>
          </cell>
          <cell r="I418">
            <v>5334169.7300000004</v>
          </cell>
          <cell r="J418">
            <v>1196352.47</v>
          </cell>
          <cell r="K418">
            <v>0</v>
          </cell>
          <cell r="L418">
            <v>390343.6</v>
          </cell>
          <cell r="M418">
            <v>76180.92</v>
          </cell>
          <cell r="N418">
            <v>593614.16</v>
          </cell>
          <cell r="O418">
            <v>858825.89</v>
          </cell>
          <cell r="P418">
            <v>1187076.4099999999</v>
          </cell>
          <cell r="Q418">
            <v>1460102.27</v>
          </cell>
          <cell r="R418">
            <v>1778584.98</v>
          </cell>
          <cell r="S418">
            <v>2089112.25</v>
          </cell>
          <cell r="T418">
            <v>2478710.7200000002</v>
          </cell>
          <cell r="U418">
            <v>2916346.68</v>
          </cell>
          <cell r="V418">
            <v>3159715.75</v>
          </cell>
          <cell r="W418">
            <v>3551838.83</v>
          </cell>
          <cell r="X418">
            <v>4137817.26</v>
          </cell>
          <cell r="Y418">
            <v>4451979.9400000004</v>
          </cell>
          <cell r="Z418">
            <v>483317.85</v>
          </cell>
          <cell r="AA418">
            <v>1068745.07</v>
          </cell>
          <cell r="AB418">
            <v>1272549.73</v>
          </cell>
          <cell r="AC418">
            <v>1579955.97</v>
          </cell>
          <cell r="AD418">
            <v>2063901.83</v>
          </cell>
          <cell r="AE418">
            <v>2516611.81</v>
          </cell>
          <cell r="AF418">
            <v>3134646.63</v>
          </cell>
          <cell r="AG418">
            <v>3632700.21</v>
          </cell>
          <cell r="AH418">
            <v>4053638.26</v>
          </cell>
          <cell r="AI418">
            <v>4744233.99</v>
          </cell>
          <cell r="AJ418">
            <v>5413751.9800000004</v>
          </cell>
          <cell r="AK418">
            <v>6111234.8499999996</v>
          </cell>
          <cell r="AL418">
            <v>0</v>
          </cell>
          <cell r="AM418">
            <v>3</v>
          </cell>
          <cell r="AN418" t="str">
            <v/>
          </cell>
          <cell r="AO418">
            <v>0</v>
          </cell>
          <cell r="AP418">
            <v>0</v>
          </cell>
          <cell r="AQ418">
            <v>0</v>
          </cell>
          <cell r="AR418">
            <v>660</v>
          </cell>
          <cell r="AS418">
            <v>0</v>
          </cell>
          <cell r="AT418" t="str">
            <v/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 t="str">
            <v/>
          </cell>
          <cell r="BK418">
            <v>5100</v>
          </cell>
          <cell r="BL418" t="str">
            <v>0</v>
          </cell>
          <cell r="BM418" t="str">
            <v>1</v>
          </cell>
          <cell r="BN418" t="str">
            <v/>
          </cell>
          <cell r="BO418" t="str">
            <v/>
          </cell>
        </row>
        <row r="419">
          <cell r="A419">
            <v>1</v>
          </cell>
          <cell r="B419">
            <v>4229004</v>
          </cell>
          <cell r="C419" t="str">
            <v>MATIERE PREMIERE</v>
          </cell>
          <cell r="D419" t="str">
            <v>TRANSFERT DIVISION BOITES</v>
          </cell>
          <cell r="E419" t="str">
            <v>O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-5559.92</v>
          </cell>
          <cell r="AA419">
            <v>-5375.67</v>
          </cell>
          <cell r="AB419">
            <v>-5375.67</v>
          </cell>
          <cell r="AC419">
            <v>-5069.2700000000004</v>
          </cell>
          <cell r="AD419">
            <v>-5069.2700000000004</v>
          </cell>
          <cell r="AE419">
            <v>-5069.2700000000004</v>
          </cell>
          <cell r="AF419">
            <v>-5069.2700000000004</v>
          </cell>
          <cell r="AG419">
            <v>-5069.2700000000004</v>
          </cell>
          <cell r="AH419">
            <v>-5069.2700000000004</v>
          </cell>
          <cell r="AI419">
            <v>-5069.2700000000004</v>
          </cell>
          <cell r="AJ419">
            <v>-5069.2700000000004</v>
          </cell>
          <cell r="AK419">
            <v>-5069.2700000000004</v>
          </cell>
          <cell r="AL419">
            <v>0</v>
          </cell>
          <cell r="AM419">
            <v>4</v>
          </cell>
          <cell r="AN419" t="str">
            <v/>
          </cell>
          <cell r="AO419">
            <v>0</v>
          </cell>
          <cell r="AP419">
            <v>0</v>
          </cell>
          <cell r="AQ419">
            <v>0</v>
          </cell>
          <cell r="AR419">
            <v>660</v>
          </cell>
          <cell r="AS419">
            <v>0</v>
          </cell>
          <cell r="AT419" t="str">
            <v/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 t="str">
            <v/>
          </cell>
          <cell r="BK419">
            <v>5100</v>
          </cell>
          <cell r="BL419" t="str">
            <v>0</v>
          </cell>
          <cell r="BM419" t="str">
            <v>1</v>
          </cell>
          <cell r="BN419" t="str">
            <v/>
          </cell>
          <cell r="BO419" t="str">
            <v/>
          </cell>
        </row>
        <row r="420">
          <cell r="A420">
            <v>2</v>
          </cell>
          <cell r="B420">
            <v>4231221</v>
          </cell>
          <cell r="C420" t="str">
            <v>VENTE ENTRE DIVISION</v>
          </cell>
          <cell r="D420" t="str">
            <v>BRUN 22</v>
          </cell>
          <cell r="E420" t="str">
            <v>N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1</v>
          </cell>
          <cell r="AN420" t="str">
            <v/>
          </cell>
          <cell r="AO420">
            <v>0</v>
          </cell>
          <cell r="AP420">
            <v>0</v>
          </cell>
          <cell r="AQ420">
            <v>0</v>
          </cell>
          <cell r="AR420">
            <v>660</v>
          </cell>
          <cell r="AS420">
            <v>0</v>
          </cell>
          <cell r="AT420" t="str">
            <v/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 t="str">
            <v/>
          </cell>
          <cell r="BK420">
            <v>5000</v>
          </cell>
          <cell r="BL420" t="str">
            <v>1</v>
          </cell>
          <cell r="BM420" t="str">
            <v>1</v>
          </cell>
          <cell r="BN420" t="str">
            <v/>
          </cell>
          <cell r="BO420" t="str">
            <v/>
          </cell>
        </row>
        <row r="421">
          <cell r="A421">
            <v>2</v>
          </cell>
          <cell r="B421">
            <v>4231271</v>
          </cell>
          <cell r="C421" t="str">
            <v>VENTE ENTRE DIVISION</v>
          </cell>
          <cell r="D421" t="str">
            <v>BRUN 27</v>
          </cell>
          <cell r="E421" t="str">
            <v>N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1</v>
          </cell>
          <cell r="AN421" t="str">
            <v/>
          </cell>
          <cell r="AO421">
            <v>0</v>
          </cell>
          <cell r="AP421">
            <v>0</v>
          </cell>
          <cell r="AQ421">
            <v>0</v>
          </cell>
          <cell r="AR421">
            <v>660</v>
          </cell>
          <cell r="AS421">
            <v>0</v>
          </cell>
          <cell r="AT421" t="str">
            <v/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 t="str">
            <v/>
          </cell>
          <cell r="BK421">
            <v>5000</v>
          </cell>
          <cell r="BL421" t="str">
            <v>1</v>
          </cell>
          <cell r="BM421" t="str">
            <v>1</v>
          </cell>
          <cell r="BN421" t="str">
            <v/>
          </cell>
          <cell r="BO421" t="str">
            <v/>
          </cell>
        </row>
        <row r="422">
          <cell r="A422">
            <v>2</v>
          </cell>
          <cell r="B422">
            <v>4232271</v>
          </cell>
          <cell r="C422" t="str">
            <v>VENTE ENTRE DIVISION</v>
          </cell>
          <cell r="D422" t="str">
            <v>BRUN 27 HWS</v>
          </cell>
          <cell r="E422" t="str">
            <v>N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1</v>
          </cell>
          <cell r="AN422" t="str">
            <v/>
          </cell>
          <cell r="AO422">
            <v>0</v>
          </cell>
          <cell r="AP422">
            <v>0</v>
          </cell>
          <cell r="AQ422">
            <v>0</v>
          </cell>
          <cell r="AR422">
            <v>660</v>
          </cell>
          <cell r="AS422">
            <v>0</v>
          </cell>
          <cell r="AT422" t="str">
            <v/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 t="str">
            <v/>
          </cell>
          <cell r="BK422">
            <v>5000</v>
          </cell>
          <cell r="BL422" t="str">
            <v>1</v>
          </cell>
          <cell r="BM422" t="str">
            <v>1</v>
          </cell>
          <cell r="BN422" t="str">
            <v/>
          </cell>
          <cell r="BO422" t="str">
            <v/>
          </cell>
        </row>
        <row r="423">
          <cell r="A423">
            <v>2</v>
          </cell>
          <cell r="B423">
            <v>4232301</v>
          </cell>
          <cell r="C423" t="str">
            <v>VENTE ENTRE DIVISION</v>
          </cell>
          <cell r="D423" t="str">
            <v>BRUN 30 HWS</v>
          </cell>
          <cell r="E423" t="str">
            <v>N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1</v>
          </cell>
          <cell r="AN423" t="str">
            <v/>
          </cell>
          <cell r="AO423">
            <v>0</v>
          </cell>
          <cell r="AP423">
            <v>0</v>
          </cell>
          <cell r="AQ423">
            <v>0</v>
          </cell>
          <cell r="AR423">
            <v>660</v>
          </cell>
          <cell r="AS423">
            <v>0</v>
          </cell>
          <cell r="AT423" t="str">
            <v/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 t="str">
            <v/>
          </cell>
          <cell r="BK423">
            <v>5000</v>
          </cell>
          <cell r="BL423" t="str">
            <v>1</v>
          </cell>
          <cell r="BM423" t="str">
            <v>1</v>
          </cell>
          <cell r="BN423" t="str">
            <v/>
          </cell>
          <cell r="BO423" t="str">
            <v/>
          </cell>
        </row>
        <row r="424">
          <cell r="A424">
            <v>2</v>
          </cell>
          <cell r="B424">
            <v>4232311</v>
          </cell>
          <cell r="C424" t="str">
            <v>VENTE ENTRE DIVISION</v>
          </cell>
          <cell r="D424" t="str">
            <v>BRUN 31 HWS</v>
          </cell>
          <cell r="E424" t="str">
            <v>N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1</v>
          </cell>
          <cell r="AN424" t="str">
            <v/>
          </cell>
          <cell r="AO424">
            <v>0</v>
          </cell>
          <cell r="AP424">
            <v>0</v>
          </cell>
          <cell r="AQ424">
            <v>0</v>
          </cell>
          <cell r="AR424">
            <v>660</v>
          </cell>
          <cell r="AS424">
            <v>0</v>
          </cell>
          <cell r="AT424" t="str">
            <v/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 t="str">
            <v/>
          </cell>
          <cell r="BK424">
            <v>5000</v>
          </cell>
          <cell r="BL424" t="str">
            <v>1</v>
          </cell>
          <cell r="BM424" t="str">
            <v>1</v>
          </cell>
          <cell r="BN424" t="str">
            <v/>
          </cell>
          <cell r="BO424" t="str">
            <v/>
          </cell>
        </row>
        <row r="425">
          <cell r="A425">
            <v>2</v>
          </cell>
          <cell r="B425">
            <v>4233201</v>
          </cell>
          <cell r="C425" t="str">
            <v>VENTE ENTRE DIVISION</v>
          </cell>
          <cell r="D425" t="str">
            <v>BLANC 20</v>
          </cell>
          <cell r="E425" t="str">
            <v>N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1</v>
          </cell>
          <cell r="AN425" t="str">
            <v/>
          </cell>
          <cell r="AO425">
            <v>0</v>
          </cell>
          <cell r="AP425">
            <v>0</v>
          </cell>
          <cell r="AQ425">
            <v>0</v>
          </cell>
          <cell r="AR425">
            <v>660</v>
          </cell>
          <cell r="AS425">
            <v>0</v>
          </cell>
          <cell r="AT425" t="str">
            <v/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 t="str">
            <v/>
          </cell>
          <cell r="BK425">
            <v>5000</v>
          </cell>
          <cell r="BL425" t="str">
            <v>1</v>
          </cell>
          <cell r="BM425" t="str">
            <v>1</v>
          </cell>
          <cell r="BN425" t="str">
            <v/>
          </cell>
          <cell r="BO425" t="str">
            <v/>
          </cell>
        </row>
        <row r="426">
          <cell r="A426">
            <v>2</v>
          </cell>
          <cell r="B426">
            <v>4233261</v>
          </cell>
          <cell r="C426" t="str">
            <v>VENTE ENTRE DIVISION</v>
          </cell>
          <cell r="D426" t="str">
            <v>BLANC 26</v>
          </cell>
          <cell r="E426" t="str">
            <v>N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1</v>
          </cell>
          <cell r="AN426" t="str">
            <v/>
          </cell>
          <cell r="AO426">
            <v>0</v>
          </cell>
          <cell r="AP426">
            <v>0</v>
          </cell>
          <cell r="AQ426">
            <v>0</v>
          </cell>
          <cell r="AR426">
            <v>660</v>
          </cell>
          <cell r="AS426">
            <v>0</v>
          </cell>
          <cell r="AT426" t="str">
            <v/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 t="str">
            <v/>
          </cell>
          <cell r="BK426">
            <v>5000</v>
          </cell>
          <cell r="BL426" t="str">
            <v>1</v>
          </cell>
          <cell r="BM426" t="str">
            <v>1</v>
          </cell>
          <cell r="BN426" t="str">
            <v/>
          </cell>
          <cell r="BO426" t="str">
            <v/>
          </cell>
        </row>
        <row r="427">
          <cell r="A427">
            <v>2</v>
          </cell>
          <cell r="B427">
            <v>4234271</v>
          </cell>
          <cell r="C427" t="str">
            <v>VENTE ENTRE DIVISION</v>
          </cell>
          <cell r="D427" t="str">
            <v>PERLE 27</v>
          </cell>
          <cell r="E427" t="str">
            <v>N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1</v>
          </cell>
          <cell r="AN427" t="str">
            <v/>
          </cell>
          <cell r="AO427">
            <v>0</v>
          </cell>
          <cell r="AP427">
            <v>0</v>
          </cell>
          <cell r="AQ427">
            <v>0</v>
          </cell>
          <cell r="AR427">
            <v>660</v>
          </cell>
          <cell r="AS427">
            <v>0</v>
          </cell>
          <cell r="AT427" t="str">
            <v/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 t="str">
            <v/>
          </cell>
          <cell r="BK427">
            <v>5000</v>
          </cell>
          <cell r="BL427" t="str">
            <v>1</v>
          </cell>
          <cell r="BM427" t="str">
            <v>1</v>
          </cell>
          <cell r="BN427" t="str">
            <v/>
          </cell>
          <cell r="BO427" t="str">
            <v/>
          </cell>
        </row>
        <row r="428">
          <cell r="A428">
            <v>1</v>
          </cell>
          <cell r="B428">
            <v>4239001</v>
          </cell>
          <cell r="C428" t="str">
            <v>MAT. PREMIERES INTERNES</v>
          </cell>
          <cell r="D428" t="str">
            <v>TRANSFERT DIVISION PAPIER</v>
          </cell>
          <cell r="E428" t="str">
            <v>N</v>
          </cell>
          <cell r="F428">
            <v>0</v>
          </cell>
          <cell r="G428">
            <v>0</v>
          </cell>
          <cell r="H428">
            <v>0</v>
          </cell>
          <cell r="I428">
            <v>29821.84</v>
          </cell>
          <cell r="J428">
            <v>29821.84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-0.1</v>
          </cell>
          <cell r="AE428">
            <v>-0.1</v>
          </cell>
          <cell r="AF428">
            <v>-0.1</v>
          </cell>
          <cell r="AG428">
            <v>-0.38</v>
          </cell>
          <cell r="AH428">
            <v>-0.38</v>
          </cell>
          <cell r="AI428">
            <v>-0.38</v>
          </cell>
          <cell r="AJ428">
            <v>-7791.12</v>
          </cell>
          <cell r="AK428">
            <v>0</v>
          </cell>
          <cell r="AL428">
            <v>0</v>
          </cell>
          <cell r="AM428">
            <v>1</v>
          </cell>
          <cell r="AN428" t="str">
            <v/>
          </cell>
          <cell r="AO428">
            <v>0</v>
          </cell>
          <cell r="AP428">
            <v>0</v>
          </cell>
          <cell r="AQ428">
            <v>0</v>
          </cell>
          <cell r="AR428">
            <v>660</v>
          </cell>
          <cell r="AS428">
            <v>0</v>
          </cell>
          <cell r="AT428" t="str">
            <v/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 t="str">
            <v/>
          </cell>
          <cell r="BK428">
            <v>5000</v>
          </cell>
          <cell r="BL428" t="str">
            <v>0</v>
          </cell>
          <cell r="BM428" t="str">
            <v>1</v>
          </cell>
          <cell r="BN428" t="str">
            <v/>
          </cell>
          <cell r="BO428" t="str">
            <v/>
          </cell>
        </row>
        <row r="429">
          <cell r="A429">
            <v>1</v>
          </cell>
          <cell r="B429">
            <v>4241001</v>
          </cell>
          <cell r="C429" t="str">
            <v>ENVIRONNEMENT</v>
          </cell>
          <cell r="D429" t="str">
            <v>DISPOSITION DES BOUES</v>
          </cell>
          <cell r="E429" t="str">
            <v>O</v>
          </cell>
          <cell r="F429">
            <v>0</v>
          </cell>
          <cell r="G429">
            <v>0</v>
          </cell>
          <cell r="H429">
            <v>310640</v>
          </cell>
          <cell r="I429">
            <v>356850</v>
          </cell>
          <cell r="J429">
            <v>46210</v>
          </cell>
          <cell r="K429">
            <v>0</v>
          </cell>
          <cell r="L429">
            <v>68820</v>
          </cell>
          <cell r="M429">
            <v>28520</v>
          </cell>
          <cell r="N429">
            <v>18600</v>
          </cell>
          <cell r="O429">
            <v>57370</v>
          </cell>
          <cell r="P429">
            <v>57370</v>
          </cell>
          <cell r="Q429">
            <v>104180</v>
          </cell>
          <cell r="R429">
            <v>120610</v>
          </cell>
          <cell r="S429">
            <v>147580</v>
          </cell>
          <cell r="T429">
            <v>168040</v>
          </cell>
          <cell r="U429">
            <v>190980</v>
          </cell>
          <cell r="V429">
            <v>224460</v>
          </cell>
          <cell r="W429">
            <v>282120</v>
          </cell>
          <cell r="X429">
            <v>310640</v>
          </cell>
          <cell r="Y429">
            <v>350940</v>
          </cell>
          <cell r="Z429">
            <v>25875</v>
          </cell>
          <cell r="AA429">
            <v>46875</v>
          </cell>
          <cell r="AB429">
            <v>69370</v>
          </cell>
          <cell r="AC429">
            <v>100822.43</v>
          </cell>
          <cell r="AD429">
            <v>116012.43</v>
          </cell>
          <cell r="AE429">
            <v>133992.43</v>
          </cell>
          <cell r="AF429">
            <v>147322.43</v>
          </cell>
          <cell r="AG429">
            <v>164062.43</v>
          </cell>
          <cell r="AH429">
            <v>219552.43</v>
          </cell>
          <cell r="AI429">
            <v>232882.43</v>
          </cell>
          <cell r="AJ429">
            <v>249932.43</v>
          </cell>
          <cell r="AK429">
            <v>264282.43</v>
          </cell>
          <cell r="AL429">
            <v>0</v>
          </cell>
          <cell r="AM429">
            <v>1</v>
          </cell>
          <cell r="AN429" t="str">
            <v/>
          </cell>
          <cell r="AO429">
            <v>0</v>
          </cell>
          <cell r="AP429">
            <v>0</v>
          </cell>
          <cell r="AQ429">
            <v>0</v>
          </cell>
          <cell r="AR429">
            <v>740</v>
          </cell>
          <cell r="AS429">
            <v>0</v>
          </cell>
          <cell r="AT429" t="str">
            <v/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1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 t="str">
            <v/>
          </cell>
          <cell r="BK429">
            <v>6300</v>
          </cell>
          <cell r="BL429" t="str">
            <v/>
          </cell>
          <cell r="BM429" t="str">
            <v>1</v>
          </cell>
          <cell r="BN429" t="str">
            <v/>
          </cell>
          <cell r="BO429" t="str">
            <v/>
          </cell>
        </row>
        <row r="430">
          <cell r="A430">
            <v>1</v>
          </cell>
          <cell r="B430">
            <v>4242001</v>
          </cell>
          <cell r="C430" t="str">
            <v>ENVIRONNEMENT</v>
          </cell>
          <cell r="D430" t="str">
            <v>ENTRETIENT DES EQUIPEMENT</v>
          </cell>
          <cell r="E430" t="str">
            <v>O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252</v>
          </cell>
          <cell r="AC430">
            <v>384.17</v>
          </cell>
          <cell r="AD430">
            <v>384.17</v>
          </cell>
          <cell r="AE430">
            <v>384.17</v>
          </cell>
          <cell r="AF430">
            <v>384.17</v>
          </cell>
          <cell r="AG430">
            <v>384.17</v>
          </cell>
          <cell r="AH430">
            <v>384.17</v>
          </cell>
          <cell r="AI430">
            <v>384.17</v>
          </cell>
          <cell r="AJ430">
            <v>384.17</v>
          </cell>
          <cell r="AK430">
            <v>384.17</v>
          </cell>
          <cell r="AL430">
            <v>0</v>
          </cell>
          <cell r="AM430">
            <v>1</v>
          </cell>
          <cell r="AN430" t="str">
            <v/>
          </cell>
          <cell r="AO430">
            <v>0</v>
          </cell>
          <cell r="AP430">
            <v>0</v>
          </cell>
          <cell r="AQ430">
            <v>0</v>
          </cell>
          <cell r="AR430">
            <v>740</v>
          </cell>
          <cell r="AS430">
            <v>0</v>
          </cell>
          <cell r="AT430" t="str">
            <v/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 t="str">
            <v/>
          </cell>
          <cell r="BK430">
            <v>6300</v>
          </cell>
          <cell r="BL430" t="str">
            <v/>
          </cell>
          <cell r="BM430" t="str">
            <v>1</v>
          </cell>
          <cell r="BN430" t="str">
            <v/>
          </cell>
          <cell r="BO430" t="str">
            <v/>
          </cell>
        </row>
        <row r="431">
          <cell r="A431">
            <v>1</v>
          </cell>
          <cell r="B431">
            <v>4242501</v>
          </cell>
          <cell r="C431" t="str">
            <v>ENVIRONNEMENT</v>
          </cell>
          <cell r="D431" t="str">
            <v>MOD T.S &amp; T.P</v>
          </cell>
          <cell r="E431" t="str">
            <v>O</v>
          </cell>
          <cell r="F431">
            <v>0</v>
          </cell>
          <cell r="G431">
            <v>0</v>
          </cell>
          <cell r="H431">
            <v>48949.23</v>
          </cell>
          <cell r="I431">
            <v>67175.649999999994</v>
          </cell>
          <cell r="J431">
            <v>18226.419999999998</v>
          </cell>
          <cell r="K431">
            <v>0</v>
          </cell>
          <cell r="L431">
            <v>7693.13</v>
          </cell>
          <cell r="M431">
            <v>4751.59</v>
          </cell>
          <cell r="N431">
            <v>4513.28</v>
          </cell>
          <cell r="O431">
            <v>8675.59</v>
          </cell>
          <cell r="P431">
            <v>13196.11</v>
          </cell>
          <cell r="Q431">
            <v>17290.32</v>
          </cell>
          <cell r="R431">
            <v>21577.16</v>
          </cell>
          <cell r="S431">
            <v>26503.99</v>
          </cell>
          <cell r="T431">
            <v>30790.82</v>
          </cell>
          <cell r="U431">
            <v>35272.51</v>
          </cell>
          <cell r="V431">
            <v>39431.120000000003</v>
          </cell>
          <cell r="W431">
            <v>43623.06</v>
          </cell>
          <cell r="X431">
            <v>48949.23</v>
          </cell>
          <cell r="Y431">
            <v>51890.77</v>
          </cell>
          <cell r="Z431">
            <v>9439.26</v>
          </cell>
          <cell r="AA431">
            <v>17671.28</v>
          </cell>
          <cell r="AB431">
            <v>26726.5</v>
          </cell>
          <cell r="AC431">
            <v>36005</v>
          </cell>
          <cell r="AD431">
            <v>41212.21</v>
          </cell>
          <cell r="AE431">
            <v>45531.03</v>
          </cell>
          <cell r="AF431">
            <v>50693.21</v>
          </cell>
          <cell r="AG431">
            <v>54678.720000000001</v>
          </cell>
          <cell r="AH431">
            <v>57905.08</v>
          </cell>
          <cell r="AI431">
            <v>62080.37</v>
          </cell>
          <cell r="AJ431">
            <v>66016.210000000006</v>
          </cell>
          <cell r="AK431">
            <v>69656.03</v>
          </cell>
          <cell r="AL431">
            <v>0</v>
          </cell>
          <cell r="AM431">
            <v>1</v>
          </cell>
          <cell r="AN431" t="str">
            <v/>
          </cell>
          <cell r="AO431">
            <v>0</v>
          </cell>
          <cell r="AP431">
            <v>0</v>
          </cell>
          <cell r="AQ431">
            <v>0</v>
          </cell>
          <cell r="AR431">
            <v>690</v>
          </cell>
          <cell r="AS431">
            <v>0</v>
          </cell>
          <cell r="AT431" t="str">
            <v/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 t="str">
            <v/>
          </cell>
          <cell r="BK431">
            <v>6300</v>
          </cell>
          <cell r="BL431" t="str">
            <v/>
          </cell>
          <cell r="BM431" t="str">
            <v>1</v>
          </cell>
          <cell r="BN431" t="str">
            <v/>
          </cell>
          <cell r="BO431" t="str">
            <v/>
          </cell>
        </row>
        <row r="432">
          <cell r="A432">
            <v>1</v>
          </cell>
          <cell r="B432">
            <v>4242511</v>
          </cell>
          <cell r="C432" t="str">
            <v>ENVIRONNEMENT</v>
          </cell>
          <cell r="D432" t="str">
            <v>CONSULTANT ET ANALYSE</v>
          </cell>
          <cell r="E432" t="str">
            <v>O</v>
          </cell>
          <cell r="F432">
            <v>0</v>
          </cell>
          <cell r="G432">
            <v>0</v>
          </cell>
          <cell r="H432">
            <v>109311.47</v>
          </cell>
          <cell r="I432">
            <v>154893.20000000001</v>
          </cell>
          <cell r="J432">
            <v>45581.73</v>
          </cell>
          <cell r="K432">
            <v>0</v>
          </cell>
          <cell r="L432">
            <v>6002.98</v>
          </cell>
          <cell r="M432">
            <v>5069</v>
          </cell>
          <cell r="N432">
            <v>11633</v>
          </cell>
          <cell r="O432">
            <v>12859.75</v>
          </cell>
          <cell r="P432">
            <v>53618.75</v>
          </cell>
          <cell r="Q432">
            <v>59036.75</v>
          </cell>
          <cell r="R432">
            <v>64893.599999999999</v>
          </cell>
          <cell r="S432">
            <v>71766.95</v>
          </cell>
          <cell r="T432">
            <v>76099.66</v>
          </cell>
          <cell r="U432">
            <v>79818.3</v>
          </cell>
          <cell r="V432">
            <v>95368.04</v>
          </cell>
          <cell r="W432">
            <v>104171.08</v>
          </cell>
          <cell r="X432">
            <v>109311.47</v>
          </cell>
          <cell r="Y432">
            <v>110245.45</v>
          </cell>
          <cell r="Z432">
            <v>3367</v>
          </cell>
          <cell r="AA432">
            <v>3367</v>
          </cell>
          <cell r="AB432">
            <v>3997</v>
          </cell>
          <cell r="AC432">
            <v>4597.01</v>
          </cell>
          <cell r="AD432">
            <v>4597.01</v>
          </cell>
          <cell r="AE432">
            <v>9444.01</v>
          </cell>
          <cell r="AF432">
            <v>19092.009999999998</v>
          </cell>
          <cell r="AG432">
            <v>23282.51</v>
          </cell>
          <cell r="AH432">
            <v>23812</v>
          </cell>
          <cell r="AI432">
            <v>34243.800000000003</v>
          </cell>
          <cell r="AJ432">
            <v>39087.800000000003</v>
          </cell>
          <cell r="AK432">
            <v>44947.29</v>
          </cell>
          <cell r="AL432">
            <v>0</v>
          </cell>
          <cell r="AM432">
            <v>1</v>
          </cell>
          <cell r="AN432" t="str">
            <v/>
          </cell>
          <cell r="AO432">
            <v>0</v>
          </cell>
          <cell r="AP432">
            <v>0</v>
          </cell>
          <cell r="AQ432">
            <v>0</v>
          </cell>
          <cell r="AR432">
            <v>740</v>
          </cell>
          <cell r="AS432">
            <v>0</v>
          </cell>
          <cell r="AT432" t="str">
            <v/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 t="str">
            <v/>
          </cell>
          <cell r="BK432">
            <v>6300</v>
          </cell>
          <cell r="BL432" t="str">
            <v>0</v>
          </cell>
          <cell r="BM432" t="str">
            <v>1</v>
          </cell>
          <cell r="BN432" t="str">
            <v/>
          </cell>
          <cell r="BO432" t="str">
            <v/>
          </cell>
        </row>
        <row r="433">
          <cell r="A433">
            <v>1</v>
          </cell>
          <cell r="B433">
            <v>4243471</v>
          </cell>
          <cell r="C433" t="str">
            <v>ENVIRONNEMENT</v>
          </cell>
          <cell r="D433" t="str">
            <v>R43047 POLYMER SD 2061</v>
          </cell>
          <cell r="E433" t="str">
            <v>O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1</v>
          </cell>
          <cell r="AN433" t="str">
            <v/>
          </cell>
          <cell r="AO433">
            <v>0</v>
          </cell>
          <cell r="AP433">
            <v>0</v>
          </cell>
          <cell r="AQ433">
            <v>0</v>
          </cell>
          <cell r="AR433">
            <v>740</v>
          </cell>
          <cell r="AS433">
            <v>0</v>
          </cell>
          <cell r="AT433" t="str">
            <v/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1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 t="str">
            <v/>
          </cell>
          <cell r="BK433">
            <v>6300</v>
          </cell>
          <cell r="BL433" t="str">
            <v/>
          </cell>
          <cell r="BM433" t="str">
            <v>1</v>
          </cell>
          <cell r="BN433" t="str">
            <v/>
          </cell>
          <cell r="BO433" t="str">
            <v/>
          </cell>
        </row>
        <row r="434">
          <cell r="A434">
            <v>1</v>
          </cell>
          <cell r="B434">
            <v>4243491</v>
          </cell>
          <cell r="C434" t="str">
            <v>ENVIRONNEMENT</v>
          </cell>
          <cell r="D434" t="str">
            <v>R43049 DARADEFOAM 6006</v>
          </cell>
          <cell r="E434" t="str">
            <v>O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1</v>
          </cell>
          <cell r="AN434" t="str">
            <v/>
          </cell>
          <cell r="AO434">
            <v>0</v>
          </cell>
          <cell r="AP434">
            <v>0</v>
          </cell>
          <cell r="AQ434">
            <v>0</v>
          </cell>
          <cell r="AR434">
            <v>740</v>
          </cell>
          <cell r="AS434">
            <v>0</v>
          </cell>
          <cell r="AT434" t="str">
            <v/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1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 t="str">
            <v/>
          </cell>
          <cell r="BK434">
            <v>6300</v>
          </cell>
          <cell r="BL434" t="str">
            <v/>
          </cell>
          <cell r="BM434" t="str">
            <v>1</v>
          </cell>
          <cell r="BN434" t="str">
            <v/>
          </cell>
          <cell r="BO434" t="str">
            <v/>
          </cell>
        </row>
        <row r="435">
          <cell r="A435">
            <v>1</v>
          </cell>
          <cell r="B435">
            <v>4243911</v>
          </cell>
          <cell r="C435" t="str">
            <v>ENVIRONNEMENT</v>
          </cell>
          <cell r="D435" t="str">
            <v>R43091 EQUIPHOS</v>
          </cell>
          <cell r="E435" t="str">
            <v>O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1</v>
          </cell>
          <cell r="AN435" t="str">
            <v/>
          </cell>
          <cell r="AO435">
            <v>0</v>
          </cell>
          <cell r="AP435">
            <v>0</v>
          </cell>
          <cell r="AQ435">
            <v>0</v>
          </cell>
          <cell r="AR435">
            <v>740</v>
          </cell>
          <cell r="AS435">
            <v>0</v>
          </cell>
          <cell r="AT435" t="str">
            <v/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1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 t="str">
            <v/>
          </cell>
          <cell r="BK435">
            <v>6300</v>
          </cell>
          <cell r="BL435" t="str">
            <v>0</v>
          </cell>
          <cell r="BM435" t="str">
            <v>1</v>
          </cell>
          <cell r="BN435" t="str">
            <v/>
          </cell>
          <cell r="BO435" t="str">
            <v/>
          </cell>
        </row>
        <row r="436">
          <cell r="A436">
            <v>1</v>
          </cell>
          <cell r="B436">
            <v>4243921</v>
          </cell>
          <cell r="C436" t="str">
            <v>ENVIRONNEMENT</v>
          </cell>
          <cell r="D436" t="str">
            <v>R43092 EQUICARBAMIDE</v>
          </cell>
          <cell r="E436" t="str">
            <v>O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2767.5</v>
          </cell>
          <cell r="AC436">
            <v>2767.5</v>
          </cell>
          <cell r="AD436">
            <v>2767.5</v>
          </cell>
          <cell r="AE436">
            <v>2767.5</v>
          </cell>
          <cell r="AF436">
            <v>2767.5</v>
          </cell>
          <cell r="AG436">
            <v>2767.5</v>
          </cell>
          <cell r="AH436">
            <v>2767.5</v>
          </cell>
          <cell r="AI436">
            <v>2767.5</v>
          </cell>
          <cell r="AJ436">
            <v>2767.5</v>
          </cell>
          <cell r="AK436">
            <v>2767.5</v>
          </cell>
          <cell r="AL436">
            <v>0</v>
          </cell>
          <cell r="AM436">
            <v>1</v>
          </cell>
          <cell r="AN436" t="str">
            <v/>
          </cell>
          <cell r="AO436">
            <v>0</v>
          </cell>
          <cell r="AP436">
            <v>0</v>
          </cell>
          <cell r="AQ436">
            <v>0</v>
          </cell>
          <cell r="AR436">
            <v>740</v>
          </cell>
          <cell r="AS436">
            <v>0</v>
          </cell>
          <cell r="AT436" t="str">
            <v/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1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 t="str">
            <v/>
          </cell>
          <cell r="BK436">
            <v>6300</v>
          </cell>
          <cell r="BL436" t="str">
            <v/>
          </cell>
          <cell r="BM436" t="str">
            <v>1</v>
          </cell>
          <cell r="BN436" t="str">
            <v/>
          </cell>
          <cell r="BO436" t="str">
            <v/>
          </cell>
        </row>
        <row r="437">
          <cell r="A437">
            <v>1</v>
          </cell>
          <cell r="B437">
            <v>4243971</v>
          </cell>
          <cell r="C437" t="str">
            <v>ENVIRONNEMENT</v>
          </cell>
          <cell r="D437" t="str">
            <v>R43097 SUPERFLOC 577C</v>
          </cell>
          <cell r="E437" t="str">
            <v>O</v>
          </cell>
          <cell r="F437">
            <v>0</v>
          </cell>
          <cell r="G437">
            <v>0</v>
          </cell>
          <cell r="H437">
            <v>63232.160000000003</v>
          </cell>
          <cell r="I437">
            <v>166483.16</v>
          </cell>
          <cell r="J437">
            <v>103251</v>
          </cell>
          <cell r="K437">
            <v>0</v>
          </cell>
          <cell r="L437">
            <v>10855.4</v>
          </cell>
          <cell r="M437">
            <v>6420</v>
          </cell>
          <cell r="N437">
            <v>3082.32</v>
          </cell>
          <cell r="O437">
            <v>9094.2000000000007</v>
          </cell>
          <cell r="P437">
            <v>14722.2</v>
          </cell>
          <cell r="Q437">
            <v>20736.599999999999</v>
          </cell>
          <cell r="R437">
            <v>27023.16</v>
          </cell>
          <cell r="S437">
            <v>33092.86</v>
          </cell>
          <cell r="T437">
            <v>38891.26</v>
          </cell>
          <cell r="U437">
            <v>44732.959999999999</v>
          </cell>
          <cell r="V437">
            <v>50274.66</v>
          </cell>
          <cell r="W437">
            <v>57023.06</v>
          </cell>
          <cell r="X437">
            <v>63232.160000000003</v>
          </cell>
          <cell r="Y437">
            <v>67667.56</v>
          </cell>
          <cell r="Z437">
            <v>0</v>
          </cell>
          <cell r="AA437">
            <v>8133.92</v>
          </cell>
          <cell r="AB437">
            <v>10171.52</v>
          </cell>
          <cell r="AC437">
            <v>12451.4</v>
          </cell>
          <cell r="AD437">
            <v>16447.400000000001</v>
          </cell>
          <cell r="AE437">
            <v>21862.26</v>
          </cell>
          <cell r="AF437">
            <v>26341.64</v>
          </cell>
          <cell r="AG437">
            <v>30482.36</v>
          </cell>
          <cell r="AH437">
            <v>34051.160000000003</v>
          </cell>
          <cell r="AI437">
            <v>39112.639999999999</v>
          </cell>
          <cell r="AJ437">
            <v>43862.239999999998</v>
          </cell>
          <cell r="AK437">
            <v>49756.52</v>
          </cell>
          <cell r="AL437">
            <v>0</v>
          </cell>
          <cell r="AM437">
            <v>1</v>
          </cell>
          <cell r="AN437" t="str">
            <v/>
          </cell>
          <cell r="AO437">
            <v>0</v>
          </cell>
          <cell r="AP437">
            <v>0</v>
          </cell>
          <cell r="AQ437">
            <v>0</v>
          </cell>
          <cell r="AR437">
            <v>740</v>
          </cell>
          <cell r="AS437">
            <v>0</v>
          </cell>
          <cell r="AT437" t="str">
            <v/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1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 t="str">
            <v/>
          </cell>
          <cell r="BK437">
            <v>6300</v>
          </cell>
          <cell r="BL437" t="str">
            <v>0</v>
          </cell>
          <cell r="BM437" t="str">
            <v>1</v>
          </cell>
          <cell r="BN437" t="str">
            <v/>
          </cell>
          <cell r="BO437" t="str">
            <v/>
          </cell>
        </row>
        <row r="438">
          <cell r="A438">
            <v>1</v>
          </cell>
          <cell r="B438">
            <v>4243981</v>
          </cell>
          <cell r="C438" t="str">
            <v>ENVIRONNEMENT</v>
          </cell>
          <cell r="D438" t="str">
            <v>R43098 SUPER FLOC AF 128</v>
          </cell>
          <cell r="E438" t="str">
            <v>O</v>
          </cell>
          <cell r="F438">
            <v>0</v>
          </cell>
          <cell r="G438">
            <v>0</v>
          </cell>
          <cell r="H438">
            <v>29185.17</v>
          </cell>
          <cell r="I438">
            <v>170491.17</v>
          </cell>
          <cell r="J438">
            <v>141306</v>
          </cell>
          <cell r="K438">
            <v>0</v>
          </cell>
          <cell r="L438">
            <v>7497</v>
          </cell>
          <cell r="M438">
            <v>5572</v>
          </cell>
          <cell r="N438">
            <v>2107.42</v>
          </cell>
          <cell r="O438">
            <v>5138.42</v>
          </cell>
          <cell r="P438">
            <v>8232.42</v>
          </cell>
          <cell r="Q438">
            <v>10423.42</v>
          </cell>
          <cell r="R438">
            <v>12695.51</v>
          </cell>
          <cell r="S438">
            <v>15170.01</v>
          </cell>
          <cell r="T438">
            <v>19289.509999999998</v>
          </cell>
          <cell r="U438">
            <v>21558.11</v>
          </cell>
          <cell r="V438">
            <v>24036.11</v>
          </cell>
          <cell r="W438">
            <v>27325.61</v>
          </cell>
          <cell r="X438">
            <v>29185.17</v>
          </cell>
          <cell r="Y438">
            <v>31110.17</v>
          </cell>
          <cell r="Z438">
            <v>0</v>
          </cell>
          <cell r="AA438">
            <v>10759.63</v>
          </cell>
          <cell r="AB438">
            <v>15607.13</v>
          </cell>
          <cell r="AC438">
            <v>19310.55</v>
          </cell>
          <cell r="AD438">
            <v>22611.05</v>
          </cell>
          <cell r="AE438">
            <v>26862.92</v>
          </cell>
          <cell r="AF438">
            <v>33034.68</v>
          </cell>
          <cell r="AG438">
            <v>38400.6</v>
          </cell>
          <cell r="AH438">
            <v>41193.599999999999</v>
          </cell>
          <cell r="AI438">
            <v>43388.1</v>
          </cell>
          <cell r="AJ438">
            <v>45862.6</v>
          </cell>
          <cell r="AK438">
            <v>49174.02</v>
          </cell>
          <cell r="AL438">
            <v>0</v>
          </cell>
          <cell r="AM438">
            <v>1</v>
          </cell>
          <cell r="AN438" t="str">
            <v/>
          </cell>
          <cell r="AO438">
            <v>0</v>
          </cell>
          <cell r="AP438">
            <v>0</v>
          </cell>
          <cell r="AQ438">
            <v>0</v>
          </cell>
          <cell r="AR438">
            <v>740</v>
          </cell>
          <cell r="AS438">
            <v>0</v>
          </cell>
          <cell r="AT438" t="str">
            <v/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1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 t="str">
            <v/>
          </cell>
          <cell r="BK438">
            <v>6300</v>
          </cell>
          <cell r="BL438" t="str">
            <v/>
          </cell>
          <cell r="BM438" t="str">
            <v>1</v>
          </cell>
          <cell r="BN438" t="str">
            <v/>
          </cell>
          <cell r="BO438" t="str">
            <v/>
          </cell>
        </row>
        <row r="439">
          <cell r="A439">
            <v>1</v>
          </cell>
          <cell r="B439">
            <v>4249001</v>
          </cell>
          <cell r="C439" t="str">
            <v>ENVIRONNEMENT</v>
          </cell>
          <cell r="D439" t="str">
            <v>TRANSFERT DIVISION PAPIER</v>
          </cell>
          <cell r="E439" t="str">
            <v>O</v>
          </cell>
          <cell r="F439">
            <v>0</v>
          </cell>
          <cell r="G439">
            <v>0</v>
          </cell>
          <cell r="H439">
            <v>990.01</v>
          </cell>
          <cell r="I439">
            <v>1839.35</v>
          </cell>
          <cell r="J439">
            <v>849.34</v>
          </cell>
          <cell r="K439">
            <v>0</v>
          </cell>
          <cell r="L439">
            <v>0</v>
          </cell>
          <cell r="M439">
            <v>0</v>
          </cell>
          <cell r="N439">
            <v>59.06</v>
          </cell>
          <cell r="O439">
            <v>908.4</v>
          </cell>
          <cell r="P439">
            <v>908.41</v>
          </cell>
          <cell r="Q439">
            <v>908.41</v>
          </cell>
          <cell r="R439">
            <v>968.38</v>
          </cell>
          <cell r="S439">
            <v>968.38</v>
          </cell>
          <cell r="T439">
            <v>968.38</v>
          </cell>
          <cell r="U439">
            <v>968.38</v>
          </cell>
          <cell r="V439">
            <v>968.38</v>
          </cell>
          <cell r="W439">
            <v>968.38</v>
          </cell>
          <cell r="X439">
            <v>990.01</v>
          </cell>
          <cell r="Y439">
            <v>990.01</v>
          </cell>
          <cell r="Z439">
            <v>5468</v>
          </cell>
          <cell r="AA439">
            <v>5513</v>
          </cell>
          <cell r="AB439">
            <v>5513</v>
          </cell>
          <cell r="AC439">
            <v>5527.95</v>
          </cell>
          <cell r="AD439">
            <v>6323.38</v>
          </cell>
          <cell r="AE439">
            <v>6323.38</v>
          </cell>
          <cell r="AF439">
            <v>6323.38</v>
          </cell>
          <cell r="AG439">
            <v>7496.38</v>
          </cell>
          <cell r="AH439">
            <v>7636.68</v>
          </cell>
          <cell r="AI439">
            <v>10773.85</v>
          </cell>
          <cell r="AJ439">
            <v>10773.85</v>
          </cell>
          <cell r="AK439">
            <v>11367.42</v>
          </cell>
          <cell r="AL439">
            <v>0</v>
          </cell>
          <cell r="AM439">
            <v>1</v>
          </cell>
          <cell r="AN439" t="str">
            <v/>
          </cell>
          <cell r="AO439">
            <v>0</v>
          </cell>
          <cell r="AP439">
            <v>0</v>
          </cell>
          <cell r="AQ439">
            <v>0</v>
          </cell>
          <cell r="AR439">
            <v>740</v>
          </cell>
          <cell r="AS439">
            <v>0</v>
          </cell>
          <cell r="AT439" t="str">
            <v/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 t="str">
            <v/>
          </cell>
          <cell r="BK439">
            <v>6300</v>
          </cell>
          <cell r="BL439" t="str">
            <v>0</v>
          </cell>
          <cell r="BM439" t="str">
            <v>1</v>
          </cell>
          <cell r="BN439" t="str">
            <v/>
          </cell>
          <cell r="BO439" t="str">
            <v/>
          </cell>
        </row>
        <row r="440">
          <cell r="A440">
            <v>1</v>
          </cell>
          <cell r="B440">
            <v>4249002</v>
          </cell>
          <cell r="C440" t="str">
            <v>ENVIRONNEMENT</v>
          </cell>
          <cell r="D440" t="str">
            <v>TRANSFERT DIV. SERVIETTES</v>
          </cell>
          <cell r="E440" t="str">
            <v>O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2</v>
          </cell>
          <cell r="AN440" t="str">
            <v/>
          </cell>
          <cell r="AO440">
            <v>0</v>
          </cell>
          <cell r="AP440">
            <v>0</v>
          </cell>
          <cell r="AQ440">
            <v>0</v>
          </cell>
          <cell r="AR440">
            <v>740</v>
          </cell>
          <cell r="AS440">
            <v>0</v>
          </cell>
          <cell r="AT440" t="str">
            <v/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 t="str">
            <v/>
          </cell>
          <cell r="BK440">
            <v>6300</v>
          </cell>
          <cell r="BL440" t="str">
            <v>0</v>
          </cell>
          <cell r="BM440" t="str">
            <v>1</v>
          </cell>
          <cell r="BN440" t="str">
            <v/>
          </cell>
          <cell r="BO440" t="str">
            <v/>
          </cell>
        </row>
        <row r="441">
          <cell r="A441">
            <v>1</v>
          </cell>
          <cell r="B441">
            <v>4249003</v>
          </cell>
          <cell r="C441" t="str">
            <v>ENVIRONNEMENT</v>
          </cell>
          <cell r="D441" t="str">
            <v>TRANSFERT DIVISION SACS</v>
          </cell>
          <cell r="E441" t="str">
            <v>O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3</v>
          </cell>
          <cell r="AN441" t="str">
            <v/>
          </cell>
          <cell r="AO441">
            <v>0</v>
          </cell>
          <cell r="AP441">
            <v>0</v>
          </cell>
          <cell r="AQ441">
            <v>0</v>
          </cell>
          <cell r="AR441">
            <v>740</v>
          </cell>
          <cell r="AS441">
            <v>0</v>
          </cell>
          <cell r="AT441" t="str">
            <v/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 t="str">
            <v/>
          </cell>
          <cell r="BK441">
            <v>6300</v>
          </cell>
          <cell r="BL441" t="str">
            <v>0</v>
          </cell>
          <cell r="BM441" t="str">
            <v>1</v>
          </cell>
          <cell r="BN441" t="str">
            <v/>
          </cell>
          <cell r="BO441" t="str">
            <v/>
          </cell>
        </row>
        <row r="442">
          <cell r="A442">
            <v>1</v>
          </cell>
          <cell r="B442">
            <v>4249004</v>
          </cell>
          <cell r="C442" t="str">
            <v>ENVIRONNEMENT</v>
          </cell>
          <cell r="D442" t="str">
            <v>TRANSFERT DIVISION BOITES</v>
          </cell>
          <cell r="E442" t="str">
            <v>O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4</v>
          </cell>
          <cell r="AN442" t="str">
            <v/>
          </cell>
          <cell r="AO442">
            <v>0</v>
          </cell>
          <cell r="AP442">
            <v>0</v>
          </cell>
          <cell r="AQ442">
            <v>0</v>
          </cell>
          <cell r="AR442">
            <v>740</v>
          </cell>
          <cell r="AS442">
            <v>0</v>
          </cell>
          <cell r="AT442" t="str">
            <v/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 t="str">
            <v/>
          </cell>
          <cell r="BK442">
            <v>6300</v>
          </cell>
          <cell r="BL442" t="str">
            <v>0</v>
          </cell>
          <cell r="BM442" t="str">
            <v>1</v>
          </cell>
          <cell r="BN442" t="str">
            <v/>
          </cell>
          <cell r="BO442" t="str">
            <v/>
          </cell>
        </row>
        <row r="443">
          <cell r="A443">
            <v>2</v>
          </cell>
          <cell r="B443">
            <v>4251021</v>
          </cell>
          <cell r="C443" t="str">
            <v>M.O.D.</v>
          </cell>
          <cell r="D443" t="str">
            <v>MOD SYST POMPAGE</v>
          </cell>
          <cell r="E443" t="str">
            <v>N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</v>
          </cell>
          <cell r="AN443" t="str">
            <v/>
          </cell>
          <cell r="AO443">
            <v>0</v>
          </cell>
          <cell r="AP443">
            <v>0</v>
          </cell>
          <cell r="AQ443">
            <v>0</v>
          </cell>
          <cell r="AR443">
            <v>690</v>
          </cell>
          <cell r="AS443">
            <v>0</v>
          </cell>
          <cell r="AT443" t="str">
            <v/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 t="str">
            <v/>
          </cell>
          <cell r="BK443">
            <v>6000</v>
          </cell>
          <cell r="BL443" t="str">
            <v>0</v>
          </cell>
          <cell r="BM443" t="str">
            <v>1</v>
          </cell>
          <cell r="BN443" t="str">
            <v/>
          </cell>
          <cell r="BO443" t="str">
            <v/>
          </cell>
        </row>
        <row r="444">
          <cell r="A444">
            <v>2</v>
          </cell>
          <cell r="B444">
            <v>4251031</v>
          </cell>
          <cell r="C444" t="str">
            <v>M.O.D.</v>
          </cell>
          <cell r="D444" t="str">
            <v>MOD MACHINE A PAPIER</v>
          </cell>
          <cell r="E444" t="str">
            <v>N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1</v>
          </cell>
          <cell r="AN444" t="str">
            <v/>
          </cell>
          <cell r="AO444">
            <v>0</v>
          </cell>
          <cell r="AP444">
            <v>0</v>
          </cell>
          <cell r="AQ444">
            <v>0</v>
          </cell>
          <cell r="AR444">
            <v>690</v>
          </cell>
          <cell r="AS444">
            <v>0</v>
          </cell>
          <cell r="AT444" t="str">
            <v/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 t="str">
            <v/>
          </cell>
          <cell r="BK444">
            <v>6000</v>
          </cell>
          <cell r="BL444" t="str">
            <v>0</v>
          </cell>
          <cell r="BM444" t="str">
            <v>1</v>
          </cell>
          <cell r="BN444" t="str">
            <v/>
          </cell>
          <cell r="BO444" t="str">
            <v/>
          </cell>
        </row>
        <row r="445">
          <cell r="A445">
            <v>2</v>
          </cell>
          <cell r="B445">
            <v>4251041</v>
          </cell>
          <cell r="C445" t="str">
            <v>M.O.D.</v>
          </cell>
          <cell r="D445" t="str">
            <v>MOD PULPER</v>
          </cell>
          <cell r="E445" t="str">
            <v>N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1</v>
          </cell>
          <cell r="AN445" t="str">
            <v/>
          </cell>
          <cell r="AO445">
            <v>0</v>
          </cell>
          <cell r="AP445">
            <v>0</v>
          </cell>
          <cell r="AQ445">
            <v>0</v>
          </cell>
          <cell r="AR445">
            <v>690</v>
          </cell>
          <cell r="AS445">
            <v>0</v>
          </cell>
          <cell r="AT445" t="str">
            <v/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 t="str">
            <v/>
          </cell>
          <cell r="BK445">
            <v>6000</v>
          </cell>
          <cell r="BL445" t="str">
            <v>0</v>
          </cell>
          <cell r="BM445" t="str">
            <v>1</v>
          </cell>
          <cell r="BN445" t="str">
            <v/>
          </cell>
          <cell r="BO445" t="str">
            <v/>
          </cell>
        </row>
        <row r="446">
          <cell r="A446">
            <v>2</v>
          </cell>
          <cell r="B446">
            <v>4251051</v>
          </cell>
          <cell r="C446" t="str">
            <v>M.O.D.</v>
          </cell>
          <cell r="D446" t="str">
            <v>MOD BALER</v>
          </cell>
          <cell r="E446" t="str">
            <v>N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1</v>
          </cell>
          <cell r="AN446" t="str">
            <v/>
          </cell>
          <cell r="AO446">
            <v>0</v>
          </cell>
          <cell r="AP446">
            <v>0</v>
          </cell>
          <cell r="AQ446">
            <v>0</v>
          </cell>
          <cell r="AR446">
            <v>690</v>
          </cell>
          <cell r="AS446">
            <v>0</v>
          </cell>
          <cell r="AT446" t="str">
            <v/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 t="str">
            <v/>
          </cell>
          <cell r="BK446">
            <v>6000</v>
          </cell>
          <cell r="BL446" t="str">
            <v>0</v>
          </cell>
          <cell r="BM446" t="str">
            <v>1</v>
          </cell>
          <cell r="BN446" t="str">
            <v/>
          </cell>
          <cell r="BO446" t="str">
            <v/>
          </cell>
        </row>
        <row r="447">
          <cell r="A447">
            <v>1</v>
          </cell>
          <cell r="B447">
            <v>4251901</v>
          </cell>
          <cell r="C447" t="str">
            <v>M.O.D.</v>
          </cell>
          <cell r="D447" t="str">
            <v>REUNION</v>
          </cell>
          <cell r="E447" t="str">
            <v>N</v>
          </cell>
          <cell r="F447">
            <v>0</v>
          </cell>
          <cell r="G447">
            <v>0</v>
          </cell>
          <cell r="H447">
            <v>17</v>
          </cell>
          <cell r="I447">
            <v>34</v>
          </cell>
          <cell r="J447">
            <v>17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17</v>
          </cell>
          <cell r="T447">
            <v>17</v>
          </cell>
          <cell r="U447">
            <v>17</v>
          </cell>
          <cell r="V447">
            <v>17</v>
          </cell>
          <cell r="W447">
            <v>17</v>
          </cell>
          <cell r="X447">
            <v>17</v>
          </cell>
          <cell r="Y447">
            <v>17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1</v>
          </cell>
          <cell r="AN447" t="str">
            <v/>
          </cell>
          <cell r="AO447">
            <v>0</v>
          </cell>
          <cell r="AP447">
            <v>0</v>
          </cell>
          <cell r="AQ447">
            <v>0</v>
          </cell>
          <cell r="AR447">
            <v>690</v>
          </cell>
          <cell r="AS447">
            <v>0</v>
          </cell>
          <cell r="AT447" t="str">
            <v/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 t="str">
            <v/>
          </cell>
          <cell r="BK447">
            <v>6000</v>
          </cell>
          <cell r="BL447" t="str">
            <v>0</v>
          </cell>
          <cell r="BM447" t="str">
            <v>1</v>
          </cell>
          <cell r="BN447" t="str">
            <v/>
          </cell>
          <cell r="BO447" t="str">
            <v/>
          </cell>
        </row>
        <row r="448">
          <cell r="A448">
            <v>1</v>
          </cell>
          <cell r="B448">
            <v>4251911</v>
          </cell>
          <cell r="C448" t="str">
            <v>M.O.D.</v>
          </cell>
          <cell r="D448" t="str">
            <v>LIBERATION SYNDICALE</v>
          </cell>
          <cell r="E448" t="str">
            <v>N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154.36000000000001</v>
          </cell>
          <cell r="AA448">
            <v>206.09</v>
          </cell>
          <cell r="AB448">
            <v>229.48</v>
          </cell>
          <cell r="AC448">
            <v>263.18</v>
          </cell>
          <cell r="AD448">
            <v>287.7</v>
          </cell>
          <cell r="AE448">
            <v>287.7</v>
          </cell>
          <cell r="AF448">
            <v>287.7</v>
          </cell>
          <cell r="AG448">
            <v>287.7</v>
          </cell>
          <cell r="AH448">
            <v>287.7</v>
          </cell>
          <cell r="AI448">
            <v>287.7</v>
          </cell>
          <cell r="AJ448">
            <v>287.7</v>
          </cell>
          <cell r="AK448">
            <v>287.7</v>
          </cell>
          <cell r="AL448">
            <v>0</v>
          </cell>
          <cell r="AM448">
            <v>1</v>
          </cell>
          <cell r="AN448" t="str">
            <v/>
          </cell>
          <cell r="AO448">
            <v>0</v>
          </cell>
          <cell r="AP448">
            <v>0</v>
          </cell>
          <cell r="AQ448">
            <v>0</v>
          </cell>
          <cell r="AR448">
            <v>690</v>
          </cell>
          <cell r="AS448">
            <v>0</v>
          </cell>
          <cell r="AT448" t="str">
            <v/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 t="str">
            <v/>
          </cell>
          <cell r="BK448">
            <v>6000</v>
          </cell>
          <cell r="BL448" t="str">
            <v>0</v>
          </cell>
          <cell r="BM448" t="str">
            <v>1</v>
          </cell>
          <cell r="BN448" t="str">
            <v/>
          </cell>
          <cell r="BO448" t="str">
            <v/>
          </cell>
        </row>
        <row r="449">
          <cell r="A449">
            <v>1</v>
          </cell>
          <cell r="B449">
            <v>4251921</v>
          </cell>
          <cell r="C449" t="str">
            <v>M.O.D.</v>
          </cell>
          <cell r="D449" t="str">
            <v>SANTE ET SECURITE</v>
          </cell>
          <cell r="E449" t="str">
            <v>N</v>
          </cell>
          <cell r="F449">
            <v>0</v>
          </cell>
          <cell r="G449">
            <v>0</v>
          </cell>
          <cell r="H449">
            <v>137.25</v>
          </cell>
          <cell r="I449">
            <v>137.25</v>
          </cell>
          <cell r="J449">
            <v>0</v>
          </cell>
          <cell r="K449">
            <v>0</v>
          </cell>
          <cell r="L449">
            <v>469.25</v>
          </cell>
          <cell r="M449">
            <v>0</v>
          </cell>
          <cell r="N449">
            <v>0</v>
          </cell>
          <cell r="O449">
            <v>0</v>
          </cell>
          <cell r="P449">
            <v>137.25</v>
          </cell>
          <cell r="Q449">
            <v>137.25</v>
          </cell>
          <cell r="R449">
            <v>137.25</v>
          </cell>
          <cell r="S449">
            <v>137.25</v>
          </cell>
          <cell r="T449">
            <v>137.25</v>
          </cell>
          <cell r="U449">
            <v>137.25</v>
          </cell>
          <cell r="V449">
            <v>137.25</v>
          </cell>
          <cell r="W449">
            <v>137.25</v>
          </cell>
          <cell r="X449">
            <v>137.25</v>
          </cell>
          <cell r="Y449">
            <v>606.5</v>
          </cell>
          <cell r="Z449">
            <v>1124.6400000000001</v>
          </cell>
          <cell r="AA449">
            <v>1425.36</v>
          </cell>
          <cell r="AB449">
            <v>2081.36</v>
          </cell>
          <cell r="AC449">
            <v>2607.5100000000002</v>
          </cell>
          <cell r="AD449">
            <v>9823.65</v>
          </cell>
          <cell r="AE449">
            <v>10620.42</v>
          </cell>
          <cell r="AF449">
            <v>10650.42</v>
          </cell>
          <cell r="AG449">
            <v>11248.49</v>
          </cell>
          <cell r="AH449">
            <v>11248.49</v>
          </cell>
          <cell r="AI449">
            <v>11248.49</v>
          </cell>
          <cell r="AJ449">
            <v>11377.34</v>
          </cell>
          <cell r="AK449">
            <v>11377.34</v>
          </cell>
          <cell r="AL449">
            <v>0</v>
          </cell>
          <cell r="AM449">
            <v>1</v>
          </cell>
          <cell r="AN449" t="str">
            <v/>
          </cell>
          <cell r="AO449">
            <v>0</v>
          </cell>
          <cell r="AP449">
            <v>0</v>
          </cell>
          <cell r="AQ449">
            <v>0</v>
          </cell>
          <cell r="AR449">
            <v>690</v>
          </cell>
          <cell r="AS449">
            <v>0</v>
          </cell>
          <cell r="AT449" t="str">
            <v/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 t="str">
            <v/>
          </cell>
          <cell r="BK449">
            <v>6000</v>
          </cell>
          <cell r="BL449" t="str">
            <v>0</v>
          </cell>
          <cell r="BM449" t="str">
            <v>1</v>
          </cell>
          <cell r="BN449" t="str">
            <v/>
          </cell>
          <cell r="BO449" t="str">
            <v/>
          </cell>
        </row>
        <row r="450">
          <cell r="A450">
            <v>2</v>
          </cell>
          <cell r="B450">
            <v>4252122</v>
          </cell>
          <cell r="C450" t="str">
            <v>M.O.D.</v>
          </cell>
          <cell r="D450" t="str">
            <v>MACHINE 12</v>
          </cell>
          <cell r="E450" t="str">
            <v>N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2</v>
          </cell>
          <cell r="AN450" t="str">
            <v/>
          </cell>
          <cell r="AO450">
            <v>0</v>
          </cell>
          <cell r="AP450">
            <v>0</v>
          </cell>
          <cell r="AQ450">
            <v>0</v>
          </cell>
          <cell r="AR450">
            <v>690</v>
          </cell>
          <cell r="AS450">
            <v>0</v>
          </cell>
          <cell r="AT450" t="str">
            <v/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 t="str">
            <v/>
          </cell>
          <cell r="BK450">
            <v>6000</v>
          </cell>
          <cell r="BL450" t="str">
            <v>0</v>
          </cell>
          <cell r="BM450" t="str">
            <v>1</v>
          </cell>
          <cell r="BN450" t="str">
            <v/>
          </cell>
          <cell r="BO450" t="str">
            <v/>
          </cell>
        </row>
        <row r="451">
          <cell r="A451">
            <v>2</v>
          </cell>
          <cell r="B451">
            <v>4252132</v>
          </cell>
          <cell r="C451" t="str">
            <v>M.O.D.</v>
          </cell>
          <cell r="D451" t="str">
            <v>MACHINE 13</v>
          </cell>
          <cell r="E451" t="str">
            <v>N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2</v>
          </cell>
          <cell r="AN451" t="str">
            <v/>
          </cell>
          <cell r="AO451">
            <v>0</v>
          </cell>
          <cell r="AP451">
            <v>0</v>
          </cell>
          <cell r="AQ451">
            <v>0</v>
          </cell>
          <cell r="AR451">
            <v>690</v>
          </cell>
          <cell r="AS451">
            <v>0</v>
          </cell>
          <cell r="AT451" t="str">
            <v/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 t="str">
            <v/>
          </cell>
          <cell r="BK451">
            <v>6000</v>
          </cell>
          <cell r="BL451" t="str">
            <v>0</v>
          </cell>
          <cell r="BM451" t="str">
            <v>1</v>
          </cell>
          <cell r="BN451" t="str">
            <v/>
          </cell>
          <cell r="BO451" t="str">
            <v/>
          </cell>
        </row>
        <row r="452">
          <cell r="A452">
            <v>1</v>
          </cell>
          <cell r="B452">
            <v>4252142</v>
          </cell>
          <cell r="C452" t="str">
            <v>M.O.D. CODE 214</v>
          </cell>
          <cell r="D452" t="str">
            <v>ALIMENTATION MACHINE</v>
          </cell>
          <cell r="E452" t="str">
            <v>N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2</v>
          </cell>
          <cell r="AN452" t="str">
            <v/>
          </cell>
          <cell r="AO452">
            <v>0</v>
          </cell>
          <cell r="AP452">
            <v>0</v>
          </cell>
          <cell r="AQ452">
            <v>0</v>
          </cell>
          <cell r="AR452">
            <v>690</v>
          </cell>
          <cell r="AS452">
            <v>0</v>
          </cell>
          <cell r="AT452" t="str">
            <v/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 t="str">
            <v/>
          </cell>
          <cell r="BK452">
            <v>6000</v>
          </cell>
          <cell r="BL452" t="str">
            <v>0</v>
          </cell>
          <cell r="BM452" t="str">
            <v>1</v>
          </cell>
          <cell r="BN452" t="str">
            <v/>
          </cell>
          <cell r="BO452" t="str">
            <v/>
          </cell>
        </row>
        <row r="453">
          <cell r="A453">
            <v>2</v>
          </cell>
          <cell r="B453">
            <v>4252152</v>
          </cell>
          <cell r="C453" t="str">
            <v>M.O.D.</v>
          </cell>
          <cell r="D453" t="str">
            <v>MACHINE 15</v>
          </cell>
          <cell r="E453" t="str">
            <v>N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2</v>
          </cell>
          <cell r="AN453" t="str">
            <v/>
          </cell>
          <cell r="AO453">
            <v>0</v>
          </cell>
          <cell r="AP453">
            <v>0</v>
          </cell>
          <cell r="AQ453">
            <v>0</v>
          </cell>
          <cell r="AR453">
            <v>690</v>
          </cell>
          <cell r="AS453">
            <v>0</v>
          </cell>
          <cell r="AT453" t="str">
            <v/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 t="str">
            <v/>
          </cell>
          <cell r="BK453">
            <v>6000</v>
          </cell>
          <cell r="BL453" t="str">
            <v>0</v>
          </cell>
          <cell r="BM453" t="str">
            <v>1</v>
          </cell>
          <cell r="BN453" t="str">
            <v/>
          </cell>
          <cell r="BO453" t="str">
            <v/>
          </cell>
        </row>
        <row r="454">
          <cell r="A454">
            <v>2</v>
          </cell>
          <cell r="B454">
            <v>4252162</v>
          </cell>
          <cell r="C454" t="str">
            <v>M.O.D.</v>
          </cell>
          <cell r="D454" t="str">
            <v>MACHINE 16</v>
          </cell>
          <cell r="E454" t="str">
            <v>N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2</v>
          </cell>
          <cell r="AN454" t="str">
            <v/>
          </cell>
          <cell r="AO454">
            <v>0</v>
          </cell>
          <cell r="AP454">
            <v>0</v>
          </cell>
          <cell r="AQ454">
            <v>0</v>
          </cell>
          <cell r="AR454">
            <v>690</v>
          </cell>
          <cell r="AS454">
            <v>0</v>
          </cell>
          <cell r="AT454" t="str">
            <v/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 t="str">
            <v/>
          </cell>
          <cell r="BK454">
            <v>6000</v>
          </cell>
          <cell r="BL454" t="str">
            <v>0</v>
          </cell>
          <cell r="BM454" t="str">
            <v>1</v>
          </cell>
          <cell r="BN454" t="str">
            <v/>
          </cell>
          <cell r="BO454" t="str">
            <v/>
          </cell>
        </row>
        <row r="455">
          <cell r="A455">
            <v>2</v>
          </cell>
          <cell r="B455">
            <v>4252172</v>
          </cell>
          <cell r="C455" t="str">
            <v>M.O.D.</v>
          </cell>
          <cell r="D455" t="str">
            <v>MACHINE 17</v>
          </cell>
          <cell r="E455" t="str">
            <v>N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2</v>
          </cell>
          <cell r="AN455" t="str">
            <v/>
          </cell>
          <cell r="AO455">
            <v>0</v>
          </cell>
          <cell r="AP455">
            <v>0</v>
          </cell>
          <cell r="AQ455">
            <v>0</v>
          </cell>
          <cell r="AR455">
            <v>690</v>
          </cell>
          <cell r="AS455">
            <v>0</v>
          </cell>
          <cell r="AT455" t="str">
            <v/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 t="str">
            <v/>
          </cell>
          <cell r="BK455">
            <v>6000</v>
          </cell>
          <cell r="BL455" t="str">
            <v>0</v>
          </cell>
          <cell r="BM455" t="str">
            <v>1</v>
          </cell>
          <cell r="BN455" t="str">
            <v/>
          </cell>
          <cell r="BO455" t="str">
            <v/>
          </cell>
        </row>
        <row r="456">
          <cell r="A456">
            <v>2</v>
          </cell>
          <cell r="B456">
            <v>4252182</v>
          </cell>
          <cell r="C456" t="str">
            <v>M.O.D.</v>
          </cell>
          <cell r="D456" t="str">
            <v>MACHINE 18</v>
          </cell>
          <cell r="E456" t="str">
            <v>N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2</v>
          </cell>
          <cell r="AN456" t="str">
            <v/>
          </cell>
          <cell r="AO456">
            <v>0</v>
          </cell>
          <cell r="AP456">
            <v>0</v>
          </cell>
          <cell r="AQ456">
            <v>0</v>
          </cell>
          <cell r="AR456">
            <v>690</v>
          </cell>
          <cell r="AS456">
            <v>0</v>
          </cell>
          <cell r="AT456" t="str">
            <v/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 t="str">
            <v/>
          </cell>
          <cell r="BK456">
            <v>6000</v>
          </cell>
          <cell r="BL456" t="str">
            <v>0</v>
          </cell>
          <cell r="BM456" t="str">
            <v>1</v>
          </cell>
          <cell r="BN456" t="str">
            <v/>
          </cell>
          <cell r="BO456" t="str">
            <v/>
          </cell>
        </row>
        <row r="457">
          <cell r="A457">
            <v>2</v>
          </cell>
          <cell r="B457">
            <v>4252222</v>
          </cell>
          <cell r="C457" t="str">
            <v>M.O.D.</v>
          </cell>
          <cell r="D457" t="str">
            <v>MACHINE 22</v>
          </cell>
          <cell r="E457" t="str">
            <v>N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2</v>
          </cell>
          <cell r="AN457" t="str">
            <v/>
          </cell>
          <cell r="AO457">
            <v>0</v>
          </cell>
          <cell r="AP457">
            <v>0</v>
          </cell>
          <cell r="AQ457">
            <v>0</v>
          </cell>
          <cell r="AR457">
            <v>690</v>
          </cell>
          <cell r="AS457">
            <v>0</v>
          </cell>
          <cell r="AT457" t="str">
            <v/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 t="str">
            <v/>
          </cell>
          <cell r="BK457">
            <v>6000</v>
          </cell>
          <cell r="BL457" t="str">
            <v>0</v>
          </cell>
          <cell r="BM457" t="str">
            <v>1</v>
          </cell>
          <cell r="BN457" t="str">
            <v/>
          </cell>
          <cell r="BO457" t="str">
            <v/>
          </cell>
        </row>
        <row r="458">
          <cell r="A458">
            <v>1</v>
          </cell>
          <cell r="B458">
            <v>4252902</v>
          </cell>
          <cell r="C458" t="str">
            <v>M.O.D.</v>
          </cell>
          <cell r="D458" t="str">
            <v>REUNION</v>
          </cell>
          <cell r="E458" t="str">
            <v>N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2</v>
          </cell>
          <cell r="AN458" t="str">
            <v/>
          </cell>
          <cell r="AO458">
            <v>0</v>
          </cell>
          <cell r="AP458">
            <v>0</v>
          </cell>
          <cell r="AQ458">
            <v>0</v>
          </cell>
          <cell r="AR458">
            <v>690</v>
          </cell>
          <cell r="AS458">
            <v>0</v>
          </cell>
          <cell r="AT458" t="str">
            <v/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 t="str">
            <v/>
          </cell>
          <cell r="BK458">
            <v>6000</v>
          </cell>
          <cell r="BL458" t="str">
            <v>0</v>
          </cell>
          <cell r="BM458" t="str">
            <v>1</v>
          </cell>
          <cell r="BN458" t="str">
            <v/>
          </cell>
          <cell r="BO458" t="str">
            <v/>
          </cell>
        </row>
        <row r="459">
          <cell r="A459">
            <v>1</v>
          </cell>
          <cell r="B459">
            <v>4252912</v>
          </cell>
          <cell r="C459" t="str">
            <v>M.O.D.</v>
          </cell>
          <cell r="D459" t="str">
            <v>LIBERATION SYNDICALE</v>
          </cell>
          <cell r="E459" t="str">
            <v>N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2</v>
          </cell>
          <cell r="AN459" t="str">
            <v/>
          </cell>
          <cell r="AO459">
            <v>0</v>
          </cell>
          <cell r="AP459">
            <v>0</v>
          </cell>
          <cell r="AQ459">
            <v>0</v>
          </cell>
          <cell r="AR459">
            <v>690</v>
          </cell>
          <cell r="AS459">
            <v>0</v>
          </cell>
          <cell r="AT459" t="str">
            <v/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 t="str">
            <v/>
          </cell>
          <cell r="BK459">
            <v>6000</v>
          </cell>
          <cell r="BL459" t="str">
            <v>0</v>
          </cell>
          <cell r="BM459" t="str">
            <v>1</v>
          </cell>
          <cell r="BN459" t="str">
            <v/>
          </cell>
          <cell r="BO459" t="str">
            <v/>
          </cell>
        </row>
        <row r="460">
          <cell r="A460">
            <v>1</v>
          </cell>
          <cell r="B460">
            <v>4252922</v>
          </cell>
          <cell r="C460" t="str">
            <v>M.O.D.</v>
          </cell>
          <cell r="D460" t="str">
            <v>SANTE ET SECURITE</v>
          </cell>
          <cell r="E460" t="str">
            <v>N</v>
          </cell>
          <cell r="F460">
            <v>0</v>
          </cell>
          <cell r="G460">
            <v>0</v>
          </cell>
          <cell r="H460">
            <v>105</v>
          </cell>
          <cell r="I460">
            <v>105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105</v>
          </cell>
          <cell r="P460">
            <v>105</v>
          </cell>
          <cell r="Q460">
            <v>105</v>
          </cell>
          <cell r="R460">
            <v>105</v>
          </cell>
          <cell r="S460">
            <v>105</v>
          </cell>
          <cell r="T460">
            <v>105</v>
          </cell>
          <cell r="U460">
            <v>105</v>
          </cell>
          <cell r="V460">
            <v>105</v>
          </cell>
          <cell r="W460">
            <v>105</v>
          </cell>
          <cell r="X460">
            <v>105</v>
          </cell>
          <cell r="Y460">
            <v>105</v>
          </cell>
          <cell r="Z460">
            <v>0</v>
          </cell>
          <cell r="AA460">
            <v>128.5</v>
          </cell>
          <cell r="AB460">
            <v>128.5</v>
          </cell>
          <cell r="AC460">
            <v>128.5</v>
          </cell>
          <cell r="AD460">
            <v>128.5</v>
          </cell>
          <cell r="AE460">
            <v>128.5</v>
          </cell>
          <cell r="AF460">
            <v>128.5</v>
          </cell>
          <cell r="AG460">
            <v>128.5</v>
          </cell>
          <cell r="AH460">
            <v>128.5</v>
          </cell>
          <cell r="AI460">
            <v>128.5</v>
          </cell>
          <cell r="AJ460">
            <v>128.5</v>
          </cell>
          <cell r="AK460">
            <v>128.5</v>
          </cell>
          <cell r="AL460">
            <v>0</v>
          </cell>
          <cell r="AM460">
            <v>2</v>
          </cell>
          <cell r="AN460" t="str">
            <v/>
          </cell>
          <cell r="AO460">
            <v>0</v>
          </cell>
          <cell r="AP460">
            <v>0</v>
          </cell>
          <cell r="AQ460">
            <v>0</v>
          </cell>
          <cell r="AR460">
            <v>690</v>
          </cell>
          <cell r="AS460">
            <v>0</v>
          </cell>
          <cell r="AT460" t="str">
            <v/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 t="str">
            <v/>
          </cell>
          <cell r="BK460">
            <v>6000</v>
          </cell>
          <cell r="BL460" t="str">
            <v>0</v>
          </cell>
          <cell r="BM460" t="str">
            <v>1</v>
          </cell>
          <cell r="BN460" t="str">
            <v/>
          </cell>
          <cell r="BO460" t="str">
            <v/>
          </cell>
        </row>
        <row r="461">
          <cell r="A461">
            <v>1</v>
          </cell>
          <cell r="B461">
            <v>4259001</v>
          </cell>
          <cell r="C461" t="str">
            <v>M.O.D.</v>
          </cell>
          <cell r="D461" t="str">
            <v>TRANSFERT DIVISION PAPIER</v>
          </cell>
          <cell r="E461" t="str">
            <v>N</v>
          </cell>
          <cell r="F461">
            <v>0</v>
          </cell>
          <cell r="G461">
            <v>0</v>
          </cell>
          <cell r="H461">
            <v>16411.560000000001</v>
          </cell>
          <cell r="I461">
            <v>16411.560000000001</v>
          </cell>
          <cell r="J461">
            <v>0</v>
          </cell>
          <cell r="K461">
            <v>0</v>
          </cell>
          <cell r="L461">
            <v>56719.66</v>
          </cell>
          <cell r="M461">
            <v>0</v>
          </cell>
          <cell r="N461">
            <v>469.66</v>
          </cell>
          <cell r="O461">
            <v>1438.22</v>
          </cell>
          <cell r="P461">
            <v>1907.88</v>
          </cell>
          <cell r="Q461">
            <v>4690.22</v>
          </cell>
          <cell r="R461">
            <v>5159.88</v>
          </cell>
          <cell r="S461">
            <v>5629.54</v>
          </cell>
          <cell r="T461">
            <v>8785.58</v>
          </cell>
          <cell r="U461">
            <v>13307.06</v>
          </cell>
          <cell r="V461">
            <v>15472.24</v>
          </cell>
          <cell r="W461">
            <v>15941.9</v>
          </cell>
          <cell r="X461">
            <v>16411.560000000001</v>
          </cell>
          <cell r="Y461">
            <v>73131.22</v>
          </cell>
          <cell r="Z461">
            <v>9497.24</v>
          </cell>
          <cell r="AA461">
            <v>18358.25</v>
          </cell>
          <cell r="AB461">
            <v>27769.48</v>
          </cell>
          <cell r="AC461">
            <v>37032.300000000003</v>
          </cell>
          <cell r="AD461">
            <v>44735.56</v>
          </cell>
          <cell r="AE461">
            <v>38663.769999999997</v>
          </cell>
          <cell r="AF461">
            <v>40846.050000000003</v>
          </cell>
          <cell r="AG461">
            <v>41315.71</v>
          </cell>
          <cell r="AH461">
            <v>43451.97</v>
          </cell>
          <cell r="AI461">
            <v>45791.29</v>
          </cell>
          <cell r="AJ461">
            <v>45791.29</v>
          </cell>
          <cell r="AK461">
            <v>47348.55</v>
          </cell>
          <cell r="AL461">
            <v>0</v>
          </cell>
          <cell r="AM461">
            <v>1</v>
          </cell>
          <cell r="AN461" t="str">
            <v/>
          </cell>
          <cell r="AO461">
            <v>0</v>
          </cell>
          <cell r="AP461">
            <v>0</v>
          </cell>
          <cell r="AQ461">
            <v>0</v>
          </cell>
          <cell r="AR461">
            <v>690</v>
          </cell>
          <cell r="AS461">
            <v>0</v>
          </cell>
          <cell r="AT461" t="str">
            <v/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 t="str">
            <v/>
          </cell>
          <cell r="BK461">
            <v>6000</v>
          </cell>
          <cell r="BL461" t="str">
            <v>0</v>
          </cell>
          <cell r="BM461" t="str">
            <v>1</v>
          </cell>
          <cell r="BN461" t="str">
            <v/>
          </cell>
          <cell r="BO461" t="str">
            <v/>
          </cell>
        </row>
        <row r="462">
          <cell r="A462">
            <v>1</v>
          </cell>
          <cell r="B462">
            <v>4259002</v>
          </cell>
          <cell r="C462" t="str">
            <v>M.O.D.</v>
          </cell>
          <cell r="D462" t="str">
            <v>ALIMENTATION MACHINE</v>
          </cell>
          <cell r="E462" t="str">
            <v>N</v>
          </cell>
          <cell r="F462">
            <v>0</v>
          </cell>
          <cell r="G462">
            <v>0</v>
          </cell>
          <cell r="H462">
            <v>282026.23999999999</v>
          </cell>
          <cell r="I462">
            <v>292555.34000000003</v>
          </cell>
          <cell r="J462">
            <v>10529.1</v>
          </cell>
          <cell r="K462">
            <v>0</v>
          </cell>
          <cell r="L462">
            <v>139391.04999999999</v>
          </cell>
          <cell r="M462">
            <v>18636.240000000002</v>
          </cell>
          <cell r="N462">
            <v>22026.44</v>
          </cell>
          <cell r="O462">
            <v>44594.14</v>
          </cell>
          <cell r="P462">
            <v>70277.539999999994</v>
          </cell>
          <cell r="Q462">
            <v>95287.59</v>
          </cell>
          <cell r="R462">
            <v>125892.25</v>
          </cell>
          <cell r="S462">
            <v>158755.15</v>
          </cell>
          <cell r="T462">
            <v>182850.91</v>
          </cell>
          <cell r="U462">
            <v>212556.34</v>
          </cell>
          <cell r="V462">
            <v>236787.92</v>
          </cell>
          <cell r="W462">
            <v>255425.13</v>
          </cell>
          <cell r="X462">
            <v>282026.23999999999</v>
          </cell>
          <cell r="Y462">
            <v>402781.05</v>
          </cell>
          <cell r="Z462">
            <v>48081.4</v>
          </cell>
          <cell r="AA462">
            <v>89933.16</v>
          </cell>
          <cell r="AB462">
            <v>137012.70000000001</v>
          </cell>
          <cell r="AC462">
            <v>182126.46</v>
          </cell>
          <cell r="AD462">
            <v>280048.13</v>
          </cell>
          <cell r="AE462">
            <v>324321.7</v>
          </cell>
          <cell r="AF462">
            <v>352122.97</v>
          </cell>
          <cell r="AG462">
            <v>384154.33</v>
          </cell>
          <cell r="AH462">
            <v>424857.07</v>
          </cell>
          <cell r="AI462">
            <v>441100.77</v>
          </cell>
          <cell r="AJ462">
            <v>464793.78</v>
          </cell>
          <cell r="AK462">
            <v>492419.47</v>
          </cell>
          <cell r="AL462">
            <v>0</v>
          </cell>
          <cell r="AM462">
            <v>2</v>
          </cell>
          <cell r="AN462" t="str">
            <v/>
          </cell>
          <cell r="AO462">
            <v>0</v>
          </cell>
          <cell r="AP462">
            <v>0</v>
          </cell>
          <cell r="AQ462">
            <v>0</v>
          </cell>
          <cell r="AR462">
            <v>690</v>
          </cell>
          <cell r="AS462">
            <v>0</v>
          </cell>
          <cell r="AT462" t="str">
            <v/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 t="str">
            <v/>
          </cell>
          <cell r="BK462">
            <v>6000</v>
          </cell>
          <cell r="BL462" t="str">
            <v>0</v>
          </cell>
          <cell r="BM462" t="str">
            <v>1</v>
          </cell>
          <cell r="BN462" t="str">
            <v/>
          </cell>
          <cell r="BO462" t="str">
            <v/>
          </cell>
        </row>
        <row r="463">
          <cell r="A463">
            <v>1</v>
          </cell>
          <cell r="B463">
            <v>4259003</v>
          </cell>
          <cell r="C463" t="str">
            <v>M.O.D.</v>
          </cell>
          <cell r="D463" t="str">
            <v>ALIMENTATION MACHINE</v>
          </cell>
          <cell r="E463" t="str">
            <v>N</v>
          </cell>
          <cell r="F463">
            <v>0</v>
          </cell>
          <cell r="G463">
            <v>0</v>
          </cell>
          <cell r="H463">
            <v>65474.55</v>
          </cell>
          <cell r="I463">
            <v>65474.55</v>
          </cell>
          <cell r="J463">
            <v>0</v>
          </cell>
          <cell r="K463">
            <v>0</v>
          </cell>
          <cell r="L463">
            <v>60331.519999999997</v>
          </cell>
          <cell r="M463">
            <v>0</v>
          </cell>
          <cell r="N463">
            <v>6196.57</v>
          </cell>
          <cell r="O463">
            <v>11757.35</v>
          </cell>
          <cell r="P463">
            <v>18290.09</v>
          </cell>
          <cell r="Q463">
            <v>24169.43</v>
          </cell>
          <cell r="R463">
            <v>30145.38</v>
          </cell>
          <cell r="S463">
            <v>37425.96</v>
          </cell>
          <cell r="T463">
            <v>43027.75</v>
          </cell>
          <cell r="U463">
            <v>50217.1</v>
          </cell>
          <cell r="V463">
            <v>56227.33</v>
          </cell>
          <cell r="W463">
            <v>61028.45</v>
          </cell>
          <cell r="X463">
            <v>65474.55</v>
          </cell>
          <cell r="Y463">
            <v>125806.07</v>
          </cell>
          <cell r="Z463">
            <v>24582.77</v>
          </cell>
          <cell r="AA463">
            <v>47070.89</v>
          </cell>
          <cell r="AB463">
            <v>70046.89</v>
          </cell>
          <cell r="AC463">
            <v>93523.72</v>
          </cell>
          <cell r="AD463">
            <v>125660.87</v>
          </cell>
          <cell r="AE463">
            <v>136999.29999999999</v>
          </cell>
          <cell r="AF463">
            <v>142733.85</v>
          </cell>
          <cell r="AG463">
            <v>146691.26</v>
          </cell>
          <cell r="AH463">
            <v>155797.79999999999</v>
          </cell>
          <cell r="AI463">
            <v>157127.57999999999</v>
          </cell>
          <cell r="AJ463">
            <v>162737.95000000001</v>
          </cell>
          <cell r="AK463">
            <v>167848.17</v>
          </cell>
          <cell r="AL463">
            <v>0</v>
          </cell>
          <cell r="AM463">
            <v>3</v>
          </cell>
          <cell r="AN463" t="str">
            <v/>
          </cell>
          <cell r="AO463">
            <v>0</v>
          </cell>
          <cell r="AP463">
            <v>0</v>
          </cell>
          <cell r="AQ463">
            <v>0</v>
          </cell>
          <cell r="AR463">
            <v>690</v>
          </cell>
          <cell r="AS463">
            <v>0</v>
          </cell>
          <cell r="AT463" t="str">
            <v/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 t="str">
            <v/>
          </cell>
          <cell r="BK463">
            <v>6000</v>
          </cell>
          <cell r="BL463" t="str">
            <v>0</v>
          </cell>
          <cell r="BM463" t="str">
            <v>1</v>
          </cell>
          <cell r="BN463" t="str">
            <v/>
          </cell>
          <cell r="BO463" t="str">
            <v/>
          </cell>
        </row>
        <row r="464">
          <cell r="A464">
            <v>1</v>
          </cell>
          <cell r="B464">
            <v>4259004</v>
          </cell>
          <cell r="C464" t="str">
            <v>M.O.D.</v>
          </cell>
          <cell r="D464" t="str">
            <v>TRANSFERT DIVISION BOITES</v>
          </cell>
          <cell r="E464" t="str">
            <v>N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341021.39</v>
          </cell>
          <cell r="AA464">
            <v>0</v>
          </cell>
          <cell r="AB464">
            <v>2.99</v>
          </cell>
          <cell r="AC464">
            <v>2.61</v>
          </cell>
          <cell r="AD464">
            <v>2.61</v>
          </cell>
          <cell r="AE464">
            <v>2.61</v>
          </cell>
          <cell r="AF464">
            <v>2.61</v>
          </cell>
          <cell r="AG464">
            <v>2.61</v>
          </cell>
          <cell r="AH464">
            <v>2.61</v>
          </cell>
          <cell r="AI464">
            <v>2.61</v>
          </cell>
          <cell r="AJ464">
            <v>2.61</v>
          </cell>
          <cell r="AK464">
            <v>2.61</v>
          </cell>
          <cell r="AL464">
            <v>0</v>
          </cell>
          <cell r="AM464">
            <v>4</v>
          </cell>
          <cell r="AN464" t="str">
            <v/>
          </cell>
          <cell r="AO464">
            <v>0</v>
          </cell>
          <cell r="AP464">
            <v>0</v>
          </cell>
          <cell r="AQ464">
            <v>0</v>
          </cell>
          <cell r="AR464">
            <v>690</v>
          </cell>
          <cell r="AS464">
            <v>0</v>
          </cell>
          <cell r="AT464" t="str">
            <v/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 t="str">
            <v/>
          </cell>
          <cell r="BK464">
            <v>6000</v>
          </cell>
          <cell r="BL464" t="str">
            <v>0</v>
          </cell>
          <cell r="BM464" t="str">
            <v>1</v>
          </cell>
          <cell r="BN464" t="str">
            <v/>
          </cell>
          <cell r="BO464" t="str">
            <v/>
          </cell>
        </row>
        <row r="465">
          <cell r="A465">
            <v>1</v>
          </cell>
          <cell r="B465">
            <v>4271001</v>
          </cell>
          <cell r="C465" t="str">
            <v>SOUS-TRAITANCE</v>
          </cell>
          <cell r="D465" t="str">
            <v/>
          </cell>
          <cell r="E465" t="str">
            <v>O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1</v>
          </cell>
          <cell r="AN465" t="str">
            <v/>
          </cell>
          <cell r="AO465">
            <v>0</v>
          </cell>
          <cell r="AP465">
            <v>0</v>
          </cell>
          <cell r="AQ465">
            <v>0</v>
          </cell>
          <cell r="AR465">
            <v>702</v>
          </cell>
          <cell r="AS465">
            <v>0</v>
          </cell>
          <cell r="AT465" t="str">
            <v/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 t="str">
            <v/>
          </cell>
          <cell r="BK465">
            <v>6300</v>
          </cell>
          <cell r="BL465" t="str">
            <v/>
          </cell>
          <cell r="BM465" t="str">
            <v>1</v>
          </cell>
          <cell r="BN465" t="str">
            <v/>
          </cell>
          <cell r="BO465" t="str">
            <v/>
          </cell>
        </row>
        <row r="466">
          <cell r="A466">
            <v>1</v>
          </cell>
          <cell r="B466">
            <v>4279001</v>
          </cell>
          <cell r="C466" t="str">
            <v>SOUS-TRAITANCE</v>
          </cell>
          <cell r="D466" t="str">
            <v>TRANSFERT DIVISION PAPIER</v>
          </cell>
          <cell r="E466" t="str">
            <v>O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1</v>
          </cell>
          <cell r="AN466" t="str">
            <v/>
          </cell>
          <cell r="AO466">
            <v>0</v>
          </cell>
          <cell r="AP466">
            <v>0</v>
          </cell>
          <cell r="AQ466">
            <v>0</v>
          </cell>
          <cell r="AR466">
            <v>702</v>
          </cell>
          <cell r="AS466">
            <v>0</v>
          </cell>
          <cell r="AT466" t="str">
            <v/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 t="str">
            <v/>
          </cell>
          <cell r="BK466">
            <v>6300</v>
          </cell>
          <cell r="BL466" t="str">
            <v>0</v>
          </cell>
          <cell r="BM466" t="str">
            <v>1</v>
          </cell>
          <cell r="BN466" t="str">
            <v/>
          </cell>
          <cell r="BO466" t="str">
            <v/>
          </cell>
        </row>
        <row r="467">
          <cell r="A467">
            <v>1</v>
          </cell>
          <cell r="B467">
            <v>4279002</v>
          </cell>
          <cell r="C467" t="str">
            <v>SOUS-TRAITANCE</v>
          </cell>
          <cell r="D467" t="str">
            <v>TRANSFERT DIV. SERVIETTES</v>
          </cell>
          <cell r="E467" t="str">
            <v>O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18.5</v>
          </cell>
          <cell r="AF467">
            <v>18.5</v>
          </cell>
          <cell r="AG467">
            <v>18.5</v>
          </cell>
          <cell r="AH467">
            <v>18.5</v>
          </cell>
          <cell r="AI467">
            <v>18.5</v>
          </cell>
          <cell r="AJ467">
            <v>18.5</v>
          </cell>
          <cell r="AK467">
            <v>18.5</v>
          </cell>
          <cell r="AL467">
            <v>0</v>
          </cell>
          <cell r="AM467">
            <v>2</v>
          </cell>
          <cell r="AN467" t="str">
            <v/>
          </cell>
          <cell r="AO467">
            <v>0</v>
          </cell>
          <cell r="AP467">
            <v>0</v>
          </cell>
          <cell r="AQ467">
            <v>0</v>
          </cell>
          <cell r="AR467">
            <v>702</v>
          </cell>
          <cell r="AS467">
            <v>0</v>
          </cell>
          <cell r="AT467" t="str">
            <v/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 t="str">
            <v/>
          </cell>
          <cell r="BK467">
            <v>6300</v>
          </cell>
          <cell r="BL467" t="str">
            <v>0</v>
          </cell>
          <cell r="BM467" t="str">
            <v>1</v>
          </cell>
          <cell r="BN467" t="str">
            <v/>
          </cell>
          <cell r="BO467" t="str">
            <v/>
          </cell>
        </row>
        <row r="468">
          <cell r="A468">
            <v>1</v>
          </cell>
          <cell r="B468">
            <v>4279003</v>
          </cell>
          <cell r="C468" t="str">
            <v>SOUS-TRAITANCE</v>
          </cell>
          <cell r="D468" t="str">
            <v>TRASFERT DIVISION SACS</v>
          </cell>
          <cell r="E468" t="str">
            <v>O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3042.9</v>
          </cell>
          <cell r="AD468">
            <v>3042.9</v>
          </cell>
          <cell r="AE468">
            <v>3042.9</v>
          </cell>
          <cell r="AF468">
            <v>3042.9</v>
          </cell>
          <cell r="AG468">
            <v>3042.9</v>
          </cell>
          <cell r="AH468">
            <v>3042.9</v>
          </cell>
          <cell r="AI468">
            <v>3042.9</v>
          </cell>
          <cell r="AJ468">
            <v>3042.9</v>
          </cell>
          <cell r="AK468">
            <v>3042.9</v>
          </cell>
          <cell r="AL468">
            <v>0</v>
          </cell>
          <cell r="AM468">
            <v>3</v>
          </cell>
          <cell r="AN468" t="str">
            <v/>
          </cell>
          <cell r="AO468">
            <v>0</v>
          </cell>
          <cell r="AP468">
            <v>0</v>
          </cell>
          <cell r="AQ468">
            <v>0</v>
          </cell>
          <cell r="AR468">
            <v>702</v>
          </cell>
          <cell r="AS468">
            <v>0</v>
          </cell>
          <cell r="AT468" t="str">
            <v/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 t="str">
            <v/>
          </cell>
          <cell r="BK468">
            <v>6300</v>
          </cell>
          <cell r="BL468" t="str">
            <v>0</v>
          </cell>
          <cell r="BM468" t="str">
            <v>1</v>
          </cell>
          <cell r="BN468" t="str">
            <v/>
          </cell>
          <cell r="BO468" t="str">
            <v/>
          </cell>
        </row>
        <row r="469">
          <cell r="A469">
            <v>1</v>
          </cell>
          <cell r="B469">
            <v>4279004</v>
          </cell>
          <cell r="C469" t="str">
            <v>SOUS-TRAITANCE</v>
          </cell>
          <cell r="D469" t="str">
            <v>TRANSFERT DIVISION BOITES</v>
          </cell>
          <cell r="E469" t="str">
            <v>O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4</v>
          </cell>
          <cell r="AN469" t="str">
            <v/>
          </cell>
          <cell r="AO469">
            <v>0</v>
          </cell>
          <cell r="AP469">
            <v>0</v>
          </cell>
          <cell r="AQ469">
            <v>0</v>
          </cell>
          <cell r="AR469">
            <v>702</v>
          </cell>
          <cell r="AS469">
            <v>0</v>
          </cell>
          <cell r="AT469" t="str">
            <v/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 t="str">
            <v/>
          </cell>
          <cell r="BK469">
            <v>6300</v>
          </cell>
          <cell r="BL469" t="str">
            <v>0</v>
          </cell>
          <cell r="BM469" t="str">
            <v>1</v>
          </cell>
          <cell r="BN469" t="str">
            <v/>
          </cell>
          <cell r="BO469" t="str">
            <v/>
          </cell>
        </row>
        <row r="470">
          <cell r="A470">
            <v>1</v>
          </cell>
          <cell r="B470">
            <v>4281002</v>
          </cell>
          <cell r="C470" t="str">
            <v>POLYFILM</v>
          </cell>
          <cell r="D470" t="str">
            <v>SERVIETTES</v>
          </cell>
          <cell r="E470" t="str">
            <v>O</v>
          </cell>
          <cell r="F470">
            <v>0</v>
          </cell>
          <cell r="G470">
            <v>0</v>
          </cell>
          <cell r="H470">
            <v>83197.06</v>
          </cell>
          <cell r="I470">
            <v>179910.92</v>
          </cell>
          <cell r="J470">
            <v>96713.86</v>
          </cell>
          <cell r="K470">
            <v>0</v>
          </cell>
          <cell r="L470">
            <v>18535.439999999999</v>
          </cell>
          <cell r="M470">
            <v>13282.76</v>
          </cell>
          <cell r="N470">
            <v>4712.4399999999996</v>
          </cell>
          <cell r="O470">
            <v>12853.09</v>
          </cell>
          <cell r="P470">
            <v>19873.38</v>
          </cell>
          <cell r="Q470">
            <v>27113.86</v>
          </cell>
          <cell r="R470">
            <v>34800.46</v>
          </cell>
          <cell r="S470">
            <v>46880.01</v>
          </cell>
          <cell r="T470">
            <v>54306.07</v>
          </cell>
          <cell r="U470">
            <v>61906.71</v>
          </cell>
          <cell r="V470">
            <v>71850.240000000005</v>
          </cell>
          <cell r="W470">
            <v>79725.240000000005</v>
          </cell>
          <cell r="X470">
            <v>83197.06</v>
          </cell>
          <cell r="Y470">
            <v>88449.74</v>
          </cell>
          <cell r="Z470">
            <v>4861.6400000000003</v>
          </cell>
          <cell r="AA470">
            <v>9661.64</v>
          </cell>
          <cell r="AB470">
            <v>3715.22</v>
          </cell>
          <cell r="AC470">
            <v>6725.69</v>
          </cell>
          <cell r="AD470">
            <v>21844.31</v>
          </cell>
          <cell r="AE470">
            <v>20586.59</v>
          </cell>
          <cell r="AF470">
            <v>25437.35</v>
          </cell>
          <cell r="AG470">
            <v>35307.64</v>
          </cell>
          <cell r="AH470">
            <v>46265.64</v>
          </cell>
          <cell r="AI470">
            <v>53918.64</v>
          </cell>
          <cell r="AJ470">
            <v>62537.23</v>
          </cell>
          <cell r="AK470">
            <v>69645.23</v>
          </cell>
          <cell r="AL470">
            <v>0</v>
          </cell>
          <cell r="AM470">
            <v>2</v>
          </cell>
          <cell r="AN470" t="str">
            <v/>
          </cell>
          <cell r="AO470">
            <v>0</v>
          </cell>
          <cell r="AP470">
            <v>0</v>
          </cell>
          <cell r="AQ470">
            <v>0</v>
          </cell>
          <cell r="AR470">
            <v>740</v>
          </cell>
          <cell r="AS470">
            <v>0</v>
          </cell>
          <cell r="AT470" t="str">
            <v/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1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 t="str">
            <v/>
          </cell>
          <cell r="BK470">
            <v>6300</v>
          </cell>
          <cell r="BL470" t="str">
            <v/>
          </cell>
          <cell r="BM470" t="str">
            <v>1</v>
          </cell>
          <cell r="BN470" t="str">
            <v/>
          </cell>
          <cell r="BO470" t="str">
            <v/>
          </cell>
        </row>
        <row r="471">
          <cell r="A471">
            <v>1</v>
          </cell>
          <cell r="B471">
            <v>4289001</v>
          </cell>
          <cell r="C471" t="str">
            <v>POLYFILM</v>
          </cell>
          <cell r="D471" t="str">
            <v>TRANSFERT DIVISION PAPIER</v>
          </cell>
          <cell r="E471" t="str">
            <v>O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1</v>
          </cell>
          <cell r="AN471" t="str">
            <v/>
          </cell>
          <cell r="AO471">
            <v>0</v>
          </cell>
          <cell r="AP471">
            <v>0</v>
          </cell>
          <cell r="AQ471">
            <v>0</v>
          </cell>
          <cell r="AR471">
            <v>740</v>
          </cell>
          <cell r="AS471">
            <v>0</v>
          </cell>
          <cell r="AT471" t="str">
            <v/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 t="str">
            <v/>
          </cell>
          <cell r="BK471">
            <v>6300</v>
          </cell>
          <cell r="BL471" t="str">
            <v>0</v>
          </cell>
          <cell r="BM471" t="str">
            <v>1</v>
          </cell>
          <cell r="BN471" t="str">
            <v/>
          </cell>
          <cell r="BO471" t="str">
            <v/>
          </cell>
        </row>
        <row r="472">
          <cell r="A472">
            <v>1</v>
          </cell>
          <cell r="B472">
            <v>4289002</v>
          </cell>
          <cell r="C472" t="str">
            <v>POLYFILM</v>
          </cell>
          <cell r="D472" t="str">
            <v>TRANSFERT DIV. SERVIETTES</v>
          </cell>
          <cell r="E472" t="str">
            <v>O</v>
          </cell>
          <cell r="F472">
            <v>0</v>
          </cell>
          <cell r="G472">
            <v>0</v>
          </cell>
          <cell r="H472">
            <v>209.52</v>
          </cell>
          <cell r="I472">
            <v>209.52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209.52</v>
          </cell>
          <cell r="W472">
            <v>209.52</v>
          </cell>
          <cell r="X472">
            <v>209.52</v>
          </cell>
          <cell r="Y472">
            <v>209.52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-9860.25</v>
          </cell>
          <cell r="AE472">
            <v>309.64999999999998</v>
          </cell>
          <cell r="AF472">
            <v>309.64999999999998</v>
          </cell>
          <cell r="AG472">
            <v>8496.7800000000007</v>
          </cell>
          <cell r="AH472">
            <v>8496.7800000000007</v>
          </cell>
          <cell r="AI472">
            <v>8496.7800000000007</v>
          </cell>
          <cell r="AJ472">
            <v>8496.7800000000007</v>
          </cell>
          <cell r="AK472">
            <v>8496.7800000000007</v>
          </cell>
          <cell r="AL472">
            <v>0</v>
          </cell>
          <cell r="AM472">
            <v>2</v>
          </cell>
          <cell r="AN472" t="str">
            <v/>
          </cell>
          <cell r="AO472">
            <v>0</v>
          </cell>
          <cell r="AP472">
            <v>0</v>
          </cell>
          <cell r="AQ472">
            <v>0</v>
          </cell>
          <cell r="AR472">
            <v>740</v>
          </cell>
          <cell r="AS472">
            <v>0</v>
          </cell>
          <cell r="AT472" t="str">
            <v/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 t="str">
            <v/>
          </cell>
          <cell r="BK472">
            <v>6300</v>
          </cell>
          <cell r="BL472" t="str">
            <v>0</v>
          </cell>
          <cell r="BM472" t="str">
            <v>1</v>
          </cell>
          <cell r="BN472" t="str">
            <v/>
          </cell>
          <cell r="BO472" t="str">
            <v/>
          </cell>
        </row>
        <row r="473">
          <cell r="A473">
            <v>1</v>
          </cell>
          <cell r="B473">
            <v>4289003</v>
          </cell>
          <cell r="C473" t="str">
            <v>POLYFILM</v>
          </cell>
          <cell r="D473" t="str">
            <v>TRANSFERT DIVISION SACS</v>
          </cell>
          <cell r="E473" t="str">
            <v>O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3</v>
          </cell>
          <cell r="AN473" t="str">
            <v/>
          </cell>
          <cell r="AO473">
            <v>0</v>
          </cell>
          <cell r="AP473">
            <v>0</v>
          </cell>
          <cell r="AQ473">
            <v>0</v>
          </cell>
          <cell r="AR473">
            <v>740</v>
          </cell>
          <cell r="AS473">
            <v>0</v>
          </cell>
          <cell r="AT473" t="str">
            <v/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 t="str">
            <v/>
          </cell>
          <cell r="BK473">
            <v>6300</v>
          </cell>
          <cell r="BL473" t="str">
            <v>0</v>
          </cell>
          <cell r="BM473" t="str">
            <v>1</v>
          </cell>
          <cell r="BN473" t="str">
            <v/>
          </cell>
          <cell r="BO473" t="str">
            <v/>
          </cell>
        </row>
        <row r="474">
          <cell r="A474">
            <v>1</v>
          </cell>
          <cell r="B474">
            <v>4289004</v>
          </cell>
          <cell r="C474" t="str">
            <v>POLYFILM</v>
          </cell>
          <cell r="D474" t="str">
            <v>TRANSFERT DIVISION BOITES</v>
          </cell>
          <cell r="E474" t="str">
            <v>O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4</v>
          </cell>
          <cell r="AN474" t="str">
            <v/>
          </cell>
          <cell r="AO474">
            <v>0</v>
          </cell>
          <cell r="AP474">
            <v>0</v>
          </cell>
          <cell r="AQ474">
            <v>0</v>
          </cell>
          <cell r="AR474">
            <v>740</v>
          </cell>
          <cell r="AS474">
            <v>0</v>
          </cell>
          <cell r="AT474" t="str">
            <v/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 t="str">
            <v/>
          </cell>
          <cell r="BK474">
            <v>6300</v>
          </cell>
          <cell r="BL474" t="str">
            <v>0</v>
          </cell>
          <cell r="BM474" t="str">
            <v>1</v>
          </cell>
          <cell r="BN474" t="str">
            <v/>
          </cell>
          <cell r="BO474" t="str">
            <v/>
          </cell>
        </row>
        <row r="475">
          <cell r="A475">
            <v>1</v>
          </cell>
          <cell r="B475">
            <v>4290932</v>
          </cell>
          <cell r="C475" t="str">
            <v>BOITES DE CARTONS</v>
          </cell>
          <cell r="D475" t="str">
            <v>SERV-A-PIS  PROTEC   1010</v>
          </cell>
          <cell r="E475" t="str">
            <v>O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2</v>
          </cell>
          <cell r="AN475" t="str">
            <v/>
          </cell>
          <cell r="AO475">
            <v>0</v>
          </cell>
          <cell r="AP475">
            <v>0</v>
          </cell>
          <cell r="AQ475">
            <v>0</v>
          </cell>
          <cell r="AR475">
            <v>740</v>
          </cell>
          <cell r="AS475">
            <v>0</v>
          </cell>
          <cell r="AT475" t="str">
            <v/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 t="str">
            <v/>
          </cell>
          <cell r="BK475">
            <v>6300</v>
          </cell>
          <cell r="BL475" t="str">
            <v/>
          </cell>
          <cell r="BM475" t="str">
            <v>1</v>
          </cell>
          <cell r="BN475" t="str">
            <v/>
          </cell>
          <cell r="BO475" t="str">
            <v/>
          </cell>
        </row>
        <row r="476">
          <cell r="A476">
            <v>1</v>
          </cell>
          <cell r="B476">
            <v>4293052</v>
          </cell>
          <cell r="C476" t="str">
            <v>BOITES DE CARTONS</v>
          </cell>
          <cell r="D476" t="str">
            <v>1013054464</v>
          </cell>
          <cell r="E476" t="str">
            <v>O</v>
          </cell>
          <cell r="F476">
            <v>0</v>
          </cell>
          <cell r="G476">
            <v>0</v>
          </cell>
          <cell r="H476">
            <v>27243.07</v>
          </cell>
          <cell r="I476">
            <v>30646.06</v>
          </cell>
          <cell r="J476">
            <v>3402.99</v>
          </cell>
          <cell r="K476">
            <v>0</v>
          </cell>
          <cell r="L476">
            <v>6520.06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6667.36</v>
          </cell>
          <cell r="U476">
            <v>11149.7</v>
          </cell>
          <cell r="V476">
            <v>15206.45</v>
          </cell>
          <cell r="W476">
            <v>18409.2</v>
          </cell>
          <cell r="X476">
            <v>27243.07</v>
          </cell>
          <cell r="Y476">
            <v>33763.129999999997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2</v>
          </cell>
          <cell r="AN476" t="str">
            <v/>
          </cell>
          <cell r="AO476">
            <v>0</v>
          </cell>
          <cell r="AP476">
            <v>0</v>
          </cell>
          <cell r="AQ476">
            <v>0</v>
          </cell>
          <cell r="AR476">
            <v>740</v>
          </cell>
          <cell r="AS476">
            <v>0</v>
          </cell>
          <cell r="AT476" t="str">
            <v/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20305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 t="str">
            <v/>
          </cell>
          <cell r="BK476">
            <v>6300</v>
          </cell>
          <cell r="BL476" t="str">
            <v>0</v>
          </cell>
          <cell r="BM476" t="str">
            <v>1</v>
          </cell>
          <cell r="BN476" t="str">
            <v/>
          </cell>
          <cell r="BO476" t="str">
            <v/>
          </cell>
        </row>
        <row r="477">
          <cell r="A477">
            <v>1</v>
          </cell>
          <cell r="B477">
            <v>4293062</v>
          </cell>
          <cell r="C477" t="str">
            <v>BOITES DE CARTONS</v>
          </cell>
          <cell r="D477" t="str">
            <v>N.R. NAT.PLI EN</v>
          </cell>
          <cell r="E477" t="str">
            <v>O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2</v>
          </cell>
          <cell r="AN477" t="str">
            <v/>
          </cell>
          <cell r="AO477">
            <v>0</v>
          </cell>
          <cell r="AP477">
            <v>0</v>
          </cell>
          <cell r="AQ477">
            <v>0</v>
          </cell>
          <cell r="AR477">
            <v>740</v>
          </cell>
          <cell r="AS477">
            <v>0</v>
          </cell>
          <cell r="AT477" t="str">
            <v/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20306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 t="str">
            <v/>
          </cell>
          <cell r="BK477">
            <v>6300</v>
          </cell>
          <cell r="BL477" t="str">
            <v>0</v>
          </cell>
          <cell r="BM477" t="str">
            <v>1</v>
          </cell>
          <cell r="BN477" t="str">
            <v/>
          </cell>
          <cell r="BO477" t="str">
            <v/>
          </cell>
        </row>
        <row r="478">
          <cell r="A478">
            <v>1</v>
          </cell>
          <cell r="B478">
            <v>4293092</v>
          </cell>
          <cell r="C478" t="str">
            <v>BOITES DE CARTONS</v>
          </cell>
          <cell r="D478" t="str">
            <v>1013094408</v>
          </cell>
          <cell r="E478" t="str">
            <v>O</v>
          </cell>
          <cell r="F478">
            <v>0</v>
          </cell>
          <cell r="G478">
            <v>0</v>
          </cell>
          <cell r="H478">
            <v>2.4700000000000002</v>
          </cell>
          <cell r="I478">
            <v>2.4700000000000002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2.4700000000000002</v>
          </cell>
          <cell r="W478">
            <v>2.4700000000000002</v>
          </cell>
          <cell r="X478">
            <v>2.4700000000000002</v>
          </cell>
          <cell r="Y478">
            <v>2.4700000000000002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2</v>
          </cell>
          <cell r="AN478" t="str">
            <v/>
          </cell>
          <cell r="AO478">
            <v>0</v>
          </cell>
          <cell r="AP478">
            <v>0</v>
          </cell>
          <cell r="AQ478">
            <v>0</v>
          </cell>
          <cell r="AR478">
            <v>740</v>
          </cell>
          <cell r="AS478">
            <v>0</v>
          </cell>
          <cell r="AT478" t="str">
            <v/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20309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 t="str">
            <v/>
          </cell>
          <cell r="BK478">
            <v>6300</v>
          </cell>
          <cell r="BL478" t="str">
            <v>0</v>
          </cell>
          <cell r="BM478" t="str">
            <v>1</v>
          </cell>
          <cell r="BN478" t="str">
            <v/>
          </cell>
          <cell r="BO478" t="str">
            <v/>
          </cell>
        </row>
        <row r="479">
          <cell r="A479">
            <v>1</v>
          </cell>
          <cell r="B479">
            <v>4293102</v>
          </cell>
          <cell r="C479" t="str">
            <v>BOITES DE CARTONS</v>
          </cell>
          <cell r="D479" t="str">
            <v>1013104402</v>
          </cell>
          <cell r="E479" t="str">
            <v>O</v>
          </cell>
          <cell r="F479">
            <v>0</v>
          </cell>
          <cell r="G479">
            <v>0</v>
          </cell>
          <cell r="H479">
            <v>6809.26</v>
          </cell>
          <cell r="I479">
            <v>9265.06</v>
          </cell>
          <cell r="J479">
            <v>2455.8000000000002</v>
          </cell>
          <cell r="K479">
            <v>0</v>
          </cell>
          <cell r="L479">
            <v>1233.5899999999999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673.32</v>
          </cell>
          <cell r="V479">
            <v>1806.92</v>
          </cell>
          <cell r="W479">
            <v>4232.6400000000003</v>
          </cell>
          <cell r="X479">
            <v>6809.26</v>
          </cell>
          <cell r="Y479">
            <v>8042.85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2</v>
          </cell>
          <cell r="AN479" t="str">
            <v/>
          </cell>
          <cell r="AO479">
            <v>0</v>
          </cell>
          <cell r="AP479">
            <v>0</v>
          </cell>
          <cell r="AQ479">
            <v>0</v>
          </cell>
          <cell r="AR479">
            <v>740</v>
          </cell>
          <cell r="AS479">
            <v>0</v>
          </cell>
          <cell r="AT479" t="str">
            <v/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20310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 t="str">
            <v/>
          </cell>
          <cell r="BK479">
            <v>6300</v>
          </cell>
          <cell r="BL479" t="str">
            <v>0</v>
          </cell>
          <cell r="BM479" t="str">
            <v>1</v>
          </cell>
          <cell r="BN479" t="str">
            <v/>
          </cell>
          <cell r="BO479" t="str">
            <v/>
          </cell>
        </row>
        <row r="480">
          <cell r="A480">
            <v>1</v>
          </cell>
          <cell r="B480">
            <v>4293112</v>
          </cell>
          <cell r="C480" t="str">
            <v>BOITES DE CARTONS</v>
          </cell>
          <cell r="D480" t="str">
            <v>N.R. SERV-A-PIS   101311</v>
          </cell>
          <cell r="E480" t="str">
            <v>O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2</v>
          </cell>
          <cell r="AN480" t="str">
            <v/>
          </cell>
          <cell r="AO480">
            <v>0</v>
          </cell>
          <cell r="AP480">
            <v>0</v>
          </cell>
          <cell r="AQ480">
            <v>0</v>
          </cell>
          <cell r="AR480">
            <v>740</v>
          </cell>
          <cell r="AS480">
            <v>0</v>
          </cell>
          <cell r="AT480" t="str">
            <v/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 t="str">
            <v/>
          </cell>
          <cell r="BK480">
            <v>6300</v>
          </cell>
          <cell r="BL480" t="str">
            <v/>
          </cell>
          <cell r="BM480" t="str">
            <v>1</v>
          </cell>
          <cell r="BN480" t="str">
            <v/>
          </cell>
          <cell r="BO480" t="str">
            <v/>
          </cell>
        </row>
        <row r="481">
          <cell r="A481">
            <v>1</v>
          </cell>
          <cell r="B481">
            <v>4293122</v>
          </cell>
          <cell r="C481" t="str">
            <v>BOITES DE CARTONS</v>
          </cell>
          <cell r="D481" t="str">
            <v>N.R. NAT.BLANC 8</v>
          </cell>
          <cell r="E481" t="str">
            <v>O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2</v>
          </cell>
          <cell r="AN481" t="str">
            <v/>
          </cell>
          <cell r="AO481">
            <v>0</v>
          </cell>
          <cell r="AP481">
            <v>0</v>
          </cell>
          <cell r="AQ481">
            <v>0</v>
          </cell>
          <cell r="AR481">
            <v>740</v>
          </cell>
          <cell r="AS481">
            <v>0</v>
          </cell>
          <cell r="AT481" t="str">
            <v/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 t="str">
            <v/>
          </cell>
          <cell r="BK481">
            <v>6300</v>
          </cell>
          <cell r="BL481" t="str">
            <v/>
          </cell>
          <cell r="BM481" t="str">
            <v>1</v>
          </cell>
          <cell r="BN481" t="str">
            <v/>
          </cell>
          <cell r="BO481" t="str">
            <v/>
          </cell>
        </row>
        <row r="482">
          <cell r="A482">
            <v>1</v>
          </cell>
          <cell r="B482">
            <v>4293132</v>
          </cell>
          <cell r="C482" t="str">
            <v>BOITES DE CARTONS</v>
          </cell>
          <cell r="D482" t="str">
            <v>1013134466</v>
          </cell>
          <cell r="E482" t="str">
            <v>O</v>
          </cell>
          <cell r="F482">
            <v>0</v>
          </cell>
          <cell r="G482">
            <v>0</v>
          </cell>
          <cell r="H482">
            <v>2336.69</v>
          </cell>
          <cell r="I482">
            <v>2975.54</v>
          </cell>
          <cell r="J482">
            <v>638.85</v>
          </cell>
          <cell r="K482">
            <v>0</v>
          </cell>
          <cell r="L482">
            <v>772.32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1744.38</v>
          </cell>
          <cell r="U482">
            <v>1744.38</v>
          </cell>
          <cell r="V482">
            <v>1721.11</v>
          </cell>
          <cell r="W482">
            <v>2336.69</v>
          </cell>
          <cell r="X482">
            <v>2336.69</v>
          </cell>
          <cell r="Y482">
            <v>3109.01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2</v>
          </cell>
          <cell r="AN482" t="str">
            <v/>
          </cell>
          <cell r="AO482">
            <v>0</v>
          </cell>
          <cell r="AP482">
            <v>0</v>
          </cell>
          <cell r="AQ482">
            <v>0</v>
          </cell>
          <cell r="AR482">
            <v>740</v>
          </cell>
          <cell r="AS482">
            <v>0</v>
          </cell>
          <cell r="AT482" t="str">
            <v/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20313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 t="str">
            <v/>
          </cell>
          <cell r="BK482">
            <v>6300</v>
          </cell>
          <cell r="BL482" t="str">
            <v>0</v>
          </cell>
          <cell r="BM482" t="str">
            <v>1</v>
          </cell>
          <cell r="BN482" t="str">
            <v/>
          </cell>
          <cell r="BO482" t="str">
            <v/>
          </cell>
        </row>
        <row r="483">
          <cell r="A483">
            <v>1</v>
          </cell>
          <cell r="B483">
            <v>4293142</v>
          </cell>
          <cell r="C483" t="str">
            <v>BOITES DE CARTONS</v>
          </cell>
          <cell r="D483" t="str">
            <v>1013144467</v>
          </cell>
          <cell r="E483" t="str">
            <v>O</v>
          </cell>
          <cell r="F483">
            <v>0</v>
          </cell>
          <cell r="G483">
            <v>0</v>
          </cell>
          <cell r="H483">
            <v>1647.48</v>
          </cell>
          <cell r="I483">
            <v>2012.16</v>
          </cell>
          <cell r="J483">
            <v>364.68</v>
          </cell>
          <cell r="K483">
            <v>0</v>
          </cell>
          <cell r="L483">
            <v>281.95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892.77</v>
          </cell>
          <cell r="U483">
            <v>1170.6300000000001</v>
          </cell>
          <cell r="V483">
            <v>1245.28</v>
          </cell>
          <cell r="W483">
            <v>1597.55</v>
          </cell>
          <cell r="X483">
            <v>1647.48</v>
          </cell>
          <cell r="Y483">
            <v>1929.43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2</v>
          </cell>
          <cell r="AN483" t="str">
            <v/>
          </cell>
          <cell r="AO483">
            <v>0</v>
          </cell>
          <cell r="AP483">
            <v>0</v>
          </cell>
          <cell r="AQ483">
            <v>0</v>
          </cell>
          <cell r="AR483">
            <v>740</v>
          </cell>
          <cell r="AS483">
            <v>0</v>
          </cell>
          <cell r="AT483" t="str">
            <v/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20314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 t="str">
            <v/>
          </cell>
          <cell r="BK483">
            <v>6300</v>
          </cell>
          <cell r="BL483" t="str">
            <v>0</v>
          </cell>
          <cell r="BM483" t="str">
            <v>1</v>
          </cell>
          <cell r="BN483" t="str">
            <v/>
          </cell>
          <cell r="BO483" t="str">
            <v/>
          </cell>
        </row>
        <row r="484">
          <cell r="A484">
            <v>1</v>
          </cell>
          <cell r="B484">
            <v>4293152</v>
          </cell>
          <cell r="C484" t="str">
            <v>BOITES DE CARTONS</v>
          </cell>
          <cell r="D484" t="str">
            <v>1013154468</v>
          </cell>
          <cell r="E484" t="str">
            <v>O</v>
          </cell>
          <cell r="F484">
            <v>0</v>
          </cell>
          <cell r="G484">
            <v>0</v>
          </cell>
          <cell r="H484">
            <v>7286.19</v>
          </cell>
          <cell r="I484">
            <v>8335.5400000000009</v>
          </cell>
          <cell r="J484">
            <v>1049.3499999999999</v>
          </cell>
          <cell r="K484">
            <v>0</v>
          </cell>
          <cell r="L484">
            <v>1939.67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3051.53</v>
          </cell>
          <cell r="U484">
            <v>4271.29</v>
          </cell>
          <cell r="V484">
            <v>4638.3999999999996</v>
          </cell>
          <cell r="W484">
            <v>5633.26</v>
          </cell>
          <cell r="X484">
            <v>7286.19</v>
          </cell>
          <cell r="Y484">
            <v>9225.86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2</v>
          </cell>
          <cell r="AN484" t="str">
            <v/>
          </cell>
          <cell r="AO484">
            <v>0</v>
          </cell>
          <cell r="AP484">
            <v>0</v>
          </cell>
          <cell r="AQ484">
            <v>0</v>
          </cell>
          <cell r="AR484">
            <v>740</v>
          </cell>
          <cell r="AS484">
            <v>0</v>
          </cell>
          <cell r="AT484" t="str">
            <v/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20315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 t="str">
            <v/>
          </cell>
          <cell r="BK484">
            <v>6300</v>
          </cell>
          <cell r="BL484" t="str">
            <v>0</v>
          </cell>
          <cell r="BM484" t="str">
            <v>1</v>
          </cell>
          <cell r="BN484" t="str">
            <v/>
          </cell>
          <cell r="BO484" t="str">
            <v/>
          </cell>
        </row>
        <row r="485">
          <cell r="A485">
            <v>1</v>
          </cell>
          <cell r="B485">
            <v>4293162</v>
          </cell>
          <cell r="C485" t="str">
            <v>BOITES DE CARTONS</v>
          </cell>
          <cell r="D485" t="str">
            <v>1013164463</v>
          </cell>
          <cell r="E485" t="str">
            <v>O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2</v>
          </cell>
          <cell r="AN485" t="str">
            <v/>
          </cell>
          <cell r="AO485">
            <v>0</v>
          </cell>
          <cell r="AP485">
            <v>0</v>
          </cell>
          <cell r="AQ485">
            <v>0</v>
          </cell>
          <cell r="AR485">
            <v>740</v>
          </cell>
          <cell r="AS485">
            <v>0</v>
          </cell>
          <cell r="AT485" t="str">
            <v/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20316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 t="str">
            <v/>
          </cell>
          <cell r="BK485">
            <v>6300</v>
          </cell>
          <cell r="BL485" t="str">
            <v>0</v>
          </cell>
          <cell r="BM485" t="str">
            <v>1</v>
          </cell>
          <cell r="BN485" t="str">
            <v/>
          </cell>
          <cell r="BO485" t="str">
            <v/>
          </cell>
        </row>
        <row r="486">
          <cell r="A486">
            <v>1</v>
          </cell>
          <cell r="B486">
            <v>4293202</v>
          </cell>
          <cell r="C486" t="str">
            <v>BOITES DE CARTONS</v>
          </cell>
          <cell r="D486" t="str">
            <v>1013204469</v>
          </cell>
          <cell r="E486" t="str">
            <v>O</v>
          </cell>
          <cell r="F486">
            <v>0</v>
          </cell>
          <cell r="G486">
            <v>0</v>
          </cell>
          <cell r="H486">
            <v>3635.83</v>
          </cell>
          <cell r="I486">
            <v>4415.47</v>
          </cell>
          <cell r="J486">
            <v>779.64</v>
          </cell>
          <cell r="K486">
            <v>0</v>
          </cell>
          <cell r="L486">
            <v>606.34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676.24</v>
          </cell>
          <cell r="U486">
            <v>1901.22</v>
          </cell>
          <cell r="V486">
            <v>2308.42</v>
          </cell>
          <cell r="W486">
            <v>3033.34</v>
          </cell>
          <cell r="X486">
            <v>3635.83</v>
          </cell>
          <cell r="Y486">
            <v>4242.17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2</v>
          </cell>
          <cell r="AN486" t="str">
            <v/>
          </cell>
          <cell r="AO486">
            <v>0</v>
          </cell>
          <cell r="AP486">
            <v>0</v>
          </cell>
          <cell r="AQ486">
            <v>0</v>
          </cell>
          <cell r="AR486">
            <v>740</v>
          </cell>
          <cell r="AS486">
            <v>0</v>
          </cell>
          <cell r="AT486" t="str">
            <v/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20320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 t="str">
            <v/>
          </cell>
          <cell r="BK486">
            <v>6300</v>
          </cell>
          <cell r="BL486" t="str">
            <v>0</v>
          </cell>
          <cell r="BM486" t="str">
            <v>1</v>
          </cell>
          <cell r="BN486" t="str">
            <v/>
          </cell>
          <cell r="BO486" t="str">
            <v/>
          </cell>
        </row>
        <row r="487">
          <cell r="A487">
            <v>1</v>
          </cell>
          <cell r="B487">
            <v>4293252</v>
          </cell>
          <cell r="C487" t="str">
            <v>BOITES DE CARTONS</v>
          </cell>
          <cell r="D487" t="str">
            <v>1013254470</v>
          </cell>
          <cell r="E487" t="str">
            <v>O</v>
          </cell>
          <cell r="F487">
            <v>0</v>
          </cell>
          <cell r="G487">
            <v>0</v>
          </cell>
          <cell r="H487">
            <v>10483.43</v>
          </cell>
          <cell r="I487">
            <v>13384.63</v>
          </cell>
          <cell r="J487">
            <v>2901.2</v>
          </cell>
          <cell r="K487">
            <v>0</v>
          </cell>
          <cell r="L487">
            <v>2105.73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2470.17</v>
          </cell>
          <cell r="U487">
            <v>3388.39</v>
          </cell>
          <cell r="V487">
            <v>4017.13</v>
          </cell>
          <cell r="W487">
            <v>6877.3</v>
          </cell>
          <cell r="X487">
            <v>10483.43</v>
          </cell>
          <cell r="Y487">
            <v>12589.16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2</v>
          </cell>
          <cell r="AN487" t="str">
            <v/>
          </cell>
          <cell r="AO487">
            <v>0</v>
          </cell>
          <cell r="AP487">
            <v>0</v>
          </cell>
          <cell r="AQ487">
            <v>0</v>
          </cell>
          <cell r="AR487">
            <v>740</v>
          </cell>
          <cell r="AS487">
            <v>0</v>
          </cell>
          <cell r="AT487" t="str">
            <v/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20325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 t="str">
            <v/>
          </cell>
          <cell r="BK487">
            <v>6300</v>
          </cell>
          <cell r="BL487" t="str">
            <v>0</v>
          </cell>
          <cell r="BM487" t="str">
            <v>1</v>
          </cell>
          <cell r="BN487" t="str">
            <v/>
          </cell>
          <cell r="BO487" t="str">
            <v/>
          </cell>
        </row>
        <row r="488">
          <cell r="A488">
            <v>1</v>
          </cell>
          <cell r="B488">
            <v>4297712</v>
          </cell>
          <cell r="C488" t="str">
            <v>DECR 10</v>
          </cell>
          <cell r="D488" t="str">
            <v>1017714458</v>
          </cell>
          <cell r="E488" t="str">
            <v>O</v>
          </cell>
          <cell r="F488">
            <v>0</v>
          </cell>
          <cell r="G488">
            <v>0</v>
          </cell>
          <cell r="H488">
            <v>7175.89</v>
          </cell>
          <cell r="I488">
            <v>7252.28</v>
          </cell>
          <cell r="J488">
            <v>76.39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2230.8200000000002</v>
          </cell>
          <cell r="U488">
            <v>3940.91</v>
          </cell>
          <cell r="V488">
            <v>5883.31</v>
          </cell>
          <cell r="W488">
            <v>5883.31</v>
          </cell>
          <cell r="X488">
            <v>7175.89</v>
          </cell>
          <cell r="Y488">
            <v>7175.89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2</v>
          </cell>
          <cell r="AN488" t="str">
            <v/>
          </cell>
          <cell r="AO488">
            <v>0</v>
          </cell>
          <cell r="AP488">
            <v>0</v>
          </cell>
          <cell r="AQ488">
            <v>0</v>
          </cell>
          <cell r="AR488">
            <v>600</v>
          </cell>
          <cell r="AS488">
            <v>0</v>
          </cell>
          <cell r="AT488" t="str">
            <v/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20771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 t="str">
            <v/>
          </cell>
          <cell r="BK488">
            <v>4000</v>
          </cell>
          <cell r="BL488" t="str">
            <v>0</v>
          </cell>
          <cell r="BM488" t="str">
            <v>1</v>
          </cell>
          <cell r="BN488" t="str">
            <v/>
          </cell>
          <cell r="BO488" t="str">
            <v/>
          </cell>
        </row>
        <row r="489">
          <cell r="A489">
            <v>1</v>
          </cell>
          <cell r="B489">
            <v>4293372</v>
          </cell>
          <cell r="C489" t="str">
            <v>BOITES DE CARTONS</v>
          </cell>
          <cell r="D489" t="str">
            <v>1013374411</v>
          </cell>
          <cell r="E489" t="str">
            <v>O</v>
          </cell>
          <cell r="F489">
            <v>0</v>
          </cell>
          <cell r="G489">
            <v>0</v>
          </cell>
          <cell r="H489">
            <v>5722.53</v>
          </cell>
          <cell r="I489">
            <v>6829.31</v>
          </cell>
          <cell r="J489">
            <v>1106.78</v>
          </cell>
          <cell r="K489">
            <v>0</v>
          </cell>
          <cell r="L489">
            <v>1970.14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1029.24</v>
          </cell>
          <cell r="U489">
            <v>1511.27</v>
          </cell>
          <cell r="V489">
            <v>2135.06</v>
          </cell>
          <cell r="W489">
            <v>3220.31</v>
          </cell>
          <cell r="X489">
            <v>5722.53</v>
          </cell>
          <cell r="Y489">
            <v>7692.67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2</v>
          </cell>
          <cell r="AN489" t="str">
            <v/>
          </cell>
          <cell r="AO489">
            <v>0</v>
          </cell>
          <cell r="AP489">
            <v>0</v>
          </cell>
          <cell r="AQ489">
            <v>0</v>
          </cell>
          <cell r="AR489">
            <v>740</v>
          </cell>
          <cell r="AS489">
            <v>0</v>
          </cell>
          <cell r="AT489" t="str">
            <v/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20337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 t="str">
            <v/>
          </cell>
          <cell r="BK489">
            <v>6300</v>
          </cell>
          <cell r="BL489" t="str">
            <v>0</v>
          </cell>
          <cell r="BM489" t="str">
            <v>1</v>
          </cell>
          <cell r="BN489" t="str">
            <v/>
          </cell>
          <cell r="BO489" t="str">
            <v/>
          </cell>
        </row>
        <row r="490">
          <cell r="A490">
            <v>1</v>
          </cell>
          <cell r="B490">
            <v>1333600</v>
          </cell>
          <cell r="C490" t="str">
            <v>TRANSFORMATEUR</v>
          </cell>
          <cell r="D490" t="str">
            <v>2400V/600V 1500 KVA</v>
          </cell>
          <cell r="E490" t="str">
            <v>O</v>
          </cell>
          <cell r="F490">
            <v>0</v>
          </cell>
          <cell r="G490">
            <v>0</v>
          </cell>
          <cell r="H490">
            <v>8000</v>
          </cell>
          <cell r="I490">
            <v>8000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8000</v>
          </cell>
          <cell r="V490">
            <v>8000</v>
          </cell>
          <cell r="W490">
            <v>8000</v>
          </cell>
          <cell r="X490">
            <v>8000</v>
          </cell>
          <cell r="Y490">
            <v>8000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 t="str">
            <v/>
          </cell>
          <cell r="AO490">
            <v>0</v>
          </cell>
          <cell r="AP490">
            <v>0</v>
          </cell>
          <cell r="AQ490">
            <v>0</v>
          </cell>
          <cell r="AR490">
            <v>290</v>
          </cell>
          <cell r="AS490">
            <v>0</v>
          </cell>
          <cell r="AT490" t="str">
            <v/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240</v>
          </cell>
          <cell r="BJ490" t="str">
            <v/>
          </cell>
          <cell r="BK490">
            <v>1700</v>
          </cell>
          <cell r="BL490" t="str">
            <v>1</v>
          </cell>
          <cell r="BM490" t="str">
            <v>1</v>
          </cell>
          <cell r="BN490" t="str">
            <v/>
          </cell>
          <cell r="BO490" t="str">
            <v/>
          </cell>
        </row>
        <row r="491">
          <cell r="A491">
            <v>1</v>
          </cell>
          <cell r="B491">
            <v>4552951</v>
          </cell>
          <cell r="C491" t="str">
            <v>MATERIEL ROULANT</v>
          </cell>
          <cell r="D491" t="str">
            <v>ENT. CHARIOTS -LIFT 295</v>
          </cell>
          <cell r="E491" t="str">
            <v>O</v>
          </cell>
          <cell r="F491">
            <v>0</v>
          </cell>
          <cell r="G491">
            <v>0</v>
          </cell>
          <cell r="H491">
            <v>975.26</v>
          </cell>
          <cell r="I491">
            <v>1102.08</v>
          </cell>
          <cell r="J491">
            <v>126.82</v>
          </cell>
          <cell r="K491">
            <v>0</v>
          </cell>
          <cell r="L491">
            <v>937.14</v>
          </cell>
          <cell r="M491">
            <v>126.82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233.92</v>
          </cell>
          <cell r="V491">
            <v>385.36</v>
          </cell>
          <cell r="W491">
            <v>547.38</v>
          </cell>
          <cell r="X491">
            <v>975.26</v>
          </cell>
          <cell r="Y491">
            <v>1785.58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1</v>
          </cell>
          <cell r="AN491" t="str">
            <v/>
          </cell>
          <cell r="AO491">
            <v>0</v>
          </cell>
          <cell r="AP491">
            <v>0</v>
          </cell>
          <cell r="AQ491">
            <v>0</v>
          </cell>
          <cell r="AR491">
            <v>750</v>
          </cell>
          <cell r="AS491">
            <v>0</v>
          </cell>
          <cell r="AT491" t="str">
            <v/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 t="str">
            <v/>
          </cell>
          <cell r="BK491">
            <v>7000</v>
          </cell>
          <cell r="BL491" t="str">
            <v>0</v>
          </cell>
          <cell r="BM491" t="str">
            <v>1</v>
          </cell>
          <cell r="BN491" t="str">
            <v/>
          </cell>
          <cell r="BO491" t="str">
            <v/>
          </cell>
        </row>
        <row r="492">
          <cell r="A492">
            <v>1</v>
          </cell>
          <cell r="B492">
            <v>1313610</v>
          </cell>
          <cell r="C492" t="str">
            <v>AFFICHE EXTERIEUR</v>
          </cell>
          <cell r="D492" t="str">
            <v/>
          </cell>
          <cell r="E492" t="str">
            <v>N</v>
          </cell>
          <cell r="F492">
            <v>0</v>
          </cell>
          <cell r="G492">
            <v>0</v>
          </cell>
          <cell r="H492">
            <v>6678.5</v>
          </cell>
          <cell r="I492">
            <v>6678.5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6678.5</v>
          </cell>
          <cell r="W492">
            <v>6678.5</v>
          </cell>
          <cell r="X492">
            <v>6678.5</v>
          </cell>
          <cell r="Y492">
            <v>6678.5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 t="str">
            <v/>
          </cell>
          <cell r="AO492">
            <v>0</v>
          </cell>
          <cell r="AP492">
            <v>0</v>
          </cell>
          <cell r="AQ492">
            <v>0</v>
          </cell>
          <cell r="AR492">
            <v>280</v>
          </cell>
          <cell r="AS492">
            <v>0</v>
          </cell>
          <cell r="AT492" t="str">
            <v/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396</v>
          </cell>
          <cell r="BJ492" t="str">
            <v/>
          </cell>
          <cell r="BK492">
            <v>1700</v>
          </cell>
          <cell r="BL492" t="str">
            <v>1</v>
          </cell>
          <cell r="BM492" t="str">
            <v>1</v>
          </cell>
          <cell r="BN492" t="str">
            <v/>
          </cell>
          <cell r="BO492" t="str">
            <v/>
          </cell>
        </row>
        <row r="493">
          <cell r="A493">
            <v>1</v>
          </cell>
          <cell r="B493">
            <v>4293412</v>
          </cell>
          <cell r="C493" t="str">
            <v>BOITES DE CARTONS</v>
          </cell>
          <cell r="D493" t="str">
            <v>1013414403</v>
          </cell>
          <cell r="E493" t="str">
            <v>O</v>
          </cell>
          <cell r="F493">
            <v>0</v>
          </cell>
          <cell r="G493">
            <v>0</v>
          </cell>
          <cell r="H493">
            <v>4057.34</v>
          </cell>
          <cell r="I493">
            <v>4767.13</v>
          </cell>
          <cell r="J493">
            <v>709.79</v>
          </cell>
          <cell r="K493">
            <v>0</v>
          </cell>
          <cell r="L493">
            <v>664.24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2096.65</v>
          </cell>
          <cell r="U493">
            <v>2732.56</v>
          </cell>
          <cell r="V493">
            <v>3375.96</v>
          </cell>
          <cell r="W493">
            <v>4057.34</v>
          </cell>
          <cell r="X493">
            <v>4057.34</v>
          </cell>
          <cell r="Y493">
            <v>4721.58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2</v>
          </cell>
          <cell r="AN493" t="str">
            <v/>
          </cell>
          <cell r="AO493">
            <v>0</v>
          </cell>
          <cell r="AP493">
            <v>0</v>
          </cell>
          <cell r="AQ493">
            <v>0</v>
          </cell>
          <cell r="AR493">
            <v>740</v>
          </cell>
          <cell r="AS493">
            <v>0</v>
          </cell>
          <cell r="AT493" t="str">
            <v/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20341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 t="str">
            <v/>
          </cell>
          <cell r="BK493">
            <v>6300</v>
          </cell>
          <cell r="BL493" t="str">
            <v>0</v>
          </cell>
          <cell r="BM493" t="str">
            <v>1</v>
          </cell>
          <cell r="BN493" t="str">
            <v/>
          </cell>
          <cell r="BO493" t="str">
            <v/>
          </cell>
        </row>
        <row r="494">
          <cell r="A494">
            <v>1</v>
          </cell>
          <cell r="B494">
            <v>4293422</v>
          </cell>
          <cell r="C494" t="str">
            <v>BOITES DE CARTONS</v>
          </cell>
          <cell r="D494" t="str">
            <v>1013424412</v>
          </cell>
          <cell r="E494" t="str">
            <v>O</v>
          </cell>
          <cell r="F494">
            <v>0</v>
          </cell>
          <cell r="G494">
            <v>0</v>
          </cell>
          <cell r="H494">
            <v>17061.03</v>
          </cell>
          <cell r="I494">
            <v>20624.88</v>
          </cell>
          <cell r="J494">
            <v>3563.85</v>
          </cell>
          <cell r="K494">
            <v>0</v>
          </cell>
          <cell r="L494">
            <v>2138.35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2463.61</v>
          </cell>
          <cell r="U494">
            <v>4646.83</v>
          </cell>
          <cell r="V494">
            <v>9922.6299999999992</v>
          </cell>
          <cell r="W494">
            <v>13388.95</v>
          </cell>
          <cell r="X494">
            <v>17061.03</v>
          </cell>
          <cell r="Y494">
            <v>19199.38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2</v>
          </cell>
          <cell r="AN494" t="str">
            <v/>
          </cell>
          <cell r="AO494">
            <v>0</v>
          </cell>
          <cell r="AP494">
            <v>0</v>
          </cell>
          <cell r="AQ494">
            <v>0</v>
          </cell>
          <cell r="AR494">
            <v>740</v>
          </cell>
          <cell r="AS494">
            <v>0</v>
          </cell>
          <cell r="AT494" t="str">
            <v/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20342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 t="str">
            <v/>
          </cell>
          <cell r="BK494">
            <v>6300</v>
          </cell>
          <cell r="BL494" t="str">
            <v>0</v>
          </cell>
          <cell r="BM494" t="str">
            <v>1</v>
          </cell>
          <cell r="BN494" t="str">
            <v/>
          </cell>
          <cell r="BO494" t="str">
            <v/>
          </cell>
        </row>
        <row r="495">
          <cell r="A495">
            <v>1</v>
          </cell>
          <cell r="B495">
            <v>4293472</v>
          </cell>
          <cell r="C495" t="str">
            <v>BOITES DE CARTONS</v>
          </cell>
          <cell r="D495" t="str">
            <v>1013474413</v>
          </cell>
          <cell r="E495" t="str">
            <v>O</v>
          </cell>
          <cell r="F495">
            <v>0</v>
          </cell>
          <cell r="G495">
            <v>0</v>
          </cell>
          <cell r="H495">
            <v>30935.3</v>
          </cell>
          <cell r="I495">
            <v>36781.11</v>
          </cell>
          <cell r="J495">
            <v>5845.81</v>
          </cell>
          <cell r="K495">
            <v>0</v>
          </cell>
          <cell r="L495">
            <v>5835.66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7061.5</v>
          </cell>
          <cell r="U495">
            <v>13936.21</v>
          </cell>
          <cell r="V495">
            <v>16643.77</v>
          </cell>
          <cell r="W495">
            <v>22182.47</v>
          </cell>
          <cell r="X495">
            <v>30935.3</v>
          </cell>
          <cell r="Y495">
            <v>36770.959999999999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2</v>
          </cell>
          <cell r="AN495" t="str">
            <v/>
          </cell>
          <cell r="AO495">
            <v>0</v>
          </cell>
          <cell r="AP495">
            <v>0</v>
          </cell>
          <cell r="AQ495">
            <v>0</v>
          </cell>
          <cell r="AR495">
            <v>740</v>
          </cell>
          <cell r="AS495">
            <v>0</v>
          </cell>
          <cell r="AT495" t="str">
            <v/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20347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 t="str">
            <v/>
          </cell>
          <cell r="BK495">
            <v>6300</v>
          </cell>
          <cell r="BL495" t="str">
            <v>0</v>
          </cell>
          <cell r="BM495" t="str">
            <v>1</v>
          </cell>
          <cell r="BN495" t="str">
            <v/>
          </cell>
          <cell r="BO495" t="str">
            <v/>
          </cell>
        </row>
        <row r="496">
          <cell r="A496">
            <v>1</v>
          </cell>
          <cell r="B496">
            <v>4293482</v>
          </cell>
          <cell r="C496" t="str">
            <v>BOITES DE CARTONS</v>
          </cell>
          <cell r="D496" t="str">
            <v>1013484414</v>
          </cell>
          <cell r="E496" t="str">
            <v>O</v>
          </cell>
          <cell r="F496">
            <v>0</v>
          </cell>
          <cell r="G496">
            <v>0</v>
          </cell>
          <cell r="H496">
            <v>3293.28</v>
          </cell>
          <cell r="I496">
            <v>4403.95</v>
          </cell>
          <cell r="J496">
            <v>1110.67</v>
          </cell>
          <cell r="K496">
            <v>0</v>
          </cell>
          <cell r="L496">
            <v>382.3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935.6</v>
          </cell>
          <cell r="U496">
            <v>1218.17</v>
          </cell>
          <cell r="V496">
            <v>1537.04</v>
          </cell>
          <cell r="W496">
            <v>2635.09</v>
          </cell>
          <cell r="X496">
            <v>3293.28</v>
          </cell>
          <cell r="Y496">
            <v>3675.58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2</v>
          </cell>
          <cell r="AN496" t="str">
            <v/>
          </cell>
          <cell r="AO496">
            <v>0</v>
          </cell>
          <cell r="AP496">
            <v>0</v>
          </cell>
          <cell r="AQ496">
            <v>0</v>
          </cell>
          <cell r="AR496">
            <v>740</v>
          </cell>
          <cell r="AS496">
            <v>0</v>
          </cell>
          <cell r="AT496" t="str">
            <v/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20348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 t="str">
            <v/>
          </cell>
          <cell r="BK496">
            <v>6300</v>
          </cell>
          <cell r="BL496" t="str">
            <v>0</v>
          </cell>
          <cell r="BM496" t="str">
            <v>1</v>
          </cell>
          <cell r="BN496" t="str">
            <v/>
          </cell>
          <cell r="BO496" t="str">
            <v/>
          </cell>
        </row>
        <row r="497">
          <cell r="A497">
            <v>1</v>
          </cell>
          <cell r="B497">
            <v>4293492</v>
          </cell>
          <cell r="C497" t="str">
            <v>BOITES DE CARTONS</v>
          </cell>
          <cell r="D497" t="str">
            <v>1013494415</v>
          </cell>
          <cell r="E497" t="str">
            <v>O</v>
          </cell>
          <cell r="F497">
            <v>0</v>
          </cell>
          <cell r="G497">
            <v>0</v>
          </cell>
          <cell r="H497">
            <v>6270.31</v>
          </cell>
          <cell r="I497">
            <v>6329.54</v>
          </cell>
          <cell r="J497">
            <v>59.23</v>
          </cell>
          <cell r="K497">
            <v>0</v>
          </cell>
          <cell r="L497">
            <v>3184.47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2014.36</v>
          </cell>
          <cell r="U497">
            <v>3340.12</v>
          </cell>
          <cell r="V497">
            <v>4229.83</v>
          </cell>
          <cell r="W497">
            <v>4229.83</v>
          </cell>
          <cell r="X497">
            <v>6270.31</v>
          </cell>
          <cell r="Y497">
            <v>9454.7800000000007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2</v>
          </cell>
          <cell r="AN497" t="str">
            <v/>
          </cell>
          <cell r="AO497">
            <v>0</v>
          </cell>
          <cell r="AP497">
            <v>0</v>
          </cell>
          <cell r="AQ497">
            <v>0</v>
          </cell>
          <cell r="AR497">
            <v>740</v>
          </cell>
          <cell r="AS497">
            <v>0</v>
          </cell>
          <cell r="AT497" t="str">
            <v/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20349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 t="str">
            <v/>
          </cell>
          <cell r="BK497">
            <v>6300</v>
          </cell>
          <cell r="BL497" t="str">
            <v>0</v>
          </cell>
          <cell r="BM497" t="str">
            <v>1</v>
          </cell>
          <cell r="BN497" t="str">
            <v/>
          </cell>
          <cell r="BO497" t="str">
            <v/>
          </cell>
        </row>
        <row r="498">
          <cell r="A498">
            <v>1</v>
          </cell>
          <cell r="B498">
            <v>4293502</v>
          </cell>
          <cell r="C498" t="str">
            <v>BOITES DE CARTONS</v>
          </cell>
          <cell r="D498" t="str">
            <v>1013504416</v>
          </cell>
          <cell r="E498" t="str">
            <v>O</v>
          </cell>
          <cell r="F498">
            <v>0</v>
          </cell>
          <cell r="G498">
            <v>0</v>
          </cell>
          <cell r="H498">
            <v>5628.45</v>
          </cell>
          <cell r="I498">
            <v>5722.42</v>
          </cell>
          <cell r="J498">
            <v>93.97</v>
          </cell>
          <cell r="K498">
            <v>0</v>
          </cell>
          <cell r="L498">
            <v>2981.16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1670.26</v>
          </cell>
          <cell r="U498">
            <v>3773.84</v>
          </cell>
          <cell r="V498">
            <v>4799.8999999999996</v>
          </cell>
          <cell r="W498">
            <v>4799.8999999999996</v>
          </cell>
          <cell r="X498">
            <v>5628.45</v>
          </cell>
          <cell r="Y498">
            <v>8609.61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2</v>
          </cell>
          <cell r="AN498" t="str">
            <v/>
          </cell>
          <cell r="AO498">
            <v>0</v>
          </cell>
          <cell r="AP498">
            <v>0</v>
          </cell>
          <cell r="AQ498">
            <v>0</v>
          </cell>
          <cell r="AR498">
            <v>740</v>
          </cell>
          <cell r="AS498">
            <v>0</v>
          </cell>
          <cell r="AT498" t="str">
            <v/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20350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 t="str">
            <v/>
          </cell>
          <cell r="BK498">
            <v>6300</v>
          </cell>
          <cell r="BL498" t="str">
            <v>0</v>
          </cell>
          <cell r="BM498" t="str">
            <v>1</v>
          </cell>
          <cell r="BN498" t="str">
            <v/>
          </cell>
          <cell r="BO498" t="str">
            <v/>
          </cell>
        </row>
        <row r="499">
          <cell r="A499">
            <v>1</v>
          </cell>
          <cell r="B499">
            <v>4293512</v>
          </cell>
          <cell r="C499" t="str">
            <v>BOITES DE CARTONS</v>
          </cell>
          <cell r="D499" t="str">
            <v>1013514428</v>
          </cell>
          <cell r="E499" t="str">
            <v>O</v>
          </cell>
          <cell r="F499">
            <v>0</v>
          </cell>
          <cell r="G499">
            <v>0</v>
          </cell>
          <cell r="H499">
            <v>2990.39</v>
          </cell>
          <cell r="I499">
            <v>3123.66</v>
          </cell>
          <cell r="J499">
            <v>133.27000000000001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2983.39</v>
          </cell>
          <cell r="V499">
            <v>2990.39</v>
          </cell>
          <cell r="W499">
            <v>2990.39</v>
          </cell>
          <cell r="X499">
            <v>2990.39</v>
          </cell>
          <cell r="Y499">
            <v>2990.39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2</v>
          </cell>
          <cell r="AN499" t="str">
            <v/>
          </cell>
          <cell r="AO499">
            <v>0</v>
          </cell>
          <cell r="AP499">
            <v>0</v>
          </cell>
          <cell r="AQ499">
            <v>0</v>
          </cell>
          <cell r="AR499">
            <v>740</v>
          </cell>
          <cell r="AS499">
            <v>0</v>
          </cell>
          <cell r="AT499" t="str">
            <v/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20351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 t="str">
            <v/>
          </cell>
          <cell r="BK499">
            <v>6300</v>
          </cell>
          <cell r="BL499" t="str">
            <v>0</v>
          </cell>
          <cell r="BM499" t="str">
            <v>1</v>
          </cell>
          <cell r="BN499" t="str">
            <v/>
          </cell>
          <cell r="BO499" t="str">
            <v/>
          </cell>
        </row>
        <row r="500">
          <cell r="A500">
            <v>1</v>
          </cell>
          <cell r="B500">
            <v>4552961</v>
          </cell>
          <cell r="C500" t="str">
            <v>MATERIEL ROULANT</v>
          </cell>
          <cell r="D500" t="str">
            <v>ENT. CHARIOTS -LIFT 296</v>
          </cell>
          <cell r="E500" t="str">
            <v>O</v>
          </cell>
          <cell r="F500">
            <v>0</v>
          </cell>
          <cell r="G500">
            <v>0</v>
          </cell>
          <cell r="H500">
            <v>837.62</v>
          </cell>
          <cell r="I500">
            <v>1238.42</v>
          </cell>
          <cell r="J500">
            <v>400.8</v>
          </cell>
          <cell r="K500">
            <v>0</v>
          </cell>
          <cell r="L500">
            <v>1199.8499999999999</v>
          </cell>
          <cell r="M500">
            <v>193.04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113.03</v>
          </cell>
          <cell r="V500">
            <v>259.49</v>
          </cell>
          <cell r="W500">
            <v>644.58000000000004</v>
          </cell>
          <cell r="X500">
            <v>837.62</v>
          </cell>
          <cell r="Y500">
            <v>1844.43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1</v>
          </cell>
          <cell r="AN500" t="str">
            <v/>
          </cell>
          <cell r="AO500">
            <v>0</v>
          </cell>
          <cell r="AP500">
            <v>0</v>
          </cell>
          <cell r="AQ500">
            <v>0</v>
          </cell>
          <cell r="AR500">
            <v>750</v>
          </cell>
          <cell r="AS500">
            <v>0</v>
          </cell>
          <cell r="AT500" t="str">
            <v/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 t="str">
            <v/>
          </cell>
          <cell r="BK500">
            <v>7000</v>
          </cell>
          <cell r="BL500" t="str">
            <v>0</v>
          </cell>
          <cell r="BM500" t="str">
            <v>1</v>
          </cell>
          <cell r="BN500" t="str">
            <v/>
          </cell>
          <cell r="BO500" t="str">
            <v/>
          </cell>
        </row>
        <row r="501">
          <cell r="A501">
            <v>1</v>
          </cell>
          <cell r="B501">
            <v>4460773</v>
          </cell>
          <cell r="C501" t="str">
            <v>MECANICIENS     ENTRETIEN</v>
          </cell>
          <cell r="D501" t="str">
            <v>SACS - IMPRIMERIE #77</v>
          </cell>
          <cell r="E501" t="str">
            <v>O</v>
          </cell>
          <cell r="F501">
            <v>0</v>
          </cell>
          <cell r="G501">
            <v>0</v>
          </cell>
          <cell r="H501">
            <v>701.2</v>
          </cell>
          <cell r="I501">
            <v>871.62</v>
          </cell>
          <cell r="J501">
            <v>170.42</v>
          </cell>
          <cell r="K501">
            <v>0</v>
          </cell>
          <cell r="L501">
            <v>219.38</v>
          </cell>
          <cell r="M501">
            <v>187.46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513.74</v>
          </cell>
          <cell r="W501">
            <v>513.74</v>
          </cell>
          <cell r="X501">
            <v>701.2</v>
          </cell>
          <cell r="Y501">
            <v>733.12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3</v>
          </cell>
          <cell r="AN501" t="str">
            <v/>
          </cell>
          <cell r="AO501">
            <v>0</v>
          </cell>
          <cell r="AP501">
            <v>0</v>
          </cell>
          <cell r="AQ501">
            <v>0</v>
          </cell>
          <cell r="AR501">
            <v>700</v>
          </cell>
          <cell r="AS501">
            <v>0</v>
          </cell>
          <cell r="AT501" t="str">
            <v/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 t="str">
            <v/>
          </cell>
          <cell r="BK501">
            <v>7000</v>
          </cell>
          <cell r="BL501" t="str">
            <v>0</v>
          </cell>
          <cell r="BM501" t="str">
            <v>1</v>
          </cell>
          <cell r="BN501" t="str">
            <v/>
          </cell>
          <cell r="BO501" t="str">
            <v/>
          </cell>
        </row>
        <row r="502">
          <cell r="A502">
            <v>1</v>
          </cell>
          <cell r="B502">
            <v>4294072</v>
          </cell>
          <cell r="C502" t="str">
            <v>BOITES DE CARTONS</v>
          </cell>
          <cell r="D502" t="str">
            <v>1014074418</v>
          </cell>
          <cell r="E502" t="str">
            <v>O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2</v>
          </cell>
          <cell r="AN502" t="str">
            <v/>
          </cell>
          <cell r="AO502">
            <v>0</v>
          </cell>
          <cell r="AP502">
            <v>0</v>
          </cell>
          <cell r="AQ502">
            <v>0</v>
          </cell>
          <cell r="AR502">
            <v>740</v>
          </cell>
          <cell r="AS502">
            <v>0</v>
          </cell>
          <cell r="AT502" t="str">
            <v/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20407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 t="str">
            <v/>
          </cell>
          <cell r="BK502">
            <v>6300</v>
          </cell>
          <cell r="BL502" t="str">
            <v>0</v>
          </cell>
          <cell r="BM502" t="str">
            <v>1</v>
          </cell>
          <cell r="BN502" t="str">
            <v/>
          </cell>
          <cell r="BO502" t="str">
            <v/>
          </cell>
        </row>
        <row r="503">
          <cell r="A503">
            <v>1</v>
          </cell>
          <cell r="B503">
            <v>4294082</v>
          </cell>
          <cell r="C503" t="str">
            <v>BOITES DE CARTONS</v>
          </cell>
          <cell r="D503" t="str">
            <v>1014084409</v>
          </cell>
          <cell r="E503" t="str">
            <v>O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2</v>
          </cell>
          <cell r="AN503" t="str">
            <v/>
          </cell>
          <cell r="AO503">
            <v>0</v>
          </cell>
          <cell r="AP503">
            <v>0</v>
          </cell>
          <cell r="AQ503">
            <v>0</v>
          </cell>
          <cell r="AR503">
            <v>740</v>
          </cell>
          <cell r="AS503">
            <v>0</v>
          </cell>
          <cell r="AT503" t="str">
            <v/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20408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 t="str">
            <v/>
          </cell>
          <cell r="BK503">
            <v>6300</v>
          </cell>
          <cell r="BL503" t="str">
            <v>0</v>
          </cell>
          <cell r="BM503" t="str">
            <v>1</v>
          </cell>
          <cell r="BN503" t="str">
            <v/>
          </cell>
          <cell r="BO503" t="str">
            <v/>
          </cell>
        </row>
        <row r="504">
          <cell r="A504">
            <v>1</v>
          </cell>
          <cell r="B504">
            <v>4294092</v>
          </cell>
          <cell r="C504" t="str">
            <v>BOITES DE CARTONS</v>
          </cell>
          <cell r="D504" t="str">
            <v>1014094419</v>
          </cell>
          <cell r="E504" t="str">
            <v>O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2</v>
          </cell>
          <cell r="AN504" t="str">
            <v/>
          </cell>
          <cell r="AO504">
            <v>0</v>
          </cell>
          <cell r="AP504">
            <v>0</v>
          </cell>
          <cell r="AQ504">
            <v>0</v>
          </cell>
          <cell r="AR504">
            <v>740</v>
          </cell>
          <cell r="AS504">
            <v>0</v>
          </cell>
          <cell r="AT504" t="str">
            <v/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20409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 t="str">
            <v/>
          </cell>
          <cell r="BK504">
            <v>6300</v>
          </cell>
          <cell r="BL504" t="str">
            <v>0</v>
          </cell>
          <cell r="BM504" t="str">
            <v>1</v>
          </cell>
          <cell r="BN504" t="str">
            <v/>
          </cell>
          <cell r="BO504" t="str">
            <v/>
          </cell>
        </row>
        <row r="505">
          <cell r="A505">
            <v>1</v>
          </cell>
          <cell r="B505">
            <v>4294112</v>
          </cell>
          <cell r="C505" t="str">
            <v>BOITES DE CARTONS</v>
          </cell>
          <cell r="D505" t="str">
            <v>1014114420</v>
          </cell>
          <cell r="E505" t="str">
            <v>O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2</v>
          </cell>
          <cell r="AN505" t="str">
            <v/>
          </cell>
          <cell r="AO505">
            <v>0</v>
          </cell>
          <cell r="AP505">
            <v>0</v>
          </cell>
          <cell r="AQ505">
            <v>0</v>
          </cell>
          <cell r="AR505">
            <v>740</v>
          </cell>
          <cell r="AS505">
            <v>0</v>
          </cell>
          <cell r="AT505" t="str">
            <v/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20411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 t="str">
            <v/>
          </cell>
          <cell r="BK505">
            <v>6300</v>
          </cell>
          <cell r="BL505" t="str">
            <v>0</v>
          </cell>
          <cell r="BM505" t="str">
            <v>1</v>
          </cell>
          <cell r="BN505" t="str">
            <v/>
          </cell>
          <cell r="BO505" t="str">
            <v/>
          </cell>
        </row>
        <row r="506">
          <cell r="A506">
            <v>1</v>
          </cell>
          <cell r="B506">
            <v>4294122</v>
          </cell>
          <cell r="C506" t="str">
            <v>BOITES DE CARTONS</v>
          </cell>
          <cell r="D506" t="str">
            <v>1014124410</v>
          </cell>
          <cell r="E506" t="str">
            <v>O</v>
          </cell>
          <cell r="F506">
            <v>0</v>
          </cell>
          <cell r="G506">
            <v>0</v>
          </cell>
          <cell r="H506">
            <v>998.41</v>
          </cell>
          <cell r="I506">
            <v>998.41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998.41</v>
          </cell>
          <cell r="U506">
            <v>998.41</v>
          </cell>
          <cell r="V506">
            <v>998.41</v>
          </cell>
          <cell r="W506">
            <v>998.41</v>
          </cell>
          <cell r="X506">
            <v>998.41</v>
          </cell>
          <cell r="Y506">
            <v>998.41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2</v>
          </cell>
          <cell r="AN506" t="str">
            <v/>
          </cell>
          <cell r="AO506">
            <v>0</v>
          </cell>
          <cell r="AP506">
            <v>0</v>
          </cell>
          <cell r="AQ506">
            <v>0</v>
          </cell>
          <cell r="AR506">
            <v>740</v>
          </cell>
          <cell r="AS506">
            <v>0</v>
          </cell>
          <cell r="AT506" t="str">
            <v/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20412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 t="str">
            <v/>
          </cell>
          <cell r="BK506">
            <v>6300</v>
          </cell>
          <cell r="BL506" t="str">
            <v>0</v>
          </cell>
          <cell r="BM506" t="str">
            <v>1</v>
          </cell>
          <cell r="BN506" t="str">
            <v/>
          </cell>
          <cell r="BO506" t="str">
            <v/>
          </cell>
        </row>
        <row r="507">
          <cell r="A507">
            <v>1</v>
          </cell>
          <cell r="B507">
            <v>4294132</v>
          </cell>
          <cell r="C507" t="str">
            <v>BOITES DE CARTONS</v>
          </cell>
          <cell r="D507" t="str">
            <v>1014134421</v>
          </cell>
          <cell r="E507" t="str">
            <v>O</v>
          </cell>
          <cell r="F507">
            <v>0</v>
          </cell>
          <cell r="G507">
            <v>0</v>
          </cell>
          <cell r="H507">
            <v>1872.54</v>
          </cell>
          <cell r="I507">
            <v>1891.83</v>
          </cell>
          <cell r="J507">
            <v>19.29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1413.77</v>
          </cell>
          <cell r="U507">
            <v>1845.61</v>
          </cell>
          <cell r="V507">
            <v>1872.54</v>
          </cell>
          <cell r="W507">
            <v>1872.54</v>
          </cell>
          <cell r="X507">
            <v>1872.54</v>
          </cell>
          <cell r="Y507">
            <v>1872.54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2</v>
          </cell>
          <cell r="AN507" t="str">
            <v/>
          </cell>
          <cell r="AO507">
            <v>0</v>
          </cell>
          <cell r="AP507">
            <v>0</v>
          </cell>
          <cell r="AQ507">
            <v>0</v>
          </cell>
          <cell r="AR507">
            <v>740</v>
          </cell>
          <cell r="AS507">
            <v>0</v>
          </cell>
          <cell r="AT507" t="str">
            <v/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20413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 t="str">
            <v/>
          </cell>
          <cell r="BK507">
            <v>6300</v>
          </cell>
          <cell r="BL507" t="str">
            <v>0</v>
          </cell>
          <cell r="BM507" t="str">
            <v>1</v>
          </cell>
          <cell r="BN507" t="str">
            <v/>
          </cell>
          <cell r="BO507" t="str">
            <v/>
          </cell>
        </row>
        <row r="508">
          <cell r="A508">
            <v>1</v>
          </cell>
          <cell r="B508">
            <v>4294152</v>
          </cell>
          <cell r="C508" t="str">
            <v>BOITES DE CARTONS</v>
          </cell>
          <cell r="D508" t="str">
            <v>1014154422</v>
          </cell>
          <cell r="E508" t="str">
            <v>O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2</v>
          </cell>
          <cell r="AN508" t="str">
            <v/>
          </cell>
          <cell r="AO508">
            <v>0</v>
          </cell>
          <cell r="AP508">
            <v>0</v>
          </cell>
          <cell r="AQ508">
            <v>0</v>
          </cell>
          <cell r="AR508">
            <v>740</v>
          </cell>
          <cell r="AS508">
            <v>0</v>
          </cell>
          <cell r="AT508" t="str">
            <v/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20415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 t="str">
            <v/>
          </cell>
          <cell r="BK508">
            <v>6300</v>
          </cell>
          <cell r="BL508" t="str">
            <v>0</v>
          </cell>
          <cell r="BM508" t="str">
            <v>1</v>
          </cell>
          <cell r="BN508" t="str">
            <v/>
          </cell>
          <cell r="BO508" t="str">
            <v/>
          </cell>
        </row>
        <row r="509">
          <cell r="A509">
            <v>1</v>
          </cell>
          <cell r="B509">
            <v>4294172</v>
          </cell>
          <cell r="C509" t="str">
            <v>BOITES DE CARTONS</v>
          </cell>
          <cell r="D509" t="str">
            <v>1014174423</v>
          </cell>
          <cell r="E509" t="str">
            <v>O</v>
          </cell>
          <cell r="F509">
            <v>0</v>
          </cell>
          <cell r="G509">
            <v>0</v>
          </cell>
          <cell r="H509">
            <v>487.25</v>
          </cell>
          <cell r="I509">
            <v>507.7</v>
          </cell>
          <cell r="J509">
            <v>20.45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457.72</v>
          </cell>
          <cell r="V509">
            <v>487.25</v>
          </cell>
          <cell r="W509">
            <v>487.25</v>
          </cell>
          <cell r="X509">
            <v>487.25</v>
          </cell>
          <cell r="Y509">
            <v>487.25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2</v>
          </cell>
          <cell r="AN509" t="str">
            <v/>
          </cell>
          <cell r="AO509">
            <v>0</v>
          </cell>
          <cell r="AP509">
            <v>0</v>
          </cell>
          <cell r="AQ509">
            <v>0</v>
          </cell>
          <cell r="AR509">
            <v>740</v>
          </cell>
          <cell r="AS509">
            <v>0</v>
          </cell>
          <cell r="AT509" t="str">
            <v/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20417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 t="str">
            <v/>
          </cell>
          <cell r="BK509">
            <v>6300</v>
          </cell>
          <cell r="BL509" t="str">
            <v>0</v>
          </cell>
          <cell r="BM509" t="str">
            <v>1</v>
          </cell>
          <cell r="BN509" t="str">
            <v/>
          </cell>
          <cell r="BO509" t="str">
            <v/>
          </cell>
        </row>
        <row r="510">
          <cell r="A510">
            <v>1</v>
          </cell>
          <cell r="B510">
            <v>4460753</v>
          </cell>
          <cell r="C510" t="str">
            <v>MECANICIENS     ENTRETIEN</v>
          </cell>
          <cell r="D510" t="str">
            <v>SACS - IMPRIMERIE #75</v>
          </cell>
          <cell r="E510" t="str">
            <v>O</v>
          </cell>
          <cell r="F510">
            <v>0</v>
          </cell>
          <cell r="G510">
            <v>0</v>
          </cell>
          <cell r="H510">
            <v>487.59</v>
          </cell>
          <cell r="I510">
            <v>487.59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462.93</v>
          </cell>
          <cell r="W510">
            <v>487.59</v>
          </cell>
          <cell r="X510">
            <v>487.59</v>
          </cell>
          <cell r="Y510">
            <v>487.59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3</v>
          </cell>
          <cell r="AN510" t="str">
            <v/>
          </cell>
          <cell r="AO510">
            <v>0</v>
          </cell>
          <cell r="AP510">
            <v>0</v>
          </cell>
          <cell r="AQ510">
            <v>0</v>
          </cell>
          <cell r="AR510">
            <v>700</v>
          </cell>
          <cell r="AS510">
            <v>0</v>
          </cell>
          <cell r="AT510" t="str">
            <v/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 t="str">
            <v/>
          </cell>
          <cell r="BK510">
            <v>7000</v>
          </cell>
          <cell r="BL510" t="str">
            <v>0</v>
          </cell>
          <cell r="BM510" t="str">
            <v>1</v>
          </cell>
          <cell r="BN510" t="str">
            <v/>
          </cell>
          <cell r="BO510" t="str">
            <v/>
          </cell>
        </row>
        <row r="511">
          <cell r="A511">
            <v>1</v>
          </cell>
          <cell r="B511">
            <v>4294202</v>
          </cell>
          <cell r="C511" t="str">
            <v>BOITES DE CARTONS</v>
          </cell>
          <cell r="D511" t="str">
            <v>1014204429</v>
          </cell>
          <cell r="E511" t="str">
            <v>O</v>
          </cell>
          <cell r="F511">
            <v>0</v>
          </cell>
          <cell r="G511">
            <v>0</v>
          </cell>
          <cell r="H511">
            <v>16945.240000000002</v>
          </cell>
          <cell r="I511">
            <v>20187.97</v>
          </cell>
          <cell r="J511">
            <v>3242.73</v>
          </cell>
          <cell r="K511">
            <v>0</v>
          </cell>
          <cell r="L511">
            <v>5143.25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1839.91</v>
          </cell>
          <cell r="U511">
            <v>6610.13</v>
          </cell>
          <cell r="V511">
            <v>10053.14</v>
          </cell>
          <cell r="W511">
            <v>13082.77</v>
          </cell>
          <cell r="X511">
            <v>16945.240000000002</v>
          </cell>
          <cell r="Y511">
            <v>22088.49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2</v>
          </cell>
          <cell r="AN511" t="str">
            <v/>
          </cell>
          <cell r="AO511">
            <v>0</v>
          </cell>
          <cell r="AP511">
            <v>0</v>
          </cell>
          <cell r="AQ511">
            <v>0</v>
          </cell>
          <cell r="AR511">
            <v>740</v>
          </cell>
          <cell r="AS511">
            <v>0</v>
          </cell>
          <cell r="AT511" t="str">
            <v/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20420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 t="str">
            <v/>
          </cell>
          <cell r="BK511">
            <v>6300</v>
          </cell>
          <cell r="BL511" t="str">
            <v>0</v>
          </cell>
          <cell r="BM511" t="str">
            <v>1</v>
          </cell>
          <cell r="BN511" t="str">
            <v/>
          </cell>
          <cell r="BO511" t="str">
            <v/>
          </cell>
        </row>
        <row r="512">
          <cell r="A512">
            <v>1</v>
          </cell>
          <cell r="B512">
            <v>4294222</v>
          </cell>
          <cell r="C512" t="str">
            <v>BOITES DE CARTONS</v>
          </cell>
          <cell r="D512" t="str">
            <v>1014224430</v>
          </cell>
          <cell r="E512" t="str">
            <v>O</v>
          </cell>
          <cell r="F512">
            <v>0</v>
          </cell>
          <cell r="G512">
            <v>0</v>
          </cell>
          <cell r="H512">
            <v>1478.41</v>
          </cell>
          <cell r="I512">
            <v>2183.4499999999998</v>
          </cell>
          <cell r="J512">
            <v>705.04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599.04</v>
          </cell>
          <cell r="V512">
            <v>800.13</v>
          </cell>
          <cell r="W512">
            <v>1478.41</v>
          </cell>
          <cell r="X512">
            <v>1478.41</v>
          </cell>
          <cell r="Y512">
            <v>1478.41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2</v>
          </cell>
          <cell r="AN512" t="str">
            <v/>
          </cell>
          <cell r="AO512">
            <v>0</v>
          </cell>
          <cell r="AP512">
            <v>0</v>
          </cell>
          <cell r="AQ512">
            <v>0</v>
          </cell>
          <cell r="AR512">
            <v>740</v>
          </cell>
          <cell r="AS512">
            <v>0</v>
          </cell>
          <cell r="AT512" t="str">
            <v/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20422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 t="str">
            <v/>
          </cell>
          <cell r="BK512">
            <v>6300</v>
          </cell>
          <cell r="BL512" t="str">
            <v>0</v>
          </cell>
          <cell r="BM512" t="str">
            <v>1</v>
          </cell>
          <cell r="BN512" t="str">
            <v/>
          </cell>
          <cell r="BO512" t="str">
            <v/>
          </cell>
        </row>
        <row r="513">
          <cell r="A513">
            <v>1</v>
          </cell>
          <cell r="B513">
            <v>4294232</v>
          </cell>
          <cell r="C513" t="str">
            <v>BOITES DE CARTONS</v>
          </cell>
          <cell r="D513" t="str">
            <v>1014234424</v>
          </cell>
          <cell r="E513" t="str">
            <v>O</v>
          </cell>
          <cell r="F513">
            <v>0</v>
          </cell>
          <cell r="G513">
            <v>0</v>
          </cell>
          <cell r="H513">
            <v>41.62</v>
          </cell>
          <cell r="I513">
            <v>41.62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41.62</v>
          </cell>
          <cell r="W513">
            <v>41.62</v>
          </cell>
          <cell r="X513">
            <v>41.62</v>
          </cell>
          <cell r="Y513">
            <v>41.62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2</v>
          </cell>
          <cell r="AN513" t="str">
            <v/>
          </cell>
          <cell r="AO513">
            <v>0</v>
          </cell>
          <cell r="AP513">
            <v>0</v>
          </cell>
          <cell r="AQ513">
            <v>0</v>
          </cell>
          <cell r="AR513">
            <v>740</v>
          </cell>
          <cell r="AS513">
            <v>0</v>
          </cell>
          <cell r="AT513" t="str">
            <v/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20423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 t="str">
            <v/>
          </cell>
          <cell r="BK513">
            <v>6300</v>
          </cell>
          <cell r="BL513" t="str">
            <v>0</v>
          </cell>
          <cell r="BM513" t="str">
            <v>1</v>
          </cell>
          <cell r="BN513" t="str">
            <v/>
          </cell>
          <cell r="BO513" t="str">
            <v/>
          </cell>
        </row>
        <row r="514">
          <cell r="A514">
            <v>1</v>
          </cell>
          <cell r="B514">
            <v>4294252</v>
          </cell>
          <cell r="C514" t="str">
            <v>BOITES DE CARTONS</v>
          </cell>
          <cell r="D514" t="str">
            <v>1014254425</v>
          </cell>
          <cell r="E514" t="str">
            <v>O</v>
          </cell>
          <cell r="F514">
            <v>0</v>
          </cell>
          <cell r="G514">
            <v>0</v>
          </cell>
          <cell r="H514">
            <v>4473.34</v>
          </cell>
          <cell r="I514">
            <v>4528.37</v>
          </cell>
          <cell r="J514">
            <v>55.03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650.72</v>
          </cell>
          <cell r="U514">
            <v>1882.63</v>
          </cell>
          <cell r="V514">
            <v>2984.42</v>
          </cell>
          <cell r="W514">
            <v>2984.42</v>
          </cell>
          <cell r="X514">
            <v>4473.34</v>
          </cell>
          <cell r="Y514">
            <v>4473.34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2</v>
          </cell>
          <cell r="AN514" t="str">
            <v/>
          </cell>
          <cell r="AO514">
            <v>0</v>
          </cell>
          <cell r="AP514">
            <v>0</v>
          </cell>
          <cell r="AQ514">
            <v>0</v>
          </cell>
          <cell r="AR514">
            <v>740</v>
          </cell>
          <cell r="AS514">
            <v>0</v>
          </cell>
          <cell r="AT514" t="str">
            <v/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20425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 t="str">
            <v/>
          </cell>
          <cell r="BK514">
            <v>6300</v>
          </cell>
          <cell r="BL514" t="str">
            <v>0</v>
          </cell>
          <cell r="BM514" t="str">
            <v>1</v>
          </cell>
          <cell r="BN514" t="str">
            <v/>
          </cell>
          <cell r="BO514" t="str">
            <v/>
          </cell>
        </row>
        <row r="515">
          <cell r="A515">
            <v>1</v>
          </cell>
          <cell r="B515">
            <v>4460833</v>
          </cell>
          <cell r="C515" t="str">
            <v>MECANICIENS     ENTRETIEN</v>
          </cell>
          <cell r="D515" t="str">
            <v>SACS - IMPRIMERIE #83</v>
          </cell>
          <cell r="E515" t="str">
            <v>O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3</v>
          </cell>
          <cell r="AN515" t="str">
            <v/>
          </cell>
          <cell r="AO515">
            <v>0</v>
          </cell>
          <cell r="AP515">
            <v>0</v>
          </cell>
          <cell r="AQ515">
            <v>0</v>
          </cell>
          <cell r="AR515">
            <v>700</v>
          </cell>
          <cell r="AS515">
            <v>0</v>
          </cell>
          <cell r="AT515" t="str">
            <v/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 t="str">
            <v/>
          </cell>
          <cell r="BK515">
            <v>7000</v>
          </cell>
          <cell r="BL515" t="str">
            <v>0</v>
          </cell>
          <cell r="BM515" t="str">
            <v>1</v>
          </cell>
          <cell r="BN515" t="str">
            <v/>
          </cell>
          <cell r="BO515" t="str">
            <v/>
          </cell>
        </row>
        <row r="516">
          <cell r="A516">
            <v>1</v>
          </cell>
          <cell r="B516">
            <v>4295502</v>
          </cell>
          <cell r="C516" t="str">
            <v>BOITES DE CARTONS</v>
          </cell>
          <cell r="D516" t="str">
            <v>1017504459</v>
          </cell>
          <cell r="E516" t="str">
            <v>O</v>
          </cell>
          <cell r="F516">
            <v>0</v>
          </cell>
          <cell r="G516">
            <v>0</v>
          </cell>
          <cell r="H516">
            <v>208407.14</v>
          </cell>
          <cell r="I516">
            <v>297215.14</v>
          </cell>
          <cell r="J516">
            <v>88808</v>
          </cell>
          <cell r="K516">
            <v>0</v>
          </cell>
          <cell r="L516">
            <v>26230.36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34403.17</v>
          </cell>
          <cell r="U516">
            <v>76149.02</v>
          </cell>
          <cell r="V516">
            <v>116840.33</v>
          </cell>
          <cell r="W516">
            <v>162347.81</v>
          </cell>
          <cell r="X516">
            <v>208407.14</v>
          </cell>
          <cell r="Y516">
            <v>234637.5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2</v>
          </cell>
          <cell r="AN516" t="str">
            <v/>
          </cell>
          <cell r="AO516">
            <v>0</v>
          </cell>
          <cell r="AP516">
            <v>0</v>
          </cell>
          <cell r="AQ516">
            <v>0</v>
          </cell>
          <cell r="AR516">
            <v>740</v>
          </cell>
          <cell r="AS516">
            <v>0</v>
          </cell>
          <cell r="AT516" t="str">
            <v/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20750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 t="str">
            <v/>
          </cell>
          <cell r="BK516">
            <v>6300</v>
          </cell>
          <cell r="BL516" t="str">
            <v>0</v>
          </cell>
          <cell r="BM516" t="str">
            <v>1</v>
          </cell>
          <cell r="BN516" t="str">
            <v/>
          </cell>
          <cell r="BO516" t="str">
            <v/>
          </cell>
        </row>
        <row r="517">
          <cell r="A517">
            <v>1</v>
          </cell>
          <cell r="B517">
            <v>4295512</v>
          </cell>
          <cell r="C517" t="str">
            <v>BOITES DE CARTONS</v>
          </cell>
          <cell r="D517" t="str">
            <v>1017514447</v>
          </cell>
          <cell r="E517" t="str">
            <v>O</v>
          </cell>
          <cell r="F517">
            <v>0</v>
          </cell>
          <cell r="G517">
            <v>0</v>
          </cell>
          <cell r="H517">
            <v>116418.13</v>
          </cell>
          <cell r="I517">
            <v>163307.32999999999</v>
          </cell>
          <cell r="J517">
            <v>46889.2</v>
          </cell>
          <cell r="K517">
            <v>0</v>
          </cell>
          <cell r="L517">
            <v>16663.099999999999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26755.51</v>
          </cell>
          <cell r="U517">
            <v>47425.95</v>
          </cell>
          <cell r="V517">
            <v>66087.63</v>
          </cell>
          <cell r="W517">
            <v>91835.64</v>
          </cell>
          <cell r="X517">
            <v>116418.13</v>
          </cell>
          <cell r="Y517">
            <v>133081.23000000001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2</v>
          </cell>
          <cell r="AN517" t="str">
            <v/>
          </cell>
          <cell r="AO517">
            <v>0</v>
          </cell>
          <cell r="AP517">
            <v>0</v>
          </cell>
          <cell r="AQ517">
            <v>0</v>
          </cell>
          <cell r="AR517">
            <v>740</v>
          </cell>
          <cell r="AS517">
            <v>0</v>
          </cell>
          <cell r="AT517" t="str">
            <v/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20751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 t="str">
            <v/>
          </cell>
          <cell r="BK517">
            <v>6300</v>
          </cell>
          <cell r="BL517" t="str">
            <v>0</v>
          </cell>
          <cell r="BM517" t="str">
            <v>1</v>
          </cell>
          <cell r="BN517" t="str">
            <v/>
          </cell>
          <cell r="BO517" t="str">
            <v/>
          </cell>
        </row>
        <row r="518">
          <cell r="A518">
            <v>1</v>
          </cell>
          <cell r="B518">
            <v>4460793</v>
          </cell>
          <cell r="C518" t="str">
            <v>MECANICIENS     ENTRETIEN</v>
          </cell>
          <cell r="D518" t="str">
            <v>SACS - IMPRIMERIE #79</v>
          </cell>
          <cell r="E518" t="str">
            <v>O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3</v>
          </cell>
          <cell r="AN518" t="str">
            <v/>
          </cell>
          <cell r="AO518">
            <v>0</v>
          </cell>
          <cell r="AP518">
            <v>0</v>
          </cell>
          <cell r="AQ518">
            <v>0</v>
          </cell>
          <cell r="AR518">
            <v>700</v>
          </cell>
          <cell r="AS518">
            <v>0</v>
          </cell>
          <cell r="AT518" t="str">
            <v/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 t="str">
            <v/>
          </cell>
          <cell r="BK518">
            <v>7000</v>
          </cell>
          <cell r="BL518" t="str">
            <v>0</v>
          </cell>
          <cell r="BM518" t="str">
            <v>1</v>
          </cell>
          <cell r="BN518" t="str">
            <v/>
          </cell>
          <cell r="BO518" t="str">
            <v/>
          </cell>
        </row>
        <row r="519">
          <cell r="A519">
            <v>1</v>
          </cell>
          <cell r="B519">
            <v>4460673</v>
          </cell>
          <cell r="C519" t="str">
            <v>MECANICIENS     ENTRETIEN</v>
          </cell>
          <cell r="D519" t="str">
            <v>SACS - IMPRIMERIE #67</v>
          </cell>
          <cell r="E519" t="str">
            <v>O</v>
          </cell>
          <cell r="F519">
            <v>0</v>
          </cell>
          <cell r="G519">
            <v>0</v>
          </cell>
          <cell r="H519">
            <v>42.81</v>
          </cell>
          <cell r="I519">
            <v>70.03</v>
          </cell>
          <cell r="J519">
            <v>27.22</v>
          </cell>
          <cell r="K519">
            <v>0</v>
          </cell>
          <cell r="L519">
            <v>27.22</v>
          </cell>
          <cell r="M519">
            <v>29.94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12.87</v>
          </cell>
          <cell r="X519">
            <v>42.81</v>
          </cell>
          <cell r="Y519">
            <v>40.090000000000003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3</v>
          </cell>
          <cell r="AN519" t="str">
            <v/>
          </cell>
          <cell r="AO519">
            <v>0</v>
          </cell>
          <cell r="AP519">
            <v>0</v>
          </cell>
          <cell r="AQ519">
            <v>0</v>
          </cell>
          <cell r="AR519">
            <v>700</v>
          </cell>
          <cell r="AS519">
            <v>0</v>
          </cell>
          <cell r="AT519" t="str">
            <v/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 t="str">
            <v/>
          </cell>
          <cell r="BK519">
            <v>7000</v>
          </cell>
          <cell r="BL519" t="str">
            <v>0</v>
          </cell>
          <cell r="BM519" t="str">
            <v>1</v>
          </cell>
          <cell r="BN519" t="str">
            <v/>
          </cell>
          <cell r="BO519" t="str">
            <v/>
          </cell>
        </row>
        <row r="520">
          <cell r="A520">
            <v>1</v>
          </cell>
          <cell r="B520">
            <v>4295542</v>
          </cell>
          <cell r="C520" t="str">
            <v>BOITES DE CARTONS</v>
          </cell>
          <cell r="D520" t="str">
            <v>1017544444</v>
          </cell>
          <cell r="E520" t="str">
            <v>O</v>
          </cell>
          <cell r="F520">
            <v>0</v>
          </cell>
          <cell r="G520">
            <v>0</v>
          </cell>
          <cell r="H520">
            <v>10451.39</v>
          </cell>
          <cell r="I520">
            <v>15437.5</v>
          </cell>
          <cell r="J520">
            <v>4986.1099999999997</v>
          </cell>
          <cell r="K520">
            <v>0</v>
          </cell>
          <cell r="L520">
            <v>1730.61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1643.95</v>
          </cell>
          <cell r="U520">
            <v>4212.9799999999996</v>
          </cell>
          <cell r="V520">
            <v>6062.25</v>
          </cell>
          <cell r="W520">
            <v>8102.48</v>
          </cell>
          <cell r="X520">
            <v>10451.39</v>
          </cell>
          <cell r="Y520">
            <v>12182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2</v>
          </cell>
          <cell r="AN520" t="str">
            <v/>
          </cell>
          <cell r="AO520">
            <v>0</v>
          </cell>
          <cell r="AP520">
            <v>0</v>
          </cell>
          <cell r="AQ520">
            <v>0</v>
          </cell>
          <cell r="AR520">
            <v>740</v>
          </cell>
          <cell r="AS520">
            <v>0</v>
          </cell>
          <cell r="AT520" t="str">
            <v/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20754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 t="str">
            <v/>
          </cell>
          <cell r="BK520">
            <v>6300</v>
          </cell>
          <cell r="BL520" t="str">
            <v>0</v>
          </cell>
          <cell r="BM520" t="str">
            <v>1</v>
          </cell>
          <cell r="BN520" t="str">
            <v/>
          </cell>
          <cell r="BO520" t="str">
            <v/>
          </cell>
        </row>
        <row r="521">
          <cell r="A521">
            <v>1</v>
          </cell>
          <cell r="B521">
            <v>4295562</v>
          </cell>
          <cell r="C521" t="str">
            <v>BOITES DE CARTONS</v>
          </cell>
          <cell r="D521" t="str">
            <v>1017564445</v>
          </cell>
          <cell r="E521" t="str">
            <v>O</v>
          </cell>
          <cell r="F521">
            <v>0</v>
          </cell>
          <cell r="G521">
            <v>0</v>
          </cell>
          <cell r="H521">
            <v>97922.68</v>
          </cell>
          <cell r="I521">
            <v>120993.78</v>
          </cell>
          <cell r="J521">
            <v>23071.1</v>
          </cell>
          <cell r="K521">
            <v>0</v>
          </cell>
          <cell r="L521">
            <v>14187.65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21247.95</v>
          </cell>
          <cell r="U521">
            <v>34658.410000000003</v>
          </cell>
          <cell r="V521">
            <v>50422.43</v>
          </cell>
          <cell r="W521">
            <v>72894.45</v>
          </cell>
          <cell r="X521">
            <v>97922.68</v>
          </cell>
          <cell r="Y521">
            <v>112110.33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2</v>
          </cell>
          <cell r="AN521" t="str">
            <v/>
          </cell>
          <cell r="AO521">
            <v>0</v>
          </cell>
          <cell r="AP521">
            <v>0</v>
          </cell>
          <cell r="AQ521">
            <v>0</v>
          </cell>
          <cell r="AR521">
            <v>740</v>
          </cell>
          <cell r="AS521">
            <v>0</v>
          </cell>
          <cell r="AT521" t="str">
            <v/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20756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 t="str">
            <v/>
          </cell>
          <cell r="BK521">
            <v>6300</v>
          </cell>
          <cell r="BL521" t="str">
            <v>0</v>
          </cell>
          <cell r="BM521" t="str">
            <v>1</v>
          </cell>
          <cell r="BN521" t="str">
            <v/>
          </cell>
          <cell r="BO521" t="str">
            <v/>
          </cell>
        </row>
        <row r="522">
          <cell r="A522">
            <v>1</v>
          </cell>
          <cell r="B522">
            <v>4295572</v>
          </cell>
          <cell r="C522" t="str">
            <v>BOITES DE CARTONS</v>
          </cell>
          <cell r="D522" t="str">
            <v>1017574446</v>
          </cell>
          <cell r="E522" t="str">
            <v>O</v>
          </cell>
          <cell r="F522">
            <v>0</v>
          </cell>
          <cell r="G522">
            <v>0</v>
          </cell>
          <cell r="H522">
            <v>20274.939999999999</v>
          </cell>
          <cell r="I522">
            <v>28253.4</v>
          </cell>
          <cell r="J522">
            <v>7978.46</v>
          </cell>
          <cell r="K522">
            <v>0</v>
          </cell>
          <cell r="L522">
            <v>1406.7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2264.5</v>
          </cell>
          <cell r="U522">
            <v>3217.59</v>
          </cell>
          <cell r="V522">
            <v>8879.2199999999993</v>
          </cell>
          <cell r="W522">
            <v>16815.099999999999</v>
          </cell>
          <cell r="X522">
            <v>20274.939999999999</v>
          </cell>
          <cell r="Y522">
            <v>21681.64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2</v>
          </cell>
          <cell r="AN522" t="str">
            <v/>
          </cell>
          <cell r="AO522">
            <v>0</v>
          </cell>
          <cell r="AP522">
            <v>0</v>
          </cell>
          <cell r="AQ522">
            <v>0</v>
          </cell>
          <cell r="AR522">
            <v>740</v>
          </cell>
          <cell r="AS522">
            <v>0</v>
          </cell>
          <cell r="AT522" t="str">
            <v/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20757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 t="str">
            <v/>
          </cell>
          <cell r="BK522">
            <v>6300</v>
          </cell>
          <cell r="BL522" t="str">
            <v>0</v>
          </cell>
          <cell r="BM522" t="str">
            <v>1</v>
          </cell>
          <cell r="BN522" t="str">
            <v/>
          </cell>
          <cell r="BO522" t="str">
            <v/>
          </cell>
        </row>
        <row r="523">
          <cell r="A523">
            <v>1</v>
          </cell>
          <cell r="B523">
            <v>4460683</v>
          </cell>
          <cell r="C523" t="str">
            <v>MECANICIENS     ENTRETIEN</v>
          </cell>
          <cell r="D523" t="str">
            <v>SACS - IMPRIMERIE #68</v>
          </cell>
          <cell r="E523" t="str">
            <v>O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600.88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600.88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3</v>
          </cell>
          <cell r="AN523" t="str">
            <v/>
          </cell>
          <cell r="AO523">
            <v>0</v>
          </cell>
          <cell r="AP523">
            <v>0</v>
          </cell>
          <cell r="AQ523">
            <v>0</v>
          </cell>
          <cell r="AR523">
            <v>700</v>
          </cell>
          <cell r="AS523">
            <v>0</v>
          </cell>
          <cell r="AT523" t="str">
            <v/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 t="str">
            <v/>
          </cell>
          <cell r="BK523">
            <v>7000</v>
          </cell>
          <cell r="BL523" t="str">
            <v>0</v>
          </cell>
          <cell r="BM523" t="str">
            <v>1</v>
          </cell>
          <cell r="BN523" t="str">
            <v/>
          </cell>
          <cell r="BO523" t="str">
            <v/>
          </cell>
        </row>
        <row r="524">
          <cell r="A524">
            <v>1</v>
          </cell>
          <cell r="B524">
            <v>4295592</v>
          </cell>
          <cell r="C524" t="str">
            <v>BOITES DE CARTONS</v>
          </cell>
          <cell r="D524" t="str">
            <v>1017594451</v>
          </cell>
          <cell r="E524" t="str">
            <v>O</v>
          </cell>
          <cell r="F524">
            <v>0</v>
          </cell>
          <cell r="G524">
            <v>0</v>
          </cell>
          <cell r="H524">
            <v>52280.4</v>
          </cell>
          <cell r="I524">
            <v>75279.199999999997</v>
          </cell>
          <cell r="J524">
            <v>22998.799999999999</v>
          </cell>
          <cell r="K524">
            <v>0</v>
          </cell>
          <cell r="L524">
            <v>5717.5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10427.67</v>
          </cell>
          <cell r="U524">
            <v>19783.310000000001</v>
          </cell>
          <cell r="V524">
            <v>30448.6</v>
          </cell>
          <cell r="W524">
            <v>40673.67</v>
          </cell>
          <cell r="X524">
            <v>52280.4</v>
          </cell>
          <cell r="Y524">
            <v>57997.9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2</v>
          </cell>
          <cell r="AN524" t="str">
            <v/>
          </cell>
          <cell r="AO524">
            <v>0</v>
          </cell>
          <cell r="AP524">
            <v>0</v>
          </cell>
          <cell r="AQ524">
            <v>0</v>
          </cell>
          <cell r="AR524">
            <v>740</v>
          </cell>
          <cell r="AS524">
            <v>0</v>
          </cell>
          <cell r="AT524" t="str">
            <v/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20759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 t="str">
            <v/>
          </cell>
          <cell r="BK524">
            <v>6300</v>
          </cell>
          <cell r="BL524" t="str">
            <v>0</v>
          </cell>
          <cell r="BM524" t="str">
            <v>1</v>
          </cell>
          <cell r="BN524" t="str">
            <v/>
          </cell>
          <cell r="BO524" t="str">
            <v/>
          </cell>
        </row>
        <row r="525">
          <cell r="A525">
            <v>1</v>
          </cell>
          <cell r="B525">
            <v>4460703</v>
          </cell>
          <cell r="C525" t="str">
            <v>MECANICIENS     ENTRETIEN</v>
          </cell>
          <cell r="D525" t="str">
            <v>SACS - IMPRIMERIE #70</v>
          </cell>
          <cell r="E525" t="str">
            <v>O</v>
          </cell>
          <cell r="F525">
            <v>0</v>
          </cell>
          <cell r="G525">
            <v>0</v>
          </cell>
          <cell r="H525">
            <v>501.2</v>
          </cell>
          <cell r="I525">
            <v>890.08</v>
          </cell>
          <cell r="J525">
            <v>388.88</v>
          </cell>
          <cell r="K525">
            <v>0</v>
          </cell>
          <cell r="L525">
            <v>388.88</v>
          </cell>
          <cell r="M525">
            <v>127.6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373.6</v>
          </cell>
          <cell r="X525">
            <v>501.2</v>
          </cell>
          <cell r="Y525">
            <v>762.48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3</v>
          </cell>
          <cell r="AN525" t="str">
            <v/>
          </cell>
          <cell r="AO525">
            <v>0</v>
          </cell>
          <cell r="AP525">
            <v>0</v>
          </cell>
          <cell r="AQ525">
            <v>0</v>
          </cell>
          <cell r="AR525">
            <v>700</v>
          </cell>
          <cell r="AS525">
            <v>0</v>
          </cell>
          <cell r="AT525" t="str">
            <v/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 t="str">
            <v/>
          </cell>
          <cell r="BK525">
            <v>7000</v>
          </cell>
          <cell r="BL525" t="str">
            <v>0</v>
          </cell>
          <cell r="BM525" t="str">
            <v>1</v>
          </cell>
          <cell r="BN525" t="str">
            <v/>
          </cell>
          <cell r="BO525" t="str">
            <v/>
          </cell>
        </row>
        <row r="526">
          <cell r="A526">
            <v>1</v>
          </cell>
          <cell r="B526">
            <v>4295612</v>
          </cell>
          <cell r="C526" t="str">
            <v>BOITES DE CARTONS</v>
          </cell>
          <cell r="D526" t="str">
            <v>1017614450</v>
          </cell>
          <cell r="E526" t="str">
            <v>O</v>
          </cell>
          <cell r="F526">
            <v>0</v>
          </cell>
          <cell r="G526">
            <v>0</v>
          </cell>
          <cell r="H526">
            <v>25380.560000000001</v>
          </cell>
          <cell r="I526">
            <v>30594.33</v>
          </cell>
          <cell r="J526">
            <v>5213.7700000000004</v>
          </cell>
          <cell r="K526">
            <v>0</v>
          </cell>
          <cell r="L526">
            <v>2662.94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6978.07</v>
          </cell>
          <cell r="U526">
            <v>10935.92</v>
          </cell>
          <cell r="V526">
            <v>15086.54</v>
          </cell>
          <cell r="W526">
            <v>20123.5</v>
          </cell>
          <cell r="X526">
            <v>25380.560000000001</v>
          </cell>
          <cell r="Y526">
            <v>28043.5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2</v>
          </cell>
          <cell r="AN526" t="str">
            <v/>
          </cell>
          <cell r="AO526">
            <v>0</v>
          </cell>
          <cell r="AP526">
            <v>0</v>
          </cell>
          <cell r="AQ526">
            <v>0</v>
          </cell>
          <cell r="AR526">
            <v>740</v>
          </cell>
          <cell r="AS526">
            <v>0</v>
          </cell>
          <cell r="AT526" t="str">
            <v/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20761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 t="str">
            <v/>
          </cell>
          <cell r="BK526">
            <v>6300</v>
          </cell>
          <cell r="BL526" t="str">
            <v>0</v>
          </cell>
          <cell r="BM526" t="str">
            <v>1</v>
          </cell>
          <cell r="BN526" t="str">
            <v/>
          </cell>
          <cell r="BO526" t="str">
            <v/>
          </cell>
        </row>
        <row r="527">
          <cell r="A527">
            <v>1</v>
          </cell>
          <cell r="B527">
            <v>4460693</v>
          </cell>
          <cell r="C527" t="str">
            <v>MECANICIENS     ENTRETIEN</v>
          </cell>
          <cell r="D527" t="str">
            <v>SACS - IMPRIMERIE #69</v>
          </cell>
          <cell r="E527" t="str">
            <v>O</v>
          </cell>
          <cell r="F527">
            <v>0</v>
          </cell>
          <cell r="G527">
            <v>0</v>
          </cell>
          <cell r="H527">
            <v>180.87</v>
          </cell>
          <cell r="I527">
            <v>345.3</v>
          </cell>
          <cell r="J527">
            <v>164.43</v>
          </cell>
          <cell r="K527">
            <v>0</v>
          </cell>
          <cell r="L527">
            <v>164.43</v>
          </cell>
          <cell r="M527">
            <v>180.87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180.87</v>
          </cell>
          <cell r="Y527">
            <v>164.43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3</v>
          </cell>
          <cell r="AN527" t="str">
            <v/>
          </cell>
          <cell r="AO527">
            <v>0</v>
          </cell>
          <cell r="AP527">
            <v>0</v>
          </cell>
          <cell r="AQ527">
            <v>0</v>
          </cell>
          <cell r="AR527">
            <v>700</v>
          </cell>
          <cell r="AS527">
            <v>0</v>
          </cell>
          <cell r="AT527" t="str">
            <v/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 t="str">
            <v/>
          </cell>
          <cell r="BK527">
            <v>7000</v>
          </cell>
          <cell r="BL527" t="str">
            <v>0</v>
          </cell>
          <cell r="BM527" t="str">
            <v>1</v>
          </cell>
          <cell r="BN527" t="str">
            <v/>
          </cell>
          <cell r="BO527" t="str">
            <v/>
          </cell>
        </row>
        <row r="528">
          <cell r="A528">
            <v>1</v>
          </cell>
          <cell r="B528">
            <v>4460783</v>
          </cell>
          <cell r="C528" t="str">
            <v>MECANICIENS     ENTRETIEN</v>
          </cell>
          <cell r="D528" t="str">
            <v>SACS - IMPRIMERIE #78</v>
          </cell>
          <cell r="E528" t="str">
            <v>O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71.88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71.88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3</v>
          </cell>
          <cell r="AN528" t="str">
            <v/>
          </cell>
          <cell r="AO528">
            <v>0</v>
          </cell>
          <cell r="AP528">
            <v>0</v>
          </cell>
          <cell r="AQ528">
            <v>0</v>
          </cell>
          <cell r="AR528">
            <v>700</v>
          </cell>
          <cell r="AS528">
            <v>0</v>
          </cell>
          <cell r="AT528" t="str">
            <v/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 t="str">
            <v/>
          </cell>
          <cell r="BK528">
            <v>7000</v>
          </cell>
          <cell r="BL528" t="str">
            <v>0</v>
          </cell>
          <cell r="BM528" t="str">
            <v>1</v>
          </cell>
          <cell r="BN528" t="str">
            <v/>
          </cell>
          <cell r="BO528" t="str">
            <v/>
          </cell>
        </row>
        <row r="529">
          <cell r="A529">
            <v>1</v>
          </cell>
          <cell r="B529">
            <v>4295642</v>
          </cell>
          <cell r="C529" t="str">
            <v>BOITES DE CARTONS</v>
          </cell>
          <cell r="D529" t="str">
            <v>1017644452</v>
          </cell>
          <cell r="E529" t="str">
            <v>O</v>
          </cell>
          <cell r="F529">
            <v>0</v>
          </cell>
          <cell r="G529">
            <v>0</v>
          </cell>
          <cell r="H529">
            <v>70916.95</v>
          </cell>
          <cell r="I529">
            <v>105309.92</v>
          </cell>
          <cell r="J529">
            <v>34392.97</v>
          </cell>
          <cell r="K529">
            <v>0</v>
          </cell>
          <cell r="L529">
            <v>10400.450000000001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13552.88</v>
          </cell>
          <cell r="U529">
            <v>23972.48</v>
          </cell>
          <cell r="V529">
            <v>37003.300000000003</v>
          </cell>
          <cell r="W529">
            <v>54379.55</v>
          </cell>
          <cell r="X529">
            <v>70916.95</v>
          </cell>
          <cell r="Y529">
            <v>81317.399999999994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2</v>
          </cell>
          <cell r="AN529" t="str">
            <v/>
          </cell>
          <cell r="AO529">
            <v>0</v>
          </cell>
          <cell r="AP529">
            <v>0</v>
          </cell>
          <cell r="AQ529">
            <v>0</v>
          </cell>
          <cell r="AR529">
            <v>740</v>
          </cell>
          <cell r="AS529">
            <v>0</v>
          </cell>
          <cell r="AT529" t="str">
            <v/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20764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 t="str">
            <v/>
          </cell>
          <cell r="BK529">
            <v>6300</v>
          </cell>
          <cell r="BL529" t="str">
            <v>0</v>
          </cell>
          <cell r="BM529" t="str">
            <v>1</v>
          </cell>
          <cell r="BN529" t="str">
            <v/>
          </cell>
          <cell r="BO529" t="str">
            <v/>
          </cell>
        </row>
        <row r="530">
          <cell r="A530">
            <v>1</v>
          </cell>
          <cell r="B530">
            <v>4295652</v>
          </cell>
          <cell r="C530" t="str">
            <v>BOITES DE CARTONS</v>
          </cell>
          <cell r="D530" t="str">
            <v>1017654454</v>
          </cell>
          <cell r="E530" t="str">
            <v>O</v>
          </cell>
          <cell r="F530">
            <v>0</v>
          </cell>
          <cell r="G530">
            <v>0</v>
          </cell>
          <cell r="H530">
            <v>9954.77</v>
          </cell>
          <cell r="I530">
            <v>13117.68</v>
          </cell>
          <cell r="J530">
            <v>3162.91</v>
          </cell>
          <cell r="K530">
            <v>0</v>
          </cell>
          <cell r="L530">
            <v>999.24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2069.11</v>
          </cell>
          <cell r="U530">
            <v>3026.19</v>
          </cell>
          <cell r="V530">
            <v>4935.28</v>
          </cell>
          <cell r="W530">
            <v>8055.44</v>
          </cell>
          <cell r="X530">
            <v>9954.77</v>
          </cell>
          <cell r="Y530">
            <v>10954.01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2</v>
          </cell>
          <cell r="AN530" t="str">
            <v/>
          </cell>
          <cell r="AO530">
            <v>0</v>
          </cell>
          <cell r="AP530">
            <v>0</v>
          </cell>
          <cell r="AQ530">
            <v>0</v>
          </cell>
          <cell r="AR530">
            <v>740</v>
          </cell>
          <cell r="AS530">
            <v>0</v>
          </cell>
          <cell r="AT530" t="str">
            <v/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20765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 t="str">
            <v/>
          </cell>
          <cell r="BK530">
            <v>6300</v>
          </cell>
          <cell r="BL530" t="str">
            <v>0</v>
          </cell>
          <cell r="BM530" t="str">
            <v>1</v>
          </cell>
          <cell r="BN530" t="str">
            <v/>
          </cell>
          <cell r="BO530" t="str">
            <v/>
          </cell>
        </row>
        <row r="531">
          <cell r="A531">
            <v>1</v>
          </cell>
          <cell r="B531">
            <v>4295662</v>
          </cell>
          <cell r="C531" t="str">
            <v>BOITES DE CARTONS</v>
          </cell>
          <cell r="D531" t="str">
            <v>1017664460</v>
          </cell>
          <cell r="E531" t="str">
            <v>O</v>
          </cell>
          <cell r="F531">
            <v>0</v>
          </cell>
          <cell r="G531">
            <v>0</v>
          </cell>
          <cell r="H531">
            <v>30189.86</v>
          </cell>
          <cell r="I531">
            <v>42134.75</v>
          </cell>
          <cell r="J531">
            <v>11944.89</v>
          </cell>
          <cell r="K531">
            <v>0</v>
          </cell>
          <cell r="L531">
            <v>4473.75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6490.5</v>
          </cell>
          <cell r="U531">
            <v>15553.39</v>
          </cell>
          <cell r="V531">
            <v>20724.36</v>
          </cell>
          <cell r="W531">
            <v>26237.91</v>
          </cell>
          <cell r="X531">
            <v>30189.86</v>
          </cell>
          <cell r="Y531">
            <v>34663.61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2</v>
          </cell>
          <cell r="AN531" t="str">
            <v/>
          </cell>
          <cell r="AO531">
            <v>0</v>
          </cell>
          <cell r="AP531">
            <v>0</v>
          </cell>
          <cell r="AQ531">
            <v>0</v>
          </cell>
          <cell r="AR531">
            <v>740</v>
          </cell>
          <cell r="AS531">
            <v>0</v>
          </cell>
          <cell r="AT531" t="str">
            <v/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20766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 t="str">
            <v/>
          </cell>
          <cell r="BK531">
            <v>6300</v>
          </cell>
          <cell r="BL531" t="str">
            <v>0</v>
          </cell>
          <cell r="BM531" t="str">
            <v>1</v>
          </cell>
          <cell r="BN531" t="str">
            <v/>
          </cell>
          <cell r="BO531" t="str">
            <v/>
          </cell>
        </row>
        <row r="532">
          <cell r="A532">
            <v>1</v>
          </cell>
          <cell r="B532">
            <v>4295672</v>
          </cell>
          <cell r="C532" t="str">
            <v>BOITES DE CARTONS</v>
          </cell>
          <cell r="D532" t="str">
            <v>1017674455</v>
          </cell>
          <cell r="E532" t="str">
            <v>O</v>
          </cell>
          <cell r="F532">
            <v>0</v>
          </cell>
          <cell r="G532">
            <v>0</v>
          </cell>
          <cell r="H532">
            <v>50453.68</v>
          </cell>
          <cell r="I532">
            <v>59892.07</v>
          </cell>
          <cell r="J532">
            <v>9438.39</v>
          </cell>
          <cell r="K532">
            <v>0</v>
          </cell>
          <cell r="L532">
            <v>11038.92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9984.9</v>
          </cell>
          <cell r="U532">
            <v>20200.84</v>
          </cell>
          <cell r="V532">
            <v>26932.6</v>
          </cell>
          <cell r="W532">
            <v>35914.620000000003</v>
          </cell>
          <cell r="X532">
            <v>50453.68</v>
          </cell>
          <cell r="Y532">
            <v>61492.6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2</v>
          </cell>
          <cell r="AN532" t="str">
            <v/>
          </cell>
          <cell r="AO532">
            <v>0</v>
          </cell>
          <cell r="AP532">
            <v>0</v>
          </cell>
          <cell r="AQ532">
            <v>0</v>
          </cell>
          <cell r="AR532">
            <v>740</v>
          </cell>
          <cell r="AS532">
            <v>0</v>
          </cell>
          <cell r="AT532" t="str">
            <v/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20767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 t="str">
            <v/>
          </cell>
          <cell r="BK532">
            <v>6300</v>
          </cell>
          <cell r="BL532" t="str">
            <v>0</v>
          </cell>
          <cell r="BM532" t="str">
            <v>1</v>
          </cell>
          <cell r="BN532" t="str">
            <v/>
          </cell>
          <cell r="BO532" t="str">
            <v/>
          </cell>
        </row>
        <row r="533">
          <cell r="A533">
            <v>1</v>
          </cell>
          <cell r="B533">
            <v>4295682</v>
          </cell>
          <cell r="C533" t="str">
            <v>BOITES DE CARTONS</v>
          </cell>
          <cell r="D533" t="str">
            <v>1017684456</v>
          </cell>
          <cell r="E533" t="str">
            <v>O</v>
          </cell>
          <cell r="F533">
            <v>0</v>
          </cell>
          <cell r="G533">
            <v>0</v>
          </cell>
          <cell r="H533">
            <v>26913.69</v>
          </cell>
          <cell r="I533">
            <v>30987.91</v>
          </cell>
          <cell r="J533">
            <v>4074.22</v>
          </cell>
          <cell r="K533">
            <v>0</v>
          </cell>
          <cell r="L533">
            <v>4146.09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6744.49</v>
          </cell>
          <cell r="U533">
            <v>14256.06</v>
          </cell>
          <cell r="V533">
            <v>17757.330000000002</v>
          </cell>
          <cell r="W533">
            <v>21495.99</v>
          </cell>
          <cell r="X533">
            <v>26913.69</v>
          </cell>
          <cell r="Y533">
            <v>31059.78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2</v>
          </cell>
          <cell r="AN533" t="str">
            <v/>
          </cell>
          <cell r="AO533">
            <v>0</v>
          </cell>
          <cell r="AP533">
            <v>0</v>
          </cell>
          <cell r="AQ533">
            <v>0</v>
          </cell>
          <cell r="AR533">
            <v>740</v>
          </cell>
          <cell r="AS533">
            <v>0</v>
          </cell>
          <cell r="AT533" t="str">
            <v/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20768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 t="str">
            <v/>
          </cell>
          <cell r="BK533">
            <v>6300</v>
          </cell>
          <cell r="BL533" t="str">
            <v>0</v>
          </cell>
          <cell r="BM533" t="str">
            <v>1</v>
          </cell>
          <cell r="BN533" t="str">
            <v/>
          </cell>
          <cell r="BO533" t="str">
            <v/>
          </cell>
        </row>
        <row r="534">
          <cell r="A534">
            <v>1</v>
          </cell>
          <cell r="B534">
            <v>4295692</v>
          </cell>
          <cell r="C534" t="str">
            <v>BOITES COSTCO &amp; PERKINS</v>
          </cell>
          <cell r="D534" t="str">
            <v>101569101574-4433</v>
          </cell>
          <cell r="E534" t="str">
            <v>O</v>
          </cell>
          <cell r="F534">
            <v>0</v>
          </cell>
          <cell r="G534">
            <v>0</v>
          </cell>
          <cell r="H534">
            <v>19490.060000000001</v>
          </cell>
          <cell r="I534">
            <v>24724.26</v>
          </cell>
          <cell r="J534">
            <v>5234.2</v>
          </cell>
          <cell r="K534">
            <v>0</v>
          </cell>
          <cell r="L534">
            <v>2671.76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3128.98</v>
          </cell>
          <cell r="U534">
            <v>6902.71</v>
          </cell>
          <cell r="V534">
            <v>10704.71</v>
          </cell>
          <cell r="W534">
            <v>15241.53</v>
          </cell>
          <cell r="X534">
            <v>19490.060000000001</v>
          </cell>
          <cell r="Y534">
            <v>22161.82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2</v>
          </cell>
          <cell r="AN534" t="str">
            <v/>
          </cell>
          <cell r="AO534">
            <v>0</v>
          </cell>
          <cell r="AP534">
            <v>0</v>
          </cell>
          <cell r="AQ534">
            <v>0</v>
          </cell>
          <cell r="AR534">
            <v>740</v>
          </cell>
          <cell r="AS534">
            <v>0</v>
          </cell>
          <cell r="AT534" t="str">
            <v/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1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 t="str">
            <v/>
          </cell>
          <cell r="BK534">
            <v>6300</v>
          </cell>
          <cell r="BL534" t="str">
            <v>0</v>
          </cell>
          <cell r="BM534" t="str">
            <v>1</v>
          </cell>
          <cell r="BN534" t="str">
            <v/>
          </cell>
          <cell r="BO534" t="str">
            <v/>
          </cell>
        </row>
        <row r="535">
          <cell r="A535">
            <v>1</v>
          </cell>
          <cell r="B535">
            <v>4460743</v>
          </cell>
          <cell r="C535" t="str">
            <v>MECANICIENS     ENTRETIEN</v>
          </cell>
          <cell r="D535" t="str">
            <v>SACS - IMPRIMERIE #74</v>
          </cell>
          <cell r="E535" t="str">
            <v>O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3</v>
          </cell>
          <cell r="AN535" t="str">
            <v/>
          </cell>
          <cell r="AO535">
            <v>0</v>
          </cell>
          <cell r="AP535">
            <v>0</v>
          </cell>
          <cell r="AQ535">
            <v>0</v>
          </cell>
          <cell r="AR535">
            <v>700</v>
          </cell>
          <cell r="AS535">
            <v>0</v>
          </cell>
          <cell r="AT535" t="str">
            <v/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 t="str">
            <v/>
          </cell>
          <cell r="BK535">
            <v>7000</v>
          </cell>
          <cell r="BL535" t="str">
            <v>0</v>
          </cell>
          <cell r="BM535" t="str">
            <v>1</v>
          </cell>
          <cell r="BN535" t="str">
            <v/>
          </cell>
          <cell r="BO535" t="str">
            <v/>
          </cell>
        </row>
        <row r="536">
          <cell r="A536">
            <v>1</v>
          </cell>
          <cell r="B536">
            <v>4460823</v>
          </cell>
          <cell r="C536" t="str">
            <v>MECANICIENS     ENTRETIEN</v>
          </cell>
          <cell r="D536" t="str">
            <v>SACS - IMPRIMERIE #82</v>
          </cell>
          <cell r="E536" t="str">
            <v>O</v>
          </cell>
          <cell r="F536">
            <v>0</v>
          </cell>
          <cell r="G536">
            <v>0</v>
          </cell>
          <cell r="H536">
            <v>203.78</v>
          </cell>
          <cell r="I536">
            <v>365.2</v>
          </cell>
          <cell r="J536">
            <v>161.41999999999999</v>
          </cell>
          <cell r="K536">
            <v>0</v>
          </cell>
          <cell r="L536">
            <v>256.89</v>
          </cell>
          <cell r="M536">
            <v>177.56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26.22</v>
          </cell>
          <cell r="X536">
            <v>203.78</v>
          </cell>
          <cell r="Y536">
            <v>283.11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3</v>
          </cell>
          <cell r="AN536" t="str">
            <v/>
          </cell>
          <cell r="AO536">
            <v>0</v>
          </cell>
          <cell r="AP536">
            <v>0</v>
          </cell>
          <cell r="AQ536">
            <v>0</v>
          </cell>
          <cell r="AR536">
            <v>700</v>
          </cell>
          <cell r="AS536">
            <v>0</v>
          </cell>
          <cell r="AT536" t="str">
            <v/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 t="str">
            <v/>
          </cell>
          <cell r="BK536">
            <v>7000</v>
          </cell>
          <cell r="BL536" t="str">
            <v>0</v>
          </cell>
          <cell r="BM536" t="str">
            <v>1</v>
          </cell>
          <cell r="BN536" t="str">
            <v/>
          </cell>
          <cell r="BO536" t="str">
            <v/>
          </cell>
        </row>
        <row r="537">
          <cell r="A537">
            <v>1</v>
          </cell>
          <cell r="B537">
            <v>4460763</v>
          </cell>
          <cell r="C537" t="str">
            <v>MECANICIENS     ENTRETIEN</v>
          </cell>
          <cell r="D537" t="str">
            <v>SACS - IMPRIMERIE #76</v>
          </cell>
          <cell r="E537" t="str">
            <v>O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3</v>
          </cell>
          <cell r="AN537" t="str">
            <v/>
          </cell>
          <cell r="AO537">
            <v>0</v>
          </cell>
          <cell r="AP537">
            <v>0</v>
          </cell>
          <cell r="AQ537">
            <v>0</v>
          </cell>
          <cell r="AR537">
            <v>700</v>
          </cell>
          <cell r="AS537">
            <v>0</v>
          </cell>
          <cell r="AT537" t="str">
            <v/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 t="str">
            <v/>
          </cell>
          <cell r="BK537">
            <v>7000</v>
          </cell>
          <cell r="BL537" t="str">
            <v>0</v>
          </cell>
          <cell r="BM537" t="str">
            <v>1</v>
          </cell>
          <cell r="BN537" t="str">
            <v/>
          </cell>
          <cell r="BO537" t="str">
            <v/>
          </cell>
        </row>
        <row r="538">
          <cell r="A538">
            <v>1</v>
          </cell>
          <cell r="B538">
            <v>4296152</v>
          </cell>
          <cell r="C538" t="str">
            <v>BOITES DE CARTONS</v>
          </cell>
          <cell r="D538" t="str">
            <v>1016154440</v>
          </cell>
          <cell r="E538" t="str">
            <v>O</v>
          </cell>
          <cell r="F538">
            <v>0</v>
          </cell>
          <cell r="G538">
            <v>0</v>
          </cell>
          <cell r="H538">
            <v>7.94</v>
          </cell>
          <cell r="I538">
            <v>7.94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7.94</v>
          </cell>
          <cell r="W538">
            <v>7.94</v>
          </cell>
          <cell r="X538">
            <v>7.94</v>
          </cell>
          <cell r="Y538">
            <v>7.94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2</v>
          </cell>
          <cell r="AN538" t="str">
            <v/>
          </cell>
          <cell r="AO538">
            <v>0</v>
          </cell>
          <cell r="AP538">
            <v>0</v>
          </cell>
          <cell r="AQ538">
            <v>0</v>
          </cell>
          <cell r="AR538">
            <v>740</v>
          </cell>
          <cell r="AS538">
            <v>0</v>
          </cell>
          <cell r="AT538" t="str">
            <v/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20615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 t="str">
            <v/>
          </cell>
          <cell r="BK538">
            <v>6300</v>
          </cell>
          <cell r="BL538" t="str">
            <v>0</v>
          </cell>
          <cell r="BM538" t="str">
            <v>1</v>
          </cell>
          <cell r="BN538" t="str">
            <v/>
          </cell>
          <cell r="BO538" t="str">
            <v/>
          </cell>
        </row>
        <row r="539">
          <cell r="A539">
            <v>1</v>
          </cell>
          <cell r="B539">
            <v>4296252</v>
          </cell>
          <cell r="C539" t="str">
            <v>BOITES DE CARTONS</v>
          </cell>
          <cell r="D539" t="str">
            <v>1016254441</v>
          </cell>
          <cell r="E539" t="str">
            <v>O</v>
          </cell>
          <cell r="F539">
            <v>0</v>
          </cell>
          <cell r="G539">
            <v>0</v>
          </cell>
          <cell r="H539">
            <v>1026.3900000000001</v>
          </cell>
          <cell r="I539">
            <v>1026.3900000000001</v>
          </cell>
          <cell r="J539">
            <v>0</v>
          </cell>
          <cell r="K539">
            <v>0</v>
          </cell>
          <cell r="L539">
            <v>737.46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622.99</v>
          </cell>
          <cell r="U539">
            <v>622.99</v>
          </cell>
          <cell r="V539">
            <v>955.47</v>
          </cell>
          <cell r="W539">
            <v>955.47</v>
          </cell>
          <cell r="X539">
            <v>1026.3900000000001</v>
          </cell>
          <cell r="Y539">
            <v>1763.85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2</v>
          </cell>
          <cell r="AN539" t="str">
            <v/>
          </cell>
          <cell r="AO539">
            <v>0</v>
          </cell>
          <cell r="AP539">
            <v>0</v>
          </cell>
          <cell r="AQ539">
            <v>0</v>
          </cell>
          <cell r="AR539">
            <v>740</v>
          </cell>
          <cell r="AS539">
            <v>0</v>
          </cell>
          <cell r="AT539" t="str">
            <v/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20625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 t="str">
            <v/>
          </cell>
          <cell r="BK539">
            <v>6300</v>
          </cell>
          <cell r="BL539" t="str">
            <v>0</v>
          </cell>
          <cell r="BM539" t="str">
            <v>1</v>
          </cell>
          <cell r="BN539" t="str">
            <v/>
          </cell>
          <cell r="BO539" t="str">
            <v/>
          </cell>
        </row>
        <row r="540">
          <cell r="A540">
            <v>1</v>
          </cell>
          <cell r="B540">
            <v>4296352</v>
          </cell>
          <cell r="C540" t="str">
            <v>BOITES DE CARTONS</v>
          </cell>
          <cell r="D540" t="str">
            <v>CASCADES PLIS/SIMPLES BLA</v>
          </cell>
          <cell r="E540" t="str">
            <v>O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2</v>
          </cell>
          <cell r="AN540" t="str">
            <v/>
          </cell>
          <cell r="AO540">
            <v>0</v>
          </cell>
          <cell r="AP540">
            <v>0</v>
          </cell>
          <cell r="AQ540">
            <v>0</v>
          </cell>
          <cell r="AR540">
            <v>740</v>
          </cell>
          <cell r="AS540">
            <v>0</v>
          </cell>
          <cell r="AT540" t="str">
            <v/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20635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 t="str">
            <v/>
          </cell>
          <cell r="BK540">
            <v>6300</v>
          </cell>
          <cell r="BL540" t="str">
            <v>0</v>
          </cell>
          <cell r="BM540" t="str">
            <v>1</v>
          </cell>
          <cell r="BN540" t="str">
            <v/>
          </cell>
          <cell r="BO540" t="str">
            <v/>
          </cell>
        </row>
        <row r="541">
          <cell r="A541">
            <v>1</v>
          </cell>
          <cell r="B541">
            <v>4296452</v>
          </cell>
          <cell r="C541" t="str">
            <v>BOITES DE CARTONS</v>
          </cell>
          <cell r="D541" t="str">
            <v>1016454443</v>
          </cell>
          <cell r="E541" t="str">
            <v>O</v>
          </cell>
          <cell r="F541">
            <v>0</v>
          </cell>
          <cell r="G541">
            <v>0</v>
          </cell>
          <cell r="H541">
            <v>868.3</v>
          </cell>
          <cell r="I541">
            <v>933.12</v>
          </cell>
          <cell r="J541">
            <v>64.819999999999993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893.22</v>
          </cell>
          <cell r="V541">
            <v>868.3</v>
          </cell>
          <cell r="W541">
            <v>868.3</v>
          </cell>
          <cell r="X541">
            <v>868.3</v>
          </cell>
          <cell r="Y541">
            <v>868.3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2</v>
          </cell>
          <cell r="AN541" t="str">
            <v/>
          </cell>
          <cell r="AO541">
            <v>0</v>
          </cell>
          <cell r="AP541">
            <v>0</v>
          </cell>
          <cell r="AQ541">
            <v>0</v>
          </cell>
          <cell r="AR541">
            <v>740</v>
          </cell>
          <cell r="AS541">
            <v>0</v>
          </cell>
          <cell r="AT541" t="str">
            <v/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20645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 t="str">
            <v/>
          </cell>
          <cell r="BK541">
            <v>6300</v>
          </cell>
          <cell r="BL541" t="str">
            <v>0</v>
          </cell>
          <cell r="BM541" t="str">
            <v>1</v>
          </cell>
          <cell r="BN541" t="str">
            <v/>
          </cell>
          <cell r="BO541" t="str">
            <v/>
          </cell>
        </row>
        <row r="542">
          <cell r="A542">
            <v>1</v>
          </cell>
          <cell r="B542">
            <v>4298502</v>
          </cell>
          <cell r="C542" t="str">
            <v>BOITES DE CARTONS</v>
          </cell>
          <cell r="D542" t="str">
            <v>W.T. NATUREL PLI/SIMPLE 4</v>
          </cell>
          <cell r="E542" t="str">
            <v>O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2</v>
          </cell>
          <cell r="AN542" t="str">
            <v/>
          </cell>
          <cell r="AO542">
            <v>0</v>
          </cell>
          <cell r="AP542">
            <v>0</v>
          </cell>
          <cell r="AQ542">
            <v>0</v>
          </cell>
          <cell r="AR542">
            <v>740</v>
          </cell>
          <cell r="AS542">
            <v>0</v>
          </cell>
          <cell r="AT542" t="str">
            <v/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 t="str">
            <v/>
          </cell>
          <cell r="BK542">
            <v>6300</v>
          </cell>
          <cell r="BL542" t="str">
            <v/>
          </cell>
          <cell r="BM542" t="str">
            <v>1</v>
          </cell>
          <cell r="BN542" t="str">
            <v/>
          </cell>
          <cell r="BO542" t="str">
            <v/>
          </cell>
        </row>
        <row r="543">
          <cell r="A543">
            <v>1</v>
          </cell>
          <cell r="B543">
            <v>4299001</v>
          </cell>
          <cell r="C543" t="str">
            <v>BOITES DE CARTON</v>
          </cell>
          <cell r="D543" t="str">
            <v>TRANSFERT DIVISION PAPIER</v>
          </cell>
          <cell r="E543" t="str">
            <v>O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1</v>
          </cell>
          <cell r="AN543" t="str">
            <v/>
          </cell>
          <cell r="AO543">
            <v>0</v>
          </cell>
          <cell r="AP543">
            <v>0</v>
          </cell>
          <cell r="AQ543">
            <v>0</v>
          </cell>
          <cell r="AR543">
            <v>740</v>
          </cell>
          <cell r="AS543">
            <v>0</v>
          </cell>
          <cell r="AT543" t="str">
            <v/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 t="str">
            <v/>
          </cell>
          <cell r="BK543">
            <v>6300</v>
          </cell>
          <cell r="BL543" t="str">
            <v>0</v>
          </cell>
          <cell r="BM543" t="str">
            <v>1</v>
          </cell>
          <cell r="BN543" t="str">
            <v/>
          </cell>
          <cell r="BO543" t="str">
            <v/>
          </cell>
        </row>
        <row r="544">
          <cell r="A544">
            <v>1</v>
          </cell>
          <cell r="B544">
            <v>4299002</v>
          </cell>
          <cell r="C544" t="str">
            <v>BOITES DE CARTON</v>
          </cell>
          <cell r="D544" t="str">
            <v>TRANSFERT DIV. SERVIETTES</v>
          </cell>
          <cell r="E544" t="str">
            <v>O</v>
          </cell>
          <cell r="F544">
            <v>0</v>
          </cell>
          <cell r="G544">
            <v>0</v>
          </cell>
          <cell r="H544">
            <v>1125853.9099999999</v>
          </cell>
          <cell r="I544">
            <v>2685853.14</v>
          </cell>
          <cell r="J544">
            <v>1559999.23</v>
          </cell>
          <cell r="K544">
            <v>0</v>
          </cell>
          <cell r="L544">
            <v>477136.62</v>
          </cell>
          <cell r="M544">
            <v>477136.62</v>
          </cell>
          <cell r="N544">
            <v>198769.35</v>
          </cell>
          <cell r="O544">
            <v>397135.32</v>
          </cell>
          <cell r="P544">
            <v>569815.02</v>
          </cell>
          <cell r="Q544">
            <v>720367.15</v>
          </cell>
          <cell r="R544">
            <v>954365.4</v>
          </cell>
          <cell r="S544">
            <v>1152950.98</v>
          </cell>
          <cell r="T544">
            <v>1152950.98</v>
          </cell>
          <cell r="U544">
            <v>1152925.98</v>
          </cell>
          <cell r="V544">
            <v>1152925.98</v>
          </cell>
          <cell r="W544">
            <v>1125853.9099999999</v>
          </cell>
          <cell r="X544">
            <v>1125853.9099999999</v>
          </cell>
          <cell r="Y544">
            <v>1125853.9099999999</v>
          </cell>
          <cell r="Z544">
            <v>85291.78</v>
          </cell>
          <cell r="AA544">
            <v>223417.37</v>
          </cell>
          <cell r="AB544">
            <v>371042.85</v>
          </cell>
          <cell r="AC544">
            <v>490669.13</v>
          </cell>
          <cell r="AD544">
            <v>616910.26</v>
          </cell>
          <cell r="AE544">
            <v>799080.87</v>
          </cell>
          <cell r="AF544">
            <v>942258.09</v>
          </cell>
          <cell r="AG544">
            <v>1080694.6200000001</v>
          </cell>
          <cell r="AH544">
            <v>1259688.04</v>
          </cell>
          <cell r="AI544">
            <v>1440176.75</v>
          </cell>
          <cell r="AJ544">
            <v>1642583.76</v>
          </cell>
          <cell r="AK544">
            <v>1832593.58</v>
          </cell>
          <cell r="AL544">
            <v>0</v>
          </cell>
          <cell r="AM544">
            <v>2</v>
          </cell>
          <cell r="AN544" t="str">
            <v/>
          </cell>
          <cell r="AO544">
            <v>0</v>
          </cell>
          <cell r="AP544">
            <v>0</v>
          </cell>
          <cell r="AQ544">
            <v>0</v>
          </cell>
          <cell r="AR544">
            <v>740</v>
          </cell>
          <cell r="AS544">
            <v>0</v>
          </cell>
          <cell r="AT544" t="str">
            <v/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 t="str">
            <v/>
          </cell>
          <cell r="BK544">
            <v>6300</v>
          </cell>
          <cell r="BL544" t="str">
            <v>0</v>
          </cell>
          <cell r="BM544" t="str">
            <v>1</v>
          </cell>
          <cell r="BN544" t="str">
            <v/>
          </cell>
          <cell r="BO544" t="str">
            <v/>
          </cell>
        </row>
        <row r="545">
          <cell r="A545">
            <v>1</v>
          </cell>
          <cell r="B545">
            <v>4299003</v>
          </cell>
          <cell r="C545" t="str">
            <v>BOITES DE CARTON</v>
          </cell>
          <cell r="D545" t="str">
            <v>TRANSFERT DIVISION SACS</v>
          </cell>
          <cell r="E545" t="str">
            <v>O</v>
          </cell>
          <cell r="F545">
            <v>0</v>
          </cell>
          <cell r="G545">
            <v>0</v>
          </cell>
          <cell r="H545">
            <v>136914.32999999999</v>
          </cell>
          <cell r="I545">
            <v>275764.15000000002</v>
          </cell>
          <cell r="J545">
            <v>138849.82</v>
          </cell>
          <cell r="K545">
            <v>0</v>
          </cell>
          <cell r="L545">
            <v>13874.52</v>
          </cell>
          <cell r="M545">
            <v>9249.68</v>
          </cell>
          <cell r="N545">
            <v>18187.89</v>
          </cell>
          <cell r="O545">
            <v>26614.880000000001</v>
          </cell>
          <cell r="P545">
            <v>35400.46</v>
          </cell>
          <cell r="Q545">
            <v>45582.04</v>
          </cell>
          <cell r="R545">
            <v>52372.800000000003</v>
          </cell>
          <cell r="S545">
            <v>61651.05</v>
          </cell>
          <cell r="T545">
            <v>94274.86</v>
          </cell>
          <cell r="U545">
            <v>120283.64</v>
          </cell>
          <cell r="V545">
            <v>124882.37</v>
          </cell>
          <cell r="W545">
            <v>131224.29999999999</v>
          </cell>
          <cell r="X545">
            <v>136914.32999999999</v>
          </cell>
          <cell r="Y545">
            <v>141539.17000000001</v>
          </cell>
          <cell r="Z545">
            <v>12606.3</v>
          </cell>
          <cell r="AA545">
            <v>27682.48</v>
          </cell>
          <cell r="AB545">
            <v>61054.1</v>
          </cell>
          <cell r="AC545">
            <v>69404.33</v>
          </cell>
          <cell r="AD545">
            <v>78785.31</v>
          </cell>
          <cell r="AE545">
            <v>98319.02</v>
          </cell>
          <cell r="AF545">
            <v>128970.45</v>
          </cell>
          <cell r="AG545">
            <v>160032.79</v>
          </cell>
          <cell r="AH545">
            <v>216062.49</v>
          </cell>
          <cell r="AI545">
            <v>227685.07</v>
          </cell>
          <cell r="AJ545">
            <v>236888.9</v>
          </cell>
          <cell r="AK545">
            <v>259354.42</v>
          </cell>
          <cell r="AL545">
            <v>0</v>
          </cell>
          <cell r="AM545">
            <v>3</v>
          </cell>
          <cell r="AN545" t="str">
            <v/>
          </cell>
          <cell r="AO545">
            <v>0</v>
          </cell>
          <cell r="AP545">
            <v>0</v>
          </cell>
          <cell r="AQ545">
            <v>0</v>
          </cell>
          <cell r="AR545">
            <v>740</v>
          </cell>
          <cell r="AS545">
            <v>0</v>
          </cell>
          <cell r="AT545" t="str">
            <v/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 t="str">
            <v/>
          </cell>
          <cell r="BK545">
            <v>6300</v>
          </cell>
          <cell r="BL545" t="str">
            <v>0</v>
          </cell>
          <cell r="BM545" t="str">
            <v>1</v>
          </cell>
          <cell r="BN545" t="str">
            <v/>
          </cell>
          <cell r="BO545" t="str">
            <v/>
          </cell>
        </row>
        <row r="546">
          <cell r="A546">
            <v>1</v>
          </cell>
          <cell r="B546">
            <v>4299004</v>
          </cell>
          <cell r="C546" t="str">
            <v>BOITES DE CARTON</v>
          </cell>
          <cell r="D546" t="str">
            <v>TRANSFERT DIVISION BOITES</v>
          </cell>
          <cell r="E546" t="str">
            <v>O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-10060.19</v>
          </cell>
          <cell r="AA546">
            <v>-10060.19</v>
          </cell>
          <cell r="AB546">
            <v>-10060.19</v>
          </cell>
          <cell r="AC546">
            <v>-10060.19</v>
          </cell>
          <cell r="AD546">
            <v>-10060.19</v>
          </cell>
          <cell r="AE546">
            <v>-10060.19</v>
          </cell>
          <cell r="AF546">
            <v>-10060.19</v>
          </cell>
          <cell r="AG546">
            <v>-10060.19</v>
          </cell>
          <cell r="AH546">
            <v>-10060.19</v>
          </cell>
          <cell r="AI546">
            <v>-10060.19</v>
          </cell>
          <cell r="AJ546">
            <v>-10060.19</v>
          </cell>
          <cell r="AK546">
            <v>-10060.19</v>
          </cell>
          <cell r="AL546">
            <v>0</v>
          </cell>
          <cell r="AM546">
            <v>4</v>
          </cell>
          <cell r="AN546" t="str">
            <v/>
          </cell>
          <cell r="AO546">
            <v>0</v>
          </cell>
          <cell r="AP546">
            <v>0</v>
          </cell>
          <cell r="AQ546">
            <v>0</v>
          </cell>
          <cell r="AR546">
            <v>740</v>
          </cell>
          <cell r="AS546">
            <v>0</v>
          </cell>
          <cell r="AT546" t="str">
            <v/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 t="str">
            <v/>
          </cell>
          <cell r="BK546">
            <v>6300</v>
          </cell>
          <cell r="BL546" t="str">
            <v>0</v>
          </cell>
          <cell r="BM546" t="str">
            <v>1</v>
          </cell>
          <cell r="BN546" t="str">
            <v/>
          </cell>
          <cell r="BO546" t="str">
            <v/>
          </cell>
        </row>
        <row r="547">
          <cell r="A547">
            <v>1</v>
          </cell>
          <cell r="B547">
            <v>4301001</v>
          </cell>
          <cell r="C547" t="str">
            <v>FOURNITURES DE PROD.</v>
          </cell>
          <cell r="D547" t="str">
            <v>MANDRIN  BOUCHONS</v>
          </cell>
          <cell r="E547" t="str">
            <v>O</v>
          </cell>
          <cell r="F547">
            <v>0</v>
          </cell>
          <cell r="G547">
            <v>0</v>
          </cell>
          <cell r="H547">
            <v>73527.48</v>
          </cell>
          <cell r="I547">
            <v>96846.06</v>
          </cell>
          <cell r="J547">
            <v>23318.58</v>
          </cell>
          <cell r="K547">
            <v>0</v>
          </cell>
          <cell r="L547">
            <v>26754.78</v>
          </cell>
          <cell r="M547">
            <v>8962.4</v>
          </cell>
          <cell r="N547">
            <v>4637.82</v>
          </cell>
          <cell r="O547">
            <v>11166.32</v>
          </cell>
          <cell r="P547">
            <v>14900.92</v>
          </cell>
          <cell r="Q547">
            <v>23695.279999999999</v>
          </cell>
          <cell r="R547">
            <v>29996.02</v>
          </cell>
          <cell r="S547">
            <v>29990.9</v>
          </cell>
          <cell r="T547">
            <v>38238.400000000001</v>
          </cell>
          <cell r="U547">
            <v>47021.86</v>
          </cell>
          <cell r="V547">
            <v>55658.04</v>
          </cell>
          <cell r="W547">
            <v>64565.08</v>
          </cell>
          <cell r="X547">
            <v>73527.48</v>
          </cell>
          <cell r="Y547">
            <v>91319.86</v>
          </cell>
          <cell r="Z547">
            <v>12365.05</v>
          </cell>
          <cell r="AA547">
            <v>17494.150000000001</v>
          </cell>
          <cell r="AB547">
            <v>17494.150000000001</v>
          </cell>
          <cell r="AC547">
            <v>17184.150000000001</v>
          </cell>
          <cell r="AD547">
            <v>23192.25</v>
          </cell>
          <cell r="AE547">
            <v>27220.97</v>
          </cell>
          <cell r="AF547">
            <v>33879.53</v>
          </cell>
          <cell r="AG547">
            <v>40236.629999999997</v>
          </cell>
          <cell r="AH547">
            <v>40556.620000000003</v>
          </cell>
          <cell r="AI547">
            <v>44373.96</v>
          </cell>
          <cell r="AJ547">
            <v>48802.17</v>
          </cell>
          <cell r="AK547">
            <v>53525.86</v>
          </cell>
          <cell r="AL547">
            <v>0</v>
          </cell>
          <cell r="AM547">
            <v>1</v>
          </cell>
          <cell r="AN547" t="str">
            <v/>
          </cell>
          <cell r="AO547">
            <v>0</v>
          </cell>
          <cell r="AP547">
            <v>0</v>
          </cell>
          <cell r="AQ547">
            <v>0</v>
          </cell>
          <cell r="AR547">
            <v>740</v>
          </cell>
          <cell r="AS547">
            <v>0</v>
          </cell>
          <cell r="AT547" t="str">
            <v/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1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 t="str">
            <v/>
          </cell>
          <cell r="BK547">
            <v>6300</v>
          </cell>
          <cell r="BL547" t="str">
            <v>0</v>
          </cell>
          <cell r="BM547" t="str">
            <v>1</v>
          </cell>
          <cell r="BN547" t="str">
            <v/>
          </cell>
          <cell r="BO547" t="str">
            <v/>
          </cell>
        </row>
        <row r="548">
          <cell r="A548">
            <v>1</v>
          </cell>
          <cell r="B548">
            <v>4301011</v>
          </cell>
          <cell r="C548" t="str">
            <v>FOURNITURES DE PROD.</v>
          </cell>
          <cell r="D548" t="str">
            <v>BLADES</v>
          </cell>
          <cell r="E548" t="str">
            <v>O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3555</v>
          </cell>
          <cell r="AA548">
            <v>3555</v>
          </cell>
          <cell r="AB548">
            <v>3555</v>
          </cell>
          <cell r="AC548">
            <v>3555</v>
          </cell>
          <cell r="AD548">
            <v>3555</v>
          </cell>
          <cell r="AE548">
            <v>3555</v>
          </cell>
          <cell r="AF548">
            <v>3716.77</v>
          </cell>
          <cell r="AG548">
            <v>3716.77</v>
          </cell>
          <cell r="AH548">
            <v>3716.77</v>
          </cell>
          <cell r="AI548">
            <v>3716.77</v>
          </cell>
          <cell r="AJ548">
            <v>3716.77</v>
          </cell>
          <cell r="AK548">
            <v>3716.77</v>
          </cell>
          <cell r="AL548">
            <v>0</v>
          </cell>
          <cell r="AM548">
            <v>1</v>
          </cell>
          <cell r="AN548" t="str">
            <v/>
          </cell>
          <cell r="AO548">
            <v>0</v>
          </cell>
          <cell r="AP548">
            <v>0</v>
          </cell>
          <cell r="AQ548">
            <v>0</v>
          </cell>
          <cell r="AR548">
            <v>740</v>
          </cell>
          <cell r="AS548">
            <v>0</v>
          </cell>
          <cell r="AT548" t="str">
            <v/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 t="str">
            <v/>
          </cell>
          <cell r="BK548">
            <v>6300</v>
          </cell>
          <cell r="BL548" t="str">
            <v>0</v>
          </cell>
          <cell r="BM548" t="str">
            <v>1</v>
          </cell>
          <cell r="BN548" t="str">
            <v/>
          </cell>
          <cell r="BO548" t="str">
            <v/>
          </cell>
        </row>
        <row r="549">
          <cell r="A549">
            <v>1</v>
          </cell>
          <cell r="B549">
            <v>4301021</v>
          </cell>
          <cell r="C549" t="str">
            <v>FOURNITURES DE PROD.</v>
          </cell>
          <cell r="D549" t="str">
            <v>AUTRES</v>
          </cell>
          <cell r="E549" t="str">
            <v>O</v>
          </cell>
          <cell r="F549">
            <v>0</v>
          </cell>
          <cell r="G549">
            <v>0</v>
          </cell>
          <cell r="H549">
            <v>1875.06</v>
          </cell>
          <cell r="I549">
            <v>2475.06</v>
          </cell>
          <cell r="J549">
            <v>600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1275.06</v>
          </cell>
          <cell r="Q549">
            <v>1875.06</v>
          </cell>
          <cell r="R549">
            <v>1875.06</v>
          </cell>
          <cell r="S549">
            <v>1875.06</v>
          </cell>
          <cell r="T549">
            <v>1875.06</v>
          </cell>
          <cell r="U549">
            <v>1875.06</v>
          </cell>
          <cell r="V549">
            <v>1875.06</v>
          </cell>
          <cell r="W549">
            <v>1875.06</v>
          </cell>
          <cell r="X549">
            <v>1875.06</v>
          </cell>
          <cell r="Y549">
            <v>1875.06</v>
          </cell>
          <cell r="Z549">
            <v>2036.67</v>
          </cell>
          <cell r="AA549">
            <v>3132.3</v>
          </cell>
          <cell r="AB549">
            <v>4175.58</v>
          </cell>
          <cell r="AC549">
            <v>6354.05</v>
          </cell>
          <cell r="AD549">
            <v>7394.09</v>
          </cell>
          <cell r="AE549">
            <v>8778.61</v>
          </cell>
          <cell r="AF549">
            <v>8966.06</v>
          </cell>
          <cell r="AG549">
            <v>9050.18</v>
          </cell>
          <cell r="AH549">
            <v>10137.700000000001</v>
          </cell>
          <cell r="AI549">
            <v>10137.700000000001</v>
          </cell>
          <cell r="AJ549">
            <v>10137.700000000001</v>
          </cell>
          <cell r="AK549">
            <v>10137.700000000001</v>
          </cell>
          <cell r="AL549">
            <v>0</v>
          </cell>
          <cell r="AM549">
            <v>1</v>
          </cell>
          <cell r="AN549" t="str">
            <v/>
          </cell>
          <cell r="AO549">
            <v>0</v>
          </cell>
          <cell r="AP549">
            <v>0</v>
          </cell>
          <cell r="AQ549">
            <v>0</v>
          </cell>
          <cell r="AR549">
            <v>740</v>
          </cell>
          <cell r="AS549">
            <v>0</v>
          </cell>
          <cell r="AT549" t="str">
            <v/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 t="str">
            <v/>
          </cell>
          <cell r="BK549">
            <v>6300</v>
          </cell>
          <cell r="BL549" t="str">
            <v>0</v>
          </cell>
          <cell r="BM549" t="str">
            <v>1</v>
          </cell>
          <cell r="BN549" t="str">
            <v/>
          </cell>
          <cell r="BO549" t="str">
            <v/>
          </cell>
        </row>
        <row r="550">
          <cell r="A550">
            <v>1</v>
          </cell>
          <cell r="B550">
            <v>4301002</v>
          </cell>
          <cell r="C550" t="str">
            <v>FOURNITURES DE PROD.</v>
          </cell>
          <cell r="D550" t="str">
            <v>EMBALLAGE - BANDING ROLL</v>
          </cell>
          <cell r="E550" t="str">
            <v>O</v>
          </cell>
          <cell r="F550">
            <v>0</v>
          </cell>
          <cell r="G550">
            <v>0</v>
          </cell>
          <cell r="H550">
            <v>189075.71</v>
          </cell>
          <cell r="I550">
            <v>932532.12</v>
          </cell>
          <cell r="J550">
            <v>743456.41</v>
          </cell>
          <cell r="K550">
            <v>0</v>
          </cell>
          <cell r="L550">
            <v>99908.87</v>
          </cell>
          <cell r="M550">
            <v>80661.789999999994</v>
          </cell>
          <cell r="N550">
            <v>22232.5</v>
          </cell>
          <cell r="O550">
            <v>16034.5</v>
          </cell>
          <cell r="P550">
            <v>32277.31</v>
          </cell>
          <cell r="Q550">
            <v>47998.68</v>
          </cell>
          <cell r="R550">
            <v>72956.679999999993</v>
          </cell>
          <cell r="S550">
            <v>91055.039999999994</v>
          </cell>
          <cell r="T550">
            <v>114455.79</v>
          </cell>
          <cell r="U550">
            <v>131213.17000000001</v>
          </cell>
          <cell r="V550">
            <v>147873.65</v>
          </cell>
          <cell r="W550">
            <v>175281.5</v>
          </cell>
          <cell r="X550">
            <v>189075.71</v>
          </cell>
          <cell r="Y550">
            <v>208322.79</v>
          </cell>
          <cell r="Z550">
            <v>17931.689999999999</v>
          </cell>
          <cell r="AA550">
            <v>43390.63</v>
          </cell>
          <cell r="AB550">
            <v>69664.210000000006</v>
          </cell>
          <cell r="AC550">
            <v>86142.399999999994</v>
          </cell>
          <cell r="AD550">
            <v>106006.98</v>
          </cell>
          <cell r="AE550">
            <v>129683.29</v>
          </cell>
          <cell r="AF550">
            <v>144881.75</v>
          </cell>
          <cell r="AG550">
            <v>179016.42</v>
          </cell>
          <cell r="AH550">
            <v>192649.9</v>
          </cell>
          <cell r="AI550">
            <v>226800.09</v>
          </cell>
          <cell r="AJ550">
            <v>256793.26</v>
          </cell>
          <cell r="AK550">
            <v>291762.39</v>
          </cell>
          <cell r="AL550">
            <v>0</v>
          </cell>
          <cell r="AM550">
            <v>2</v>
          </cell>
          <cell r="AN550" t="str">
            <v/>
          </cell>
          <cell r="AO550">
            <v>0</v>
          </cell>
          <cell r="AP550">
            <v>0</v>
          </cell>
          <cell r="AQ550">
            <v>0</v>
          </cell>
          <cell r="AR550">
            <v>740</v>
          </cell>
          <cell r="AS550">
            <v>0</v>
          </cell>
          <cell r="AT550" t="str">
            <v/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1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 t="str">
            <v/>
          </cell>
          <cell r="BK550">
            <v>6300</v>
          </cell>
          <cell r="BL550" t="str">
            <v>0</v>
          </cell>
          <cell r="BM550" t="str">
            <v>1</v>
          </cell>
          <cell r="BN550" t="str">
            <v/>
          </cell>
          <cell r="BO550" t="str">
            <v/>
          </cell>
        </row>
        <row r="551">
          <cell r="A551">
            <v>1</v>
          </cell>
          <cell r="B551">
            <v>4301012</v>
          </cell>
          <cell r="C551" t="str">
            <v>FOURNITURES DE PROD.</v>
          </cell>
          <cell r="D551" t="str">
            <v>EMBALLAGE - TAPE 3M</v>
          </cell>
          <cell r="E551" t="str">
            <v>O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2</v>
          </cell>
          <cell r="AN551" t="str">
            <v/>
          </cell>
          <cell r="AO551">
            <v>0</v>
          </cell>
          <cell r="AP551">
            <v>0</v>
          </cell>
          <cell r="AQ551">
            <v>0</v>
          </cell>
          <cell r="AR551">
            <v>740</v>
          </cell>
          <cell r="AS551">
            <v>0</v>
          </cell>
          <cell r="AT551" t="str">
            <v/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 t="str">
            <v/>
          </cell>
          <cell r="BK551">
            <v>6300</v>
          </cell>
          <cell r="BL551" t="str">
            <v>0</v>
          </cell>
          <cell r="BM551" t="str">
            <v>1</v>
          </cell>
          <cell r="BN551" t="str">
            <v/>
          </cell>
          <cell r="BO551" t="str">
            <v/>
          </cell>
        </row>
        <row r="552">
          <cell r="A552">
            <v>1</v>
          </cell>
          <cell r="B552">
            <v>4301022</v>
          </cell>
          <cell r="C552" t="str">
            <v>FOURNITURES DE PROD.</v>
          </cell>
          <cell r="D552" t="str">
            <v>EMB. - MANDRIN M/A#14 RLX</v>
          </cell>
          <cell r="E552" t="str">
            <v>O</v>
          </cell>
          <cell r="F552">
            <v>0</v>
          </cell>
          <cell r="G552">
            <v>0</v>
          </cell>
          <cell r="H552">
            <v>391680.76</v>
          </cell>
          <cell r="I552">
            <v>544724.11</v>
          </cell>
          <cell r="J552">
            <v>153043.35</v>
          </cell>
          <cell r="K552">
            <v>0</v>
          </cell>
          <cell r="L552">
            <v>94519.74</v>
          </cell>
          <cell r="M552">
            <v>69844.03</v>
          </cell>
          <cell r="N552">
            <v>42237.62</v>
          </cell>
          <cell r="O552">
            <v>69385.16</v>
          </cell>
          <cell r="P552">
            <v>99509.2</v>
          </cell>
          <cell r="Q552">
            <v>123895.16</v>
          </cell>
          <cell r="R552">
            <v>155428.76999999999</v>
          </cell>
          <cell r="S552">
            <v>197284.26</v>
          </cell>
          <cell r="T552">
            <v>244069.08</v>
          </cell>
          <cell r="U552">
            <v>248675.01</v>
          </cell>
          <cell r="V552">
            <v>304219.65000000002</v>
          </cell>
          <cell r="W552">
            <v>359122.2</v>
          </cell>
          <cell r="X552">
            <v>391680.76</v>
          </cell>
          <cell r="Y552">
            <v>416356.47</v>
          </cell>
          <cell r="Z552">
            <v>15989.34</v>
          </cell>
          <cell r="AA552">
            <v>37914.769999999997</v>
          </cell>
          <cell r="AB552">
            <v>70030.289999999994</v>
          </cell>
          <cell r="AC552">
            <v>85304.37</v>
          </cell>
          <cell r="AD552">
            <v>104881.35</v>
          </cell>
          <cell r="AE552">
            <v>118846.49</v>
          </cell>
          <cell r="AF552">
            <v>141842.26999999999</v>
          </cell>
          <cell r="AG552">
            <v>166060.9</v>
          </cell>
          <cell r="AH552">
            <v>235555.19</v>
          </cell>
          <cell r="AI552">
            <v>276563.71000000002</v>
          </cell>
          <cell r="AJ552">
            <v>323336.90000000002</v>
          </cell>
          <cell r="AK552">
            <v>365800.57</v>
          </cell>
          <cell r="AL552">
            <v>0</v>
          </cell>
          <cell r="AM552">
            <v>2</v>
          </cell>
          <cell r="AN552" t="str">
            <v/>
          </cell>
          <cell r="AO552">
            <v>0</v>
          </cell>
          <cell r="AP552">
            <v>0</v>
          </cell>
          <cell r="AQ552">
            <v>0</v>
          </cell>
          <cell r="AR552">
            <v>740</v>
          </cell>
          <cell r="AS552">
            <v>0</v>
          </cell>
          <cell r="AT552" t="str">
            <v/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1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 t="str">
            <v/>
          </cell>
          <cell r="BK552">
            <v>6300</v>
          </cell>
          <cell r="BL552" t="str">
            <v>0</v>
          </cell>
          <cell r="BM552" t="str">
            <v>1</v>
          </cell>
          <cell r="BN552" t="str">
            <v/>
          </cell>
          <cell r="BO552" t="str">
            <v/>
          </cell>
        </row>
        <row r="553">
          <cell r="A553">
            <v>1</v>
          </cell>
          <cell r="B553">
            <v>4301032</v>
          </cell>
          <cell r="C553" t="str">
            <v>FOURNITURES DE PROD.</v>
          </cell>
          <cell r="D553" t="str">
            <v>EMBALLAGE - COLLE</v>
          </cell>
          <cell r="E553" t="str">
            <v>O</v>
          </cell>
          <cell r="F553">
            <v>0</v>
          </cell>
          <cell r="G553">
            <v>0</v>
          </cell>
          <cell r="H553">
            <v>63447.31</v>
          </cell>
          <cell r="I553">
            <v>63447.31</v>
          </cell>
          <cell r="J553">
            <v>0</v>
          </cell>
          <cell r="K553">
            <v>0</v>
          </cell>
          <cell r="L553">
            <v>11867.1</v>
          </cell>
          <cell r="M553">
            <v>7911.4</v>
          </cell>
          <cell r="N553">
            <v>5166.17</v>
          </cell>
          <cell r="O553">
            <v>10592.11</v>
          </cell>
          <cell r="P553">
            <v>13984.51</v>
          </cell>
          <cell r="Q553">
            <v>18217.810000000001</v>
          </cell>
          <cell r="R553">
            <v>23503.81</v>
          </cell>
          <cell r="S553">
            <v>28403.05</v>
          </cell>
          <cell r="T553">
            <v>40414.58</v>
          </cell>
          <cell r="U553">
            <v>44890.48</v>
          </cell>
          <cell r="V553">
            <v>50364.98</v>
          </cell>
          <cell r="W553">
            <v>55368.18</v>
          </cell>
          <cell r="X553">
            <v>63447.31</v>
          </cell>
          <cell r="Y553">
            <v>67403.009999999995</v>
          </cell>
          <cell r="Z553">
            <v>5969.17</v>
          </cell>
          <cell r="AA553">
            <v>9934.9699999999993</v>
          </cell>
          <cell r="AB553">
            <v>14065.77</v>
          </cell>
          <cell r="AC553">
            <v>17905.689999999999</v>
          </cell>
          <cell r="AD553">
            <v>25436.17</v>
          </cell>
          <cell r="AE553">
            <v>30748.15</v>
          </cell>
          <cell r="AF553">
            <v>34114.01</v>
          </cell>
          <cell r="AG553">
            <v>37795.410000000003</v>
          </cell>
          <cell r="AH553">
            <v>42140.61</v>
          </cell>
          <cell r="AI553">
            <v>48351.12</v>
          </cell>
          <cell r="AJ553">
            <v>50978.42</v>
          </cell>
          <cell r="AK553">
            <v>55456.45</v>
          </cell>
          <cell r="AL553">
            <v>0</v>
          </cell>
          <cell r="AM553">
            <v>2</v>
          </cell>
          <cell r="AN553" t="str">
            <v/>
          </cell>
          <cell r="AO553">
            <v>0</v>
          </cell>
          <cell r="AP553">
            <v>0</v>
          </cell>
          <cell r="AQ553">
            <v>0</v>
          </cell>
          <cell r="AR553">
            <v>740</v>
          </cell>
          <cell r="AS553">
            <v>0</v>
          </cell>
          <cell r="AT553" t="str">
            <v/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 t="str">
            <v/>
          </cell>
          <cell r="BK553">
            <v>6300</v>
          </cell>
          <cell r="BL553" t="str">
            <v>0</v>
          </cell>
          <cell r="BM553" t="str">
            <v>1</v>
          </cell>
          <cell r="BN553" t="str">
            <v/>
          </cell>
          <cell r="BO553" t="str">
            <v/>
          </cell>
        </row>
        <row r="554">
          <cell r="A554">
            <v>1</v>
          </cell>
          <cell r="B554">
            <v>4309001</v>
          </cell>
          <cell r="C554" t="str">
            <v>FOURNITURES DE PROD.</v>
          </cell>
          <cell r="D554" t="str">
            <v>TRANSFERT DIVISION PAPIER</v>
          </cell>
          <cell r="E554" t="str">
            <v>O</v>
          </cell>
          <cell r="F554">
            <v>0</v>
          </cell>
          <cell r="G554">
            <v>0</v>
          </cell>
          <cell r="H554">
            <v>128102.8</v>
          </cell>
          <cell r="I554">
            <v>150434.65</v>
          </cell>
          <cell r="J554">
            <v>22331.85</v>
          </cell>
          <cell r="K554">
            <v>0</v>
          </cell>
          <cell r="L554">
            <v>8870.07</v>
          </cell>
          <cell r="M554">
            <v>5655.12</v>
          </cell>
          <cell r="N554">
            <v>8059.01</v>
          </cell>
          <cell r="O554">
            <v>14926.06</v>
          </cell>
          <cell r="P554">
            <v>21798.22</v>
          </cell>
          <cell r="Q554">
            <v>35380.32</v>
          </cell>
          <cell r="R554">
            <v>52398.5</v>
          </cell>
          <cell r="S554">
            <v>62038.69</v>
          </cell>
          <cell r="T554">
            <v>69463.77</v>
          </cell>
          <cell r="U554">
            <v>80292.429999999993</v>
          </cell>
          <cell r="V554">
            <v>100103.24</v>
          </cell>
          <cell r="W554">
            <v>113299.27</v>
          </cell>
          <cell r="X554">
            <v>128102.8</v>
          </cell>
          <cell r="Y554">
            <v>131317.75</v>
          </cell>
          <cell r="Z554">
            <v>2956.25</v>
          </cell>
          <cell r="AA554">
            <v>3686.81</v>
          </cell>
          <cell r="AB554">
            <v>4969.21</v>
          </cell>
          <cell r="AC554">
            <v>8424.49</v>
          </cell>
          <cell r="AD554">
            <v>14846.09</v>
          </cell>
          <cell r="AE554">
            <v>11703.45</v>
          </cell>
          <cell r="AF554">
            <v>14368.8</v>
          </cell>
          <cell r="AG554">
            <v>21114.75</v>
          </cell>
          <cell r="AH554">
            <v>23476.58</v>
          </cell>
          <cell r="AI554">
            <v>25733</v>
          </cell>
          <cell r="AJ554">
            <v>27668.11</v>
          </cell>
          <cell r="AK554">
            <v>32883.82</v>
          </cell>
          <cell r="AL554">
            <v>0</v>
          </cell>
          <cell r="AM554">
            <v>1</v>
          </cell>
          <cell r="AN554" t="str">
            <v/>
          </cell>
          <cell r="AO554">
            <v>0</v>
          </cell>
          <cell r="AP554">
            <v>0</v>
          </cell>
          <cell r="AQ554">
            <v>0</v>
          </cell>
          <cell r="AR554">
            <v>740</v>
          </cell>
          <cell r="AS554">
            <v>0</v>
          </cell>
          <cell r="AT554" t="str">
            <v/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 t="str">
            <v/>
          </cell>
          <cell r="BK554">
            <v>6300</v>
          </cell>
          <cell r="BL554" t="str">
            <v>0</v>
          </cell>
          <cell r="BM554" t="str">
            <v>1</v>
          </cell>
          <cell r="BN554" t="str">
            <v/>
          </cell>
          <cell r="BO554" t="str">
            <v/>
          </cell>
        </row>
        <row r="555">
          <cell r="A555">
            <v>1</v>
          </cell>
          <cell r="B555">
            <v>4309002</v>
          </cell>
          <cell r="C555" t="str">
            <v>FOURNITURES DE PROD.</v>
          </cell>
          <cell r="D555" t="str">
            <v>TRANSFERT DIV. SERVIETTES</v>
          </cell>
          <cell r="E555" t="str">
            <v>O</v>
          </cell>
          <cell r="F555">
            <v>0</v>
          </cell>
          <cell r="G555">
            <v>0</v>
          </cell>
          <cell r="H555">
            <v>85553.51</v>
          </cell>
          <cell r="I555">
            <v>102598.1</v>
          </cell>
          <cell r="J555">
            <v>17044.59</v>
          </cell>
          <cell r="K555">
            <v>0</v>
          </cell>
          <cell r="L555">
            <v>15206.33</v>
          </cell>
          <cell r="M555">
            <v>10051.209999999999</v>
          </cell>
          <cell r="N555">
            <v>5432.1</v>
          </cell>
          <cell r="O555">
            <v>14775.92</v>
          </cell>
          <cell r="P555">
            <v>24347.75</v>
          </cell>
          <cell r="Q555">
            <v>31497.25</v>
          </cell>
          <cell r="R555">
            <v>38537.449999999997</v>
          </cell>
          <cell r="S555">
            <v>45885.05</v>
          </cell>
          <cell r="T555">
            <v>57763.75</v>
          </cell>
          <cell r="U555">
            <v>64517.7</v>
          </cell>
          <cell r="V555">
            <v>70710.38</v>
          </cell>
          <cell r="W555">
            <v>75016.649999999994</v>
          </cell>
          <cell r="X555">
            <v>85553.51</v>
          </cell>
          <cell r="Y555">
            <v>90708.63</v>
          </cell>
          <cell r="Z555">
            <v>2982.58</v>
          </cell>
          <cell r="AA555">
            <v>7054.32</v>
          </cell>
          <cell r="AB555">
            <v>8906.48</v>
          </cell>
          <cell r="AC555">
            <v>11133.13</v>
          </cell>
          <cell r="AD555">
            <v>12560.69</v>
          </cell>
          <cell r="AE555">
            <v>21156.33</v>
          </cell>
          <cell r="AF555">
            <v>28827.48</v>
          </cell>
          <cell r="AG555">
            <v>35534.14</v>
          </cell>
          <cell r="AH555">
            <v>43077.79</v>
          </cell>
          <cell r="AI555">
            <v>50379.97</v>
          </cell>
          <cell r="AJ555">
            <v>59270.98</v>
          </cell>
          <cell r="AK555">
            <v>65184.28</v>
          </cell>
          <cell r="AL555">
            <v>0</v>
          </cell>
          <cell r="AM555">
            <v>2</v>
          </cell>
          <cell r="AN555" t="str">
            <v/>
          </cell>
          <cell r="AO555">
            <v>0</v>
          </cell>
          <cell r="AP555">
            <v>0</v>
          </cell>
          <cell r="AQ555">
            <v>0</v>
          </cell>
          <cell r="AR555">
            <v>740</v>
          </cell>
          <cell r="AS555">
            <v>0</v>
          </cell>
          <cell r="AT555" t="str">
            <v/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 t="str">
            <v/>
          </cell>
          <cell r="BK555">
            <v>6300</v>
          </cell>
          <cell r="BL555" t="str">
            <v>0</v>
          </cell>
          <cell r="BM555" t="str">
            <v>1</v>
          </cell>
          <cell r="BN555" t="str">
            <v/>
          </cell>
          <cell r="BO555" t="str">
            <v/>
          </cell>
        </row>
        <row r="556">
          <cell r="A556">
            <v>1</v>
          </cell>
          <cell r="B556">
            <v>4309003</v>
          </cell>
          <cell r="C556" t="str">
            <v>FOURNITURES DE PROD.</v>
          </cell>
          <cell r="D556" t="str">
            <v>TRANSFERT DIVISION SACS</v>
          </cell>
          <cell r="E556" t="str">
            <v>O</v>
          </cell>
          <cell r="F556">
            <v>0</v>
          </cell>
          <cell r="G556">
            <v>0</v>
          </cell>
          <cell r="H556">
            <v>38673.68</v>
          </cell>
          <cell r="I556">
            <v>75261.850000000006</v>
          </cell>
          <cell r="J556">
            <v>36588.17</v>
          </cell>
          <cell r="K556">
            <v>0</v>
          </cell>
          <cell r="L556">
            <v>8457.4599999999991</v>
          </cell>
          <cell r="M556">
            <v>6025.92</v>
          </cell>
          <cell r="N556">
            <v>4701.43</v>
          </cell>
          <cell r="O556">
            <v>8813.74</v>
          </cell>
          <cell r="P556">
            <v>11248.95</v>
          </cell>
          <cell r="Q556">
            <v>15329.59</v>
          </cell>
          <cell r="R556">
            <v>17153.599999999999</v>
          </cell>
          <cell r="S556">
            <v>21157.7</v>
          </cell>
          <cell r="T556">
            <v>24971.9</v>
          </cell>
          <cell r="U556">
            <v>28310.73</v>
          </cell>
          <cell r="V556">
            <v>30439.02</v>
          </cell>
          <cell r="W556">
            <v>35988.129999999997</v>
          </cell>
          <cell r="X556">
            <v>38673.68</v>
          </cell>
          <cell r="Y556">
            <v>41105.22</v>
          </cell>
          <cell r="Z556">
            <v>8050.2</v>
          </cell>
          <cell r="AA556">
            <v>28910.34</v>
          </cell>
          <cell r="AB556">
            <v>35253</v>
          </cell>
          <cell r="AC556">
            <v>36276.97</v>
          </cell>
          <cell r="AD556">
            <v>42225.71</v>
          </cell>
          <cell r="AE556">
            <v>52598.81</v>
          </cell>
          <cell r="AF556">
            <v>58058.65</v>
          </cell>
          <cell r="AG556">
            <v>63709.97</v>
          </cell>
          <cell r="AH556">
            <v>67973.83</v>
          </cell>
          <cell r="AI556">
            <v>71410.929999999993</v>
          </cell>
          <cell r="AJ556">
            <v>80368.27</v>
          </cell>
          <cell r="AK556">
            <v>89581.41</v>
          </cell>
          <cell r="AL556">
            <v>0</v>
          </cell>
          <cell r="AM556">
            <v>3</v>
          </cell>
          <cell r="AN556" t="str">
            <v/>
          </cell>
          <cell r="AO556">
            <v>0</v>
          </cell>
          <cell r="AP556">
            <v>0</v>
          </cell>
          <cell r="AQ556">
            <v>0</v>
          </cell>
          <cell r="AR556">
            <v>740</v>
          </cell>
          <cell r="AS556">
            <v>0</v>
          </cell>
          <cell r="AT556" t="str">
            <v/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 t="str">
            <v/>
          </cell>
          <cell r="BK556">
            <v>6300</v>
          </cell>
          <cell r="BL556" t="str">
            <v>0</v>
          </cell>
          <cell r="BM556" t="str">
            <v>1</v>
          </cell>
          <cell r="BN556" t="str">
            <v/>
          </cell>
          <cell r="BO556" t="str">
            <v/>
          </cell>
        </row>
        <row r="557">
          <cell r="A557">
            <v>1</v>
          </cell>
          <cell r="B557">
            <v>4309004</v>
          </cell>
          <cell r="C557" t="str">
            <v>FOURNITURES DE PROD.</v>
          </cell>
          <cell r="D557" t="str">
            <v>TRANSFERT DIVISION BOITES</v>
          </cell>
          <cell r="E557" t="str">
            <v>O</v>
          </cell>
          <cell r="F557">
            <v>0</v>
          </cell>
          <cell r="G557">
            <v>0</v>
          </cell>
          <cell r="H557">
            <v>0</v>
          </cell>
          <cell r="I557">
            <v>6833.8</v>
          </cell>
          <cell r="J557">
            <v>6833.8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1</v>
          </cell>
          <cell r="R557">
            <v>1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3715.01</v>
          </cell>
          <cell r="AA557">
            <v>3661.69</v>
          </cell>
          <cell r="AB557">
            <v>3915.82</v>
          </cell>
          <cell r="AC557">
            <v>3500.21</v>
          </cell>
          <cell r="AD557">
            <v>3500.21</v>
          </cell>
          <cell r="AE557">
            <v>3500.21</v>
          </cell>
          <cell r="AF557">
            <v>3500.21</v>
          </cell>
          <cell r="AG557">
            <v>3494</v>
          </cell>
          <cell r="AH557">
            <v>3494</v>
          </cell>
          <cell r="AI557">
            <v>3494</v>
          </cell>
          <cell r="AJ557">
            <v>3494</v>
          </cell>
          <cell r="AK557">
            <v>3494</v>
          </cell>
          <cell r="AL557">
            <v>0</v>
          </cell>
          <cell r="AM557">
            <v>4</v>
          </cell>
          <cell r="AN557" t="str">
            <v/>
          </cell>
          <cell r="AO557">
            <v>0</v>
          </cell>
          <cell r="AP557">
            <v>0</v>
          </cell>
          <cell r="AQ557">
            <v>0</v>
          </cell>
          <cell r="AR557">
            <v>740</v>
          </cell>
          <cell r="AS557">
            <v>0</v>
          </cell>
          <cell r="AT557" t="str">
            <v/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 t="str">
            <v/>
          </cell>
          <cell r="BK557">
            <v>6300</v>
          </cell>
          <cell r="BL557" t="str">
            <v>0</v>
          </cell>
          <cell r="BM557" t="str">
            <v>1</v>
          </cell>
          <cell r="BN557" t="str">
            <v/>
          </cell>
          <cell r="BO557" t="str">
            <v/>
          </cell>
        </row>
        <row r="558">
          <cell r="A558">
            <v>1</v>
          </cell>
          <cell r="B558">
            <v>4313001</v>
          </cell>
          <cell r="C558" t="str">
            <v>CHIMIQUES</v>
          </cell>
          <cell r="D558" t="str">
            <v>ESSAIS PRODUITS CHIMIQUES</v>
          </cell>
          <cell r="E558" t="str">
            <v>O</v>
          </cell>
          <cell r="F558">
            <v>0</v>
          </cell>
          <cell r="G558">
            <v>0</v>
          </cell>
          <cell r="H558">
            <v>3994.05</v>
          </cell>
          <cell r="I558">
            <v>9764.4500000000007</v>
          </cell>
          <cell r="J558">
            <v>5770.4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5727.75</v>
          </cell>
          <cell r="Q558">
            <v>1691.05</v>
          </cell>
          <cell r="R558">
            <v>3994.05</v>
          </cell>
          <cell r="S558">
            <v>3994.05</v>
          </cell>
          <cell r="T558">
            <v>3994.05</v>
          </cell>
          <cell r="U558">
            <v>3994.05</v>
          </cell>
          <cell r="V558">
            <v>3994.05</v>
          </cell>
          <cell r="W558">
            <v>3994.05</v>
          </cell>
          <cell r="X558">
            <v>3994.05</v>
          </cell>
          <cell r="Y558">
            <v>3994.05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5486.89</v>
          </cell>
          <cell r="AE558">
            <v>10921.54</v>
          </cell>
          <cell r="AF558">
            <v>10921.54</v>
          </cell>
          <cell r="AG558">
            <v>10921.54</v>
          </cell>
          <cell r="AH558">
            <v>10921.54</v>
          </cell>
          <cell r="AI558">
            <v>10921.54</v>
          </cell>
          <cell r="AJ558">
            <v>10921.54</v>
          </cell>
          <cell r="AK558">
            <v>10921.54</v>
          </cell>
          <cell r="AL558">
            <v>0</v>
          </cell>
          <cell r="AM558">
            <v>1</v>
          </cell>
          <cell r="AN558" t="str">
            <v/>
          </cell>
          <cell r="AO558">
            <v>0</v>
          </cell>
          <cell r="AP558">
            <v>0</v>
          </cell>
          <cell r="AQ558">
            <v>0</v>
          </cell>
          <cell r="AR558">
            <v>660</v>
          </cell>
          <cell r="AS558">
            <v>0</v>
          </cell>
          <cell r="AT558" t="str">
            <v/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 t="str">
            <v/>
          </cell>
          <cell r="BK558">
            <v>6200</v>
          </cell>
          <cell r="BL558" t="str">
            <v/>
          </cell>
          <cell r="BM558" t="str">
            <v>1</v>
          </cell>
          <cell r="BN558" t="str">
            <v/>
          </cell>
          <cell r="BO558" t="str">
            <v/>
          </cell>
        </row>
        <row r="559">
          <cell r="A559">
            <v>1</v>
          </cell>
          <cell r="B559">
            <v>4313281</v>
          </cell>
          <cell r="C559" t="str">
            <v>CHIMIQUES</v>
          </cell>
          <cell r="D559" t="str">
            <v>R43028 DEFOAMER 329</v>
          </cell>
          <cell r="E559" t="str">
            <v>O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1</v>
          </cell>
          <cell r="AN559" t="str">
            <v/>
          </cell>
          <cell r="AO559">
            <v>0</v>
          </cell>
          <cell r="AP559">
            <v>0</v>
          </cell>
          <cell r="AQ559">
            <v>0</v>
          </cell>
          <cell r="AR559">
            <v>660</v>
          </cell>
          <cell r="AS559">
            <v>0</v>
          </cell>
          <cell r="AT559" t="str">
            <v/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1</v>
          </cell>
          <cell r="BC559">
            <v>1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 t="str">
            <v/>
          </cell>
          <cell r="BK559">
            <v>6200</v>
          </cell>
          <cell r="BL559" t="str">
            <v/>
          </cell>
          <cell r="BM559" t="str">
            <v>1</v>
          </cell>
          <cell r="BN559" t="str">
            <v/>
          </cell>
          <cell r="BO559" t="str">
            <v/>
          </cell>
        </row>
        <row r="560">
          <cell r="A560">
            <v>1</v>
          </cell>
          <cell r="B560">
            <v>4313451</v>
          </cell>
          <cell r="C560" t="str">
            <v>CHIMIQUES</v>
          </cell>
          <cell r="D560" t="str">
            <v>R43045 CASCOLOCK</v>
          </cell>
          <cell r="E560" t="str">
            <v>O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1</v>
          </cell>
          <cell r="AN560" t="str">
            <v/>
          </cell>
          <cell r="AO560">
            <v>0</v>
          </cell>
          <cell r="AP560">
            <v>0</v>
          </cell>
          <cell r="AQ560">
            <v>0</v>
          </cell>
          <cell r="AR560">
            <v>660</v>
          </cell>
          <cell r="AS560">
            <v>0</v>
          </cell>
          <cell r="AT560" t="str">
            <v/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 t="str">
            <v/>
          </cell>
          <cell r="BK560">
            <v>6200</v>
          </cell>
          <cell r="BL560" t="str">
            <v/>
          </cell>
          <cell r="BM560" t="str">
            <v>1</v>
          </cell>
          <cell r="BN560" t="str">
            <v/>
          </cell>
          <cell r="BO560" t="str">
            <v/>
          </cell>
        </row>
        <row r="561">
          <cell r="A561">
            <v>1</v>
          </cell>
          <cell r="B561">
            <v>4313531</v>
          </cell>
          <cell r="C561" t="str">
            <v>CHIMIQUES</v>
          </cell>
          <cell r="D561" t="str">
            <v>R43053 ALKASURF ANTAROX</v>
          </cell>
          <cell r="E561" t="str">
            <v>O</v>
          </cell>
          <cell r="F561">
            <v>0</v>
          </cell>
          <cell r="G561">
            <v>0</v>
          </cell>
          <cell r="H561">
            <v>154760</v>
          </cell>
          <cell r="I561">
            <v>279760.8</v>
          </cell>
          <cell r="J561">
            <v>125000.8</v>
          </cell>
          <cell r="K561">
            <v>0</v>
          </cell>
          <cell r="L561">
            <v>28427</v>
          </cell>
          <cell r="M561">
            <v>11718</v>
          </cell>
          <cell r="N561">
            <v>8580.2999999999993</v>
          </cell>
          <cell r="O561">
            <v>27805.5</v>
          </cell>
          <cell r="P561">
            <v>44292.7</v>
          </cell>
          <cell r="Q561">
            <v>58870.7</v>
          </cell>
          <cell r="R561">
            <v>74688.2</v>
          </cell>
          <cell r="S561">
            <v>87649.3</v>
          </cell>
          <cell r="T561">
            <v>102134.8</v>
          </cell>
          <cell r="U561">
            <v>102134.8</v>
          </cell>
          <cell r="V561">
            <v>115665.7</v>
          </cell>
          <cell r="W561">
            <v>133129.60000000001</v>
          </cell>
          <cell r="X561">
            <v>154760</v>
          </cell>
          <cell r="Y561">
            <v>171469</v>
          </cell>
          <cell r="Z561">
            <v>7534.42</v>
          </cell>
          <cell r="AA561">
            <v>13469.93</v>
          </cell>
          <cell r="AB561">
            <v>23012.49</v>
          </cell>
          <cell r="AC561">
            <v>35495.89</v>
          </cell>
          <cell r="AD561">
            <v>46548.19</v>
          </cell>
          <cell r="AE561">
            <v>58636.49</v>
          </cell>
          <cell r="AF561">
            <v>72674.289999999994</v>
          </cell>
          <cell r="AG561">
            <v>84452.29</v>
          </cell>
          <cell r="AH561">
            <v>96638.69</v>
          </cell>
          <cell r="AI561">
            <v>106447.69</v>
          </cell>
          <cell r="AJ561">
            <v>117969.69</v>
          </cell>
          <cell r="AK561">
            <v>127478.69</v>
          </cell>
          <cell r="AL561">
            <v>0</v>
          </cell>
          <cell r="AM561">
            <v>1</v>
          </cell>
          <cell r="AN561" t="str">
            <v/>
          </cell>
          <cell r="AO561">
            <v>0</v>
          </cell>
          <cell r="AP561">
            <v>0</v>
          </cell>
          <cell r="AQ561">
            <v>0</v>
          </cell>
          <cell r="AR561">
            <v>660</v>
          </cell>
          <cell r="AS561">
            <v>0</v>
          </cell>
          <cell r="AT561" t="str">
            <v/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1</v>
          </cell>
          <cell r="BC561">
            <v>1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 t="str">
            <v/>
          </cell>
          <cell r="BK561">
            <v>6200</v>
          </cell>
          <cell r="BL561" t="str">
            <v/>
          </cell>
          <cell r="BM561" t="str">
            <v>1</v>
          </cell>
          <cell r="BN561" t="str">
            <v/>
          </cell>
          <cell r="BO561" t="str">
            <v/>
          </cell>
        </row>
        <row r="562">
          <cell r="A562">
            <v>1</v>
          </cell>
          <cell r="B562">
            <v>4313731</v>
          </cell>
          <cell r="C562" t="str">
            <v>CHIMIQUES</v>
          </cell>
          <cell r="D562" t="str">
            <v>R-6000 CREPETROL</v>
          </cell>
          <cell r="E562" t="str">
            <v>O</v>
          </cell>
          <cell r="F562">
            <v>0</v>
          </cell>
          <cell r="G562">
            <v>0</v>
          </cell>
          <cell r="H562">
            <v>107141.61</v>
          </cell>
          <cell r="I562">
            <v>444777.6</v>
          </cell>
          <cell r="J562">
            <v>337635.99</v>
          </cell>
          <cell r="K562">
            <v>0</v>
          </cell>
          <cell r="L562">
            <v>87904.57</v>
          </cell>
          <cell r="M562">
            <v>82567.67</v>
          </cell>
          <cell r="N562">
            <v>4336</v>
          </cell>
          <cell r="O562">
            <v>8610.35</v>
          </cell>
          <cell r="P562">
            <v>13203.95</v>
          </cell>
          <cell r="Q562">
            <v>17280.89</v>
          </cell>
          <cell r="R562">
            <v>30232.43</v>
          </cell>
          <cell r="S562">
            <v>39697.93</v>
          </cell>
          <cell r="T562">
            <v>51434.93</v>
          </cell>
          <cell r="U562">
            <v>76969.539999999994</v>
          </cell>
          <cell r="V562">
            <v>84127.72</v>
          </cell>
          <cell r="W562">
            <v>88358.51</v>
          </cell>
          <cell r="X562">
            <v>107141.61</v>
          </cell>
          <cell r="Y562">
            <v>112478.51</v>
          </cell>
          <cell r="Z562">
            <v>2523.8200000000002</v>
          </cell>
          <cell r="AA562">
            <v>4865.6000000000004</v>
          </cell>
          <cell r="AB562">
            <v>11032.91</v>
          </cell>
          <cell r="AC562">
            <v>12767.22</v>
          </cell>
          <cell r="AD562">
            <v>15318.92</v>
          </cell>
          <cell r="AE562">
            <v>18852.32</v>
          </cell>
          <cell r="AF562">
            <v>21691.32</v>
          </cell>
          <cell r="AG562">
            <v>24318.32</v>
          </cell>
          <cell r="AH562">
            <v>27077.56</v>
          </cell>
          <cell r="AI562">
            <v>30158.560000000001</v>
          </cell>
          <cell r="AJ562">
            <v>33842.339999999997</v>
          </cell>
          <cell r="AK562">
            <v>37092.71</v>
          </cell>
          <cell r="AL562">
            <v>0</v>
          </cell>
          <cell r="AM562">
            <v>1</v>
          </cell>
          <cell r="AN562" t="str">
            <v/>
          </cell>
          <cell r="AO562">
            <v>0</v>
          </cell>
          <cell r="AP562">
            <v>0</v>
          </cell>
          <cell r="AQ562">
            <v>0</v>
          </cell>
          <cell r="AR562">
            <v>660</v>
          </cell>
          <cell r="AS562">
            <v>0</v>
          </cell>
          <cell r="AT562" t="str">
            <v/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1</v>
          </cell>
          <cell r="BC562">
            <v>1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 t="str">
            <v/>
          </cell>
          <cell r="BK562">
            <v>6200</v>
          </cell>
          <cell r="BL562" t="str">
            <v>0</v>
          </cell>
          <cell r="BM562" t="str">
            <v>1</v>
          </cell>
          <cell r="BN562" t="str">
            <v/>
          </cell>
          <cell r="BO562" t="str">
            <v/>
          </cell>
        </row>
        <row r="563">
          <cell r="A563">
            <v>1</v>
          </cell>
          <cell r="B563">
            <v>4313831</v>
          </cell>
          <cell r="C563" t="str">
            <v>CHIMIQUES</v>
          </cell>
          <cell r="D563" t="str">
            <v>BIOBLAST 500</v>
          </cell>
          <cell r="E563" t="str">
            <v>O</v>
          </cell>
          <cell r="F563">
            <v>0</v>
          </cell>
          <cell r="G563">
            <v>0</v>
          </cell>
          <cell r="H563">
            <v>76751.53</v>
          </cell>
          <cell r="I563">
            <v>216299.85</v>
          </cell>
          <cell r="J563">
            <v>139548.32</v>
          </cell>
          <cell r="K563">
            <v>0</v>
          </cell>
          <cell r="L563">
            <v>20998</v>
          </cell>
          <cell r="M563">
            <v>9050</v>
          </cell>
          <cell r="N563">
            <v>5429.84</v>
          </cell>
          <cell r="O563">
            <v>15566.03</v>
          </cell>
          <cell r="P563">
            <v>23710.78</v>
          </cell>
          <cell r="Q563">
            <v>30047.59</v>
          </cell>
          <cell r="R563">
            <v>35660.92</v>
          </cell>
          <cell r="S563">
            <v>41995.73</v>
          </cell>
          <cell r="T563">
            <v>47609.06</v>
          </cell>
          <cell r="U563">
            <v>54124.86</v>
          </cell>
          <cell r="V563">
            <v>61183.64</v>
          </cell>
          <cell r="W563">
            <v>65891.53</v>
          </cell>
          <cell r="X563">
            <v>76751.53</v>
          </cell>
          <cell r="Y563">
            <v>88699.53</v>
          </cell>
          <cell r="Z563">
            <v>-3654.28</v>
          </cell>
          <cell r="AA563">
            <v>1341.17</v>
          </cell>
          <cell r="AB563">
            <v>6771</v>
          </cell>
          <cell r="AC563">
            <v>12836.82</v>
          </cell>
          <cell r="AD563">
            <v>14646.77</v>
          </cell>
          <cell r="AE563">
            <v>19624.11</v>
          </cell>
          <cell r="AF563">
            <v>24148.97</v>
          </cell>
          <cell r="AG563">
            <v>30667.279999999999</v>
          </cell>
          <cell r="AH563">
            <v>35192.14</v>
          </cell>
          <cell r="AI563">
            <v>37002.089999999997</v>
          </cell>
          <cell r="AJ563">
            <v>41708.449999999997</v>
          </cell>
          <cell r="AK563">
            <v>44425.36</v>
          </cell>
          <cell r="AL563">
            <v>0</v>
          </cell>
          <cell r="AM563">
            <v>1</v>
          </cell>
          <cell r="AN563" t="str">
            <v/>
          </cell>
          <cell r="AO563">
            <v>0</v>
          </cell>
          <cell r="AP563">
            <v>0</v>
          </cell>
          <cell r="AQ563">
            <v>0</v>
          </cell>
          <cell r="AR563">
            <v>660</v>
          </cell>
          <cell r="AS563">
            <v>0</v>
          </cell>
          <cell r="AT563" t="str">
            <v/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1</v>
          </cell>
          <cell r="BC563">
            <v>1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 t="str">
            <v/>
          </cell>
          <cell r="BK563">
            <v>6200</v>
          </cell>
          <cell r="BL563" t="str">
            <v>0</v>
          </cell>
          <cell r="BM563" t="str">
            <v>1</v>
          </cell>
          <cell r="BN563" t="str">
            <v/>
          </cell>
          <cell r="BO563" t="str">
            <v/>
          </cell>
        </row>
        <row r="564">
          <cell r="A564">
            <v>1</v>
          </cell>
          <cell r="B564">
            <v>4319001</v>
          </cell>
          <cell r="C564" t="str">
            <v>CHIMIQUES</v>
          </cell>
          <cell r="D564" t="str">
            <v>TRANSFERT DIVISION PAPIER</v>
          </cell>
          <cell r="E564" t="str">
            <v>O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1431.05</v>
          </cell>
          <cell r="AA564">
            <v>1431.05</v>
          </cell>
          <cell r="AB564">
            <v>22178.32</v>
          </cell>
          <cell r="AC564">
            <v>22178.32</v>
          </cell>
          <cell r="AD564">
            <v>22178.32</v>
          </cell>
          <cell r="AE564">
            <v>22178.32</v>
          </cell>
          <cell r="AF564">
            <v>22178.32</v>
          </cell>
          <cell r="AG564">
            <v>22178.32</v>
          </cell>
          <cell r="AH564">
            <v>22178.32</v>
          </cell>
          <cell r="AI564">
            <v>22178.32</v>
          </cell>
          <cell r="AJ564">
            <v>22178.32</v>
          </cell>
          <cell r="AK564">
            <v>22178.32</v>
          </cell>
          <cell r="AL564">
            <v>0</v>
          </cell>
          <cell r="AM564">
            <v>1</v>
          </cell>
          <cell r="AN564" t="str">
            <v/>
          </cell>
          <cell r="AO564">
            <v>0</v>
          </cell>
          <cell r="AP564">
            <v>0</v>
          </cell>
          <cell r="AQ564">
            <v>0</v>
          </cell>
          <cell r="AR564">
            <v>660</v>
          </cell>
          <cell r="AS564">
            <v>0</v>
          </cell>
          <cell r="AT564" t="str">
            <v/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 t="str">
            <v/>
          </cell>
          <cell r="BK564">
            <v>6200</v>
          </cell>
          <cell r="BL564" t="str">
            <v>0</v>
          </cell>
          <cell r="BM564" t="str">
            <v>1</v>
          </cell>
          <cell r="BN564" t="str">
            <v/>
          </cell>
          <cell r="BO564" t="str">
            <v/>
          </cell>
        </row>
        <row r="565">
          <cell r="A565">
            <v>1</v>
          </cell>
          <cell r="B565">
            <v>4322001</v>
          </cell>
          <cell r="C565" t="str">
            <v>CHAUDIERE</v>
          </cell>
          <cell r="D565" t="str">
            <v>GAZ NATUREL</v>
          </cell>
          <cell r="E565" t="str">
            <v>O</v>
          </cell>
          <cell r="F565">
            <v>0</v>
          </cell>
          <cell r="G565">
            <v>0</v>
          </cell>
          <cell r="H565">
            <v>1516924.94</v>
          </cell>
          <cell r="I565">
            <v>3093905.33</v>
          </cell>
          <cell r="J565">
            <v>1576980.39</v>
          </cell>
          <cell r="K565">
            <v>0</v>
          </cell>
          <cell r="L565">
            <v>389558.24</v>
          </cell>
          <cell r="M565">
            <v>238250.06</v>
          </cell>
          <cell r="N565">
            <v>40558.61</v>
          </cell>
          <cell r="O565">
            <v>122256.72</v>
          </cell>
          <cell r="P565">
            <v>313144.5</v>
          </cell>
          <cell r="Q565">
            <v>442881.81</v>
          </cell>
          <cell r="R565">
            <v>560562.01</v>
          </cell>
          <cell r="S565">
            <v>688569.08</v>
          </cell>
          <cell r="T565">
            <v>824077.02</v>
          </cell>
          <cell r="U565">
            <v>984036.85</v>
          </cell>
          <cell r="V565">
            <v>1132875.71</v>
          </cell>
          <cell r="W565">
            <v>1318674.8799999999</v>
          </cell>
          <cell r="X565">
            <v>1516924.94</v>
          </cell>
          <cell r="Y565">
            <v>1668233.12</v>
          </cell>
          <cell r="Z565">
            <v>85707.98</v>
          </cell>
          <cell r="AA565">
            <v>165518.44</v>
          </cell>
          <cell r="AB565">
            <v>184500.99</v>
          </cell>
          <cell r="AC565">
            <v>221520.53</v>
          </cell>
          <cell r="AD565">
            <v>242353.28</v>
          </cell>
          <cell r="AE565">
            <v>272394.17</v>
          </cell>
          <cell r="AF565">
            <v>297298.92</v>
          </cell>
          <cell r="AG565">
            <v>323313.12</v>
          </cell>
          <cell r="AH565">
            <v>351451.03</v>
          </cell>
          <cell r="AI565">
            <v>387810.15</v>
          </cell>
          <cell r="AJ565">
            <v>423800.17</v>
          </cell>
          <cell r="AK565">
            <v>479240.71</v>
          </cell>
          <cell r="AL565">
            <v>0</v>
          </cell>
          <cell r="AM565">
            <v>1</v>
          </cell>
          <cell r="AN565" t="str">
            <v/>
          </cell>
          <cell r="AO565">
            <v>0</v>
          </cell>
          <cell r="AP565">
            <v>0</v>
          </cell>
          <cell r="AQ565">
            <v>0</v>
          </cell>
          <cell r="AR565">
            <v>730</v>
          </cell>
          <cell r="AS565">
            <v>0</v>
          </cell>
          <cell r="AT565" t="str">
            <v/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 t="str">
            <v/>
          </cell>
          <cell r="BK565">
            <v>6100</v>
          </cell>
          <cell r="BL565" t="str">
            <v/>
          </cell>
          <cell r="BM565" t="str">
            <v>1</v>
          </cell>
          <cell r="BN565" t="str">
            <v/>
          </cell>
          <cell r="BO565" t="str">
            <v/>
          </cell>
        </row>
        <row r="566">
          <cell r="A566">
            <v>1</v>
          </cell>
          <cell r="B566">
            <v>4323001</v>
          </cell>
          <cell r="C566" t="str">
            <v>CHAUDIERE</v>
          </cell>
          <cell r="D566" t="str">
            <v>ELECTRICITÉ</v>
          </cell>
          <cell r="E566" t="str">
            <v>O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1</v>
          </cell>
          <cell r="AN566" t="str">
            <v/>
          </cell>
          <cell r="AO566">
            <v>0</v>
          </cell>
          <cell r="AP566">
            <v>0</v>
          </cell>
          <cell r="AQ566">
            <v>0</v>
          </cell>
          <cell r="AR566">
            <v>740</v>
          </cell>
          <cell r="AS566">
            <v>0</v>
          </cell>
          <cell r="AT566" t="str">
            <v/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 t="str">
            <v/>
          </cell>
          <cell r="BK566">
            <v>6100</v>
          </cell>
          <cell r="BL566" t="str">
            <v/>
          </cell>
          <cell r="BM566" t="str">
            <v>1</v>
          </cell>
          <cell r="BN566" t="str">
            <v/>
          </cell>
          <cell r="BO566" t="str">
            <v/>
          </cell>
        </row>
        <row r="567">
          <cell r="A567">
            <v>1</v>
          </cell>
          <cell r="B567">
            <v>4327001</v>
          </cell>
          <cell r="C567" t="str">
            <v>CHAUDIERE</v>
          </cell>
          <cell r="D567" t="str">
            <v>MOD</v>
          </cell>
          <cell r="E567" t="str">
            <v>O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1</v>
          </cell>
          <cell r="AN567" t="str">
            <v/>
          </cell>
          <cell r="AO567">
            <v>0</v>
          </cell>
          <cell r="AP567">
            <v>0</v>
          </cell>
          <cell r="AQ567">
            <v>0</v>
          </cell>
          <cell r="AR567">
            <v>690</v>
          </cell>
          <cell r="AS567">
            <v>0</v>
          </cell>
          <cell r="AT567" t="str">
            <v/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 t="str">
            <v/>
          </cell>
          <cell r="BK567">
            <v>6100</v>
          </cell>
          <cell r="BL567" t="str">
            <v/>
          </cell>
          <cell r="BM567" t="str">
            <v>1</v>
          </cell>
          <cell r="BN567" t="str">
            <v/>
          </cell>
          <cell r="BO567" t="str">
            <v/>
          </cell>
        </row>
        <row r="568">
          <cell r="A568">
            <v>1</v>
          </cell>
          <cell r="B568">
            <v>4328001</v>
          </cell>
          <cell r="C568" t="str">
            <v>CHAUDIERE</v>
          </cell>
          <cell r="D568" t="str">
            <v>MOD EXTERIEUR</v>
          </cell>
          <cell r="E568" t="str">
            <v>O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1</v>
          </cell>
          <cell r="AN568" t="str">
            <v/>
          </cell>
          <cell r="AO568">
            <v>0</v>
          </cell>
          <cell r="AP568">
            <v>0</v>
          </cell>
          <cell r="AQ568">
            <v>0</v>
          </cell>
          <cell r="AR568">
            <v>740</v>
          </cell>
          <cell r="AS568">
            <v>0</v>
          </cell>
          <cell r="AT568" t="str">
            <v/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 t="str">
            <v/>
          </cell>
          <cell r="BK568">
            <v>6100</v>
          </cell>
          <cell r="BL568" t="str">
            <v/>
          </cell>
          <cell r="BM568" t="str">
            <v>1</v>
          </cell>
          <cell r="BN568" t="str">
            <v/>
          </cell>
          <cell r="BO568" t="str">
            <v/>
          </cell>
        </row>
        <row r="569">
          <cell r="A569">
            <v>1</v>
          </cell>
          <cell r="B569">
            <v>4329001</v>
          </cell>
          <cell r="C569" t="str">
            <v>CHAUDIERE</v>
          </cell>
          <cell r="D569" t="str">
            <v>TRANSFERT DIVISION PAPIER</v>
          </cell>
          <cell r="E569" t="str">
            <v>O</v>
          </cell>
          <cell r="F569">
            <v>0</v>
          </cell>
          <cell r="G569">
            <v>0</v>
          </cell>
          <cell r="H569">
            <v>-29010.52</v>
          </cell>
          <cell r="I569">
            <v>224489.48</v>
          </cell>
          <cell r="J569">
            <v>253500</v>
          </cell>
          <cell r="K569">
            <v>0</v>
          </cell>
          <cell r="L569">
            <v>0</v>
          </cell>
          <cell r="M569">
            <v>0</v>
          </cell>
          <cell r="N569">
            <v>55489.48</v>
          </cell>
          <cell r="O569">
            <v>42489.48</v>
          </cell>
          <cell r="P569">
            <v>-29010.52</v>
          </cell>
          <cell r="Q569">
            <v>-29010.52</v>
          </cell>
          <cell r="R569">
            <v>-29010.52</v>
          </cell>
          <cell r="S569">
            <v>-29010.52</v>
          </cell>
          <cell r="T569">
            <v>-29010.52</v>
          </cell>
          <cell r="U569">
            <v>-29010.52</v>
          </cell>
          <cell r="V569">
            <v>-29010.52</v>
          </cell>
          <cell r="W569">
            <v>-29010.52</v>
          </cell>
          <cell r="X569">
            <v>-29010.52</v>
          </cell>
          <cell r="Y569">
            <v>-29010.52</v>
          </cell>
          <cell r="Z569">
            <v>125</v>
          </cell>
          <cell r="AA569">
            <v>4849.8</v>
          </cell>
          <cell r="AB569">
            <v>59270.39</v>
          </cell>
          <cell r="AC569">
            <v>121147.95</v>
          </cell>
          <cell r="AD569">
            <v>164410.79</v>
          </cell>
          <cell r="AE569">
            <v>226795.98</v>
          </cell>
          <cell r="AF569">
            <v>275514.3</v>
          </cell>
          <cell r="AG569">
            <v>326754.38</v>
          </cell>
          <cell r="AH569">
            <v>382177.53</v>
          </cell>
          <cell r="AI569">
            <v>450336.08</v>
          </cell>
          <cell r="AJ569">
            <v>517174.11</v>
          </cell>
          <cell r="AK569">
            <v>620135.12</v>
          </cell>
          <cell r="AL569">
            <v>0</v>
          </cell>
          <cell r="AM569">
            <v>1</v>
          </cell>
          <cell r="AN569" t="str">
            <v/>
          </cell>
          <cell r="AO569">
            <v>0</v>
          </cell>
          <cell r="AP569">
            <v>0</v>
          </cell>
          <cell r="AQ569">
            <v>0</v>
          </cell>
          <cell r="AR569">
            <v>740</v>
          </cell>
          <cell r="AS569">
            <v>0</v>
          </cell>
          <cell r="AT569" t="str">
            <v/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 t="str">
            <v/>
          </cell>
          <cell r="BK569">
            <v>6100</v>
          </cell>
          <cell r="BL569" t="str">
            <v>0</v>
          </cell>
          <cell r="BM569" t="str">
            <v>1</v>
          </cell>
          <cell r="BN569" t="str">
            <v/>
          </cell>
          <cell r="BO569" t="str">
            <v/>
          </cell>
        </row>
        <row r="570">
          <cell r="A570">
            <v>1</v>
          </cell>
          <cell r="B570">
            <v>4329002</v>
          </cell>
          <cell r="C570" t="str">
            <v>CHAUDIERE</v>
          </cell>
          <cell r="D570" t="str">
            <v>TRANSFERT DIV. SERVIETTES</v>
          </cell>
          <cell r="E570" t="str">
            <v>O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2</v>
          </cell>
          <cell r="AN570" t="str">
            <v/>
          </cell>
          <cell r="AO570">
            <v>0</v>
          </cell>
          <cell r="AP570">
            <v>0</v>
          </cell>
          <cell r="AQ570">
            <v>0</v>
          </cell>
          <cell r="AR570">
            <v>740</v>
          </cell>
          <cell r="AS570">
            <v>0</v>
          </cell>
          <cell r="AT570" t="str">
            <v/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 t="str">
            <v/>
          </cell>
          <cell r="BK570">
            <v>6100</v>
          </cell>
          <cell r="BL570" t="str">
            <v>0</v>
          </cell>
          <cell r="BM570" t="str">
            <v>1</v>
          </cell>
          <cell r="BN570" t="str">
            <v/>
          </cell>
          <cell r="BO570" t="str">
            <v/>
          </cell>
        </row>
        <row r="571">
          <cell r="A571">
            <v>1</v>
          </cell>
          <cell r="B571">
            <v>4329003</v>
          </cell>
          <cell r="C571" t="str">
            <v>CHAUDIERE</v>
          </cell>
          <cell r="D571" t="str">
            <v>TRANSFERT DIVISION SACS</v>
          </cell>
          <cell r="E571" t="str">
            <v>O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3</v>
          </cell>
          <cell r="AN571" t="str">
            <v/>
          </cell>
          <cell r="AO571">
            <v>0</v>
          </cell>
          <cell r="AP571">
            <v>0</v>
          </cell>
          <cell r="AQ571">
            <v>0</v>
          </cell>
          <cell r="AR571">
            <v>740</v>
          </cell>
          <cell r="AS571">
            <v>0</v>
          </cell>
          <cell r="AT571" t="str">
            <v/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 t="str">
            <v/>
          </cell>
          <cell r="BK571">
            <v>6100</v>
          </cell>
          <cell r="BL571" t="str">
            <v>0</v>
          </cell>
          <cell r="BM571" t="str">
            <v>1</v>
          </cell>
          <cell r="BN571" t="str">
            <v/>
          </cell>
          <cell r="BO571" t="str">
            <v/>
          </cell>
        </row>
        <row r="572">
          <cell r="A572">
            <v>1</v>
          </cell>
          <cell r="B572">
            <v>4329004</v>
          </cell>
          <cell r="C572" t="str">
            <v>CHAUDIERE</v>
          </cell>
          <cell r="D572" t="str">
            <v>TRANSFERT DIVISION BOITES</v>
          </cell>
          <cell r="E572" t="str">
            <v>O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4</v>
          </cell>
          <cell r="AN572" t="str">
            <v/>
          </cell>
          <cell r="AO572">
            <v>0</v>
          </cell>
          <cell r="AP572">
            <v>0</v>
          </cell>
          <cell r="AQ572">
            <v>0</v>
          </cell>
          <cell r="AR572">
            <v>740</v>
          </cell>
          <cell r="AS572">
            <v>0</v>
          </cell>
          <cell r="AT572" t="str">
            <v/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 t="str">
            <v/>
          </cell>
          <cell r="BK572">
            <v>6100</v>
          </cell>
          <cell r="BL572" t="str">
            <v>0</v>
          </cell>
          <cell r="BM572" t="str">
            <v>1</v>
          </cell>
          <cell r="BN572" t="str">
            <v/>
          </cell>
          <cell r="BO572" t="str">
            <v/>
          </cell>
        </row>
        <row r="573">
          <cell r="A573">
            <v>1</v>
          </cell>
          <cell r="B573">
            <v>4331001</v>
          </cell>
          <cell r="C573" t="str">
            <v>ELECTRICITÉ        PARTIE</v>
          </cell>
          <cell r="D573" t="str">
            <v>VARIABLE CONSOMMATION KWH</v>
          </cell>
          <cell r="E573" t="str">
            <v>O</v>
          </cell>
          <cell r="F573">
            <v>0</v>
          </cell>
          <cell r="G573">
            <v>0</v>
          </cell>
          <cell r="H573">
            <v>912068.5</v>
          </cell>
          <cell r="I573">
            <v>1630240.09</v>
          </cell>
          <cell r="J573">
            <v>718171.59</v>
          </cell>
          <cell r="K573">
            <v>0</v>
          </cell>
          <cell r="L573">
            <v>104807.69</v>
          </cell>
          <cell r="M573">
            <v>28903.58</v>
          </cell>
          <cell r="N573">
            <v>79049.59</v>
          </cell>
          <cell r="O573">
            <v>169692.85</v>
          </cell>
          <cell r="P573">
            <v>253907.86</v>
          </cell>
          <cell r="Q573">
            <v>329463.76</v>
          </cell>
          <cell r="R573">
            <v>417978.23</v>
          </cell>
          <cell r="S573">
            <v>495930.7</v>
          </cell>
          <cell r="T573">
            <v>585273.77</v>
          </cell>
          <cell r="U573">
            <v>670582.49</v>
          </cell>
          <cell r="V573">
            <v>751284.54</v>
          </cell>
          <cell r="W573">
            <v>830940.64</v>
          </cell>
          <cell r="X573">
            <v>912068.5</v>
          </cell>
          <cell r="Y573">
            <v>987972.61</v>
          </cell>
          <cell r="Z573">
            <v>94403.43</v>
          </cell>
          <cell r="AA573">
            <v>172778.57</v>
          </cell>
          <cell r="AB573">
            <v>263513.06</v>
          </cell>
          <cell r="AC573">
            <v>327313.65000000002</v>
          </cell>
          <cell r="AD573">
            <v>389908.84</v>
          </cell>
          <cell r="AE573">
            <v>485477.13</v>
          </cell>
          <cell r="AF573">
            <v>565735.47</v>
          </cell>
          <cell r="AG573">
            <v>650334.52</v>
          </cell>
          <cell r="AH573">
            <v>738843.46</v>
          </cell>
          <cell r="AI573">
            <v>823846.98</v>
          </cell>
          <cell r="AJ573">
            <v>908051.66</v>
          </cell>
          <cell r="AK573">
            <v>987027.79</v>
          </cell>
          <cell r="AL573">
            <v>0</v>
          </cell>
          <cell r="AM573">
            <v>1</v>
          </cell>
          <cell r="AN573" t="str">
            <v/>
          </cell>
          <cell r="AO573">
            <v>0</v>
          </cell>
          <cell r="AP573">
            <v>0</v>
          </cell>
          <cell r="AQ573">
            <v>0</v>
          </cell>
          <cell r="AR573">
            <v>730</v>
          </cell>
          <cell r="AS573">
            <v>0</v>
          </cell>
          <cell r="AT573" t="str">
            <v/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 t="str">
            <v/>
          </cell>
          <cell r="BK573">
            <v>6100</v>
          </cell>
          <cell r="BL573" t="str">
            <v>0</v>
          </cell>
          <cell r="BM573" t="str">
            <v>1</v>
          </cell>
          <cell r="BN573" t="str">
            <v/>
          </cell>
          <cell r="BO573" t="str">
            <v/>
          </cell>
        </row>
        <row r="574">
          <cell r="A574">
            <v>1</v>
          </cell>
          <cell r="B574">
            <v>4331011</v>
          </cell>
          <cell r="C574" t="str">
            <v>ELECTRICITÉ        PARTIE</v>
          </cell>
          <cell r="D574" t="str">
            <v>FIXE - PUISSANCE</v>
          </cell>
          <cell r="E574" t="str">
            <v>O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1102.5</v>
          </cell>
          <cell r="AA574">
            <v>1347.5</v>
          </cell>
          <cell r="AB574">
            <v>7282.5</v>
          </cell>
          <cell r="AC574">
            <v>7317.5</v>
          </cell>
          <cell r="AD574">
            <v>7317.5</v>
          </cell>
          <cell r="AE574">
            <v>7317.5</v>
          </cell>
          <cell r="AF574">
            <v>7317.5</v>
          </cell>
          <cell r="AG574">
            <v>7317.5</v>
          </cell>
          <cell r="AH574">
            <v>7317.5</v>
          </cell>
          <cell r="AI574">
            <v>7317.5</v>
          </cell>
          <cell r="AJ574">
            <v>7317.5</v>
          </cell>
          <cell r="AK574">
            <v>7317.5</v>
          </cell>
          <cell r="AL574">
            <v>0</v>
          </cell>
          <cell r="AM574">
            <v>1</v>
          </cell>
          <cell r="AN574" t="str">
            <v/>
          </cell>
          <cell r="AO574">
            <v>0</v>
          </cell>
          <cell r="AP574">
            <v>0</v>
          </cell>
          <cell r="AQ574">
            <v>0</v>
          </cell>
          <cell r="AR574">
            <v>730</v>
          </cell>
          <cell r="AS574">
            <v>0</v>
          </cell>
          <cell r="AT574" t="str">
            <v/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 t="str">
            <v/>
          </cell>
          <cell r="BK574">
            <v>6100</v>
          </cell>
          <cell r="BL574" t="str">
            <v>0</v>
          </cell>
          <cell r="BM574" t="str">
            <v>1</v>
          </cell>
          <cell r="BN574" t="str">
            <v/>
          </cell>
          <cell r="BO574" t="str">
            <v/>
          </cell>
        </row>
        <row r="575">
          <cell r="A575">
            <v>1</v>
          </cell>
          <cell r="B575">
            <v>4331021</v>
          </cell>
          <cell r="C575" t="str">
            <v>ELECTRICITÉ</v>
          </cell>
          <cell r="D575" t="str">
            <v>TAXE  (T.V.Q.  NON REMBOU</v>
          </cell>
          <cell r="E575" t="str">
            <v>O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1</v>
          </cell>
          <cell r="AN575" t="str">
            <v/>
          </cell>
          <cell r="AO575">
            <v>0</v>
          </cell>
          <cell r="AP575">
            <v>0</v>
          </cell>
          <cell r="AQ575">
            <v>0</v>
          </cell>
          <cell r="AR575">
            <v>730</v>
          </cell>
          <cell r="AS575">
            <v>0</v>
          </cell>
          <cell r="AT575" t="str">
            <v/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 t="str">
            <v/>
          </cell>
          <cell r="BK575">
            <v>6100</v>
          </cell>
          <cell r="BL575" t="str">
            <v/>
          </cell>
          <cell r="BM575" t="str">
            <v>1</v>
          </cell>
          <cell r="BN575" t="str">
            <v/>
          </cell>
          <cell r="BO575" t="str">
            <v/>
          </cell>
        </row>
        <row r="576">
          <cell r="A576">
            <v>1</v>
          </cell>
          <cell r="B576">
            <v>4339001</v>
          </cell>
          <cell r="C576" t="str">
            <v>ELECTRICITE</v>
          </cell>
          <cell r="D576" t="str">
            <v>TRASFERT DIVISION GENERAL</v>
          </cell>
          <cell r="E576" t="str">
            <v>O</v>
          </cell>
          <cell r="F576">
            <v>0</v>
          </cell>
          <cell r="G576">
            <v>0</v>
          </cell>
          <cell r="H576">
            <v>36917.06</v>
          </cell>
          <cell r="I576">
            <v>65985.899999999994</v>
          </cell>
          <cell r="J576">
            <v>29068.84</v>
          </cell>
          <cell r="K576">
            <v>0</v>
          </cell>
          <cell r="L576">
            <v>4242.21</v>
          </cell>
          <cell r="M576">
            <v>1169.9100000000001</v>
          </cell>
          <cell r="N576">
            <v>3199.62</v>
          </cell>
          <cell r="O576">
            <v>6868.52</v>
          </cell>
          <cell r="P576">
            <v>10277.219999999999</v>
          </cell>
          <cell r="Q576">
            <v>13335.44</v>
          </cell>
          <cell r="R576">
            <v>16918.16</v>
          </cell>
          <cell r="S576">
            <v>20073.38</v>
          </cell>
          <cell r="T576">
            <v>23689.64</v>
          </cell>
          <cell r="U576">
            <v>27142.62</v>
          </cell>
          <cell r="V576">
            <v>30409.13</v>
          </cell>
          <cell r="W576">
            <v>33633.31</v>
          </cell>
          <cell r="X576">
            <v>36917.06</v>
          </cell>
          <cell r="Y576">
            <v>39989.360000000001</v>
          </cell>
          <cell r="Z576">
            <v>3928.59</v>
          </cell>
          <cell r="AA576">
            <v>7189.81</v>
          </cell>
          <cell r="AB576">
            <v>10965.49</v>
          </cell>
          <cell r="AC576">
            <v>13620.39</v>
          </cell>
          <cell r="AD576">
            <v>16225.13</v>
          </cell>
          <cell r="AE576">
            <v>20201.97</v>
          </cell>
          <cell r="AF576">
            <v>23370.15</v>
          </cell>
          <cell r="AG576">
            <v>26758.35</v>
          </cell>
          <cell r="AH576">
            <v>30303.14</v>
          </cell>
          <cell r="AI576">
            <v>33749.61</v>
          </cell>
          <cell r="AJ576">
            <v>37657.9</v>
          </cell>
          <cell r="AK576">
            <v>40854.550000000003</v>
          </cell>
          <cell r="AL576">
            <v>0</v>
          </cell>
          <cell r="AM576">
            <v>1</v>
          </cell>
          <cell r="AN576" t="str">
            <v/>
          </cell>
          <cell r="AO576">
            <v>0</v>
          </cell>
          <cell r="AP576">
            <v>0</v>
          </cell>
          <cell r="AQ576">
            <v>0</v>
          </cell>
          <cell r="AR576">
            <v>730</v>
          </cell>
          <cell r="AS576">
            <v>0</v>
          </cell>
          <cell r="AT576" t="str">
            <v/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 t="str">
            <v/>
          </cell>
          <cell r="BK576">
            <v>6100</v>
          </cell>
          <cell r="BL576" t="str">
            <v>0</v>
          </cell>
          <cell r="BM576" t="str">
            <v>1</v>
          </cell>
          <cell r="BN576" t="str">
            <v/>
          </cell>
          <cell r="BO576" t="str">
            <v/>
          </cell>
        </row>
        <row r="577">
          <cell r="A577">
            <v>1</v>
          </cell>
          <cell r="B577">
            <v>4339002</v>
          </cell>
          <cell r="C577" t="str">
            <v>ELECTRICITE</v>
          </cell>
          <cell r="D577" t="str">
            <v>TRANSFERT DIV. SERVIETTES</v>
          </cell>
          <cell r="E577" t="str">
            <v>O</v>
          </cell>
          <cell r="F577">
            <v>0</v>
          </cell>
          <cell r="G577">
            <v>0</v>
          </cell>
          <cell r="H577">
            <v>73834.12</v>
          </cell>
          <cell r="I577">
            <v>131971.82999999999</v>
          </cell>
          <cell r="J577">
            <v>58137.71</v>
          </cell>
          <cell r="K577">
            <v>0</v>
          </cell>
          <cell r="L577">
            <v>8484.43</v>
          </cell>
          <cell r="M577">
            <v>2339.81</v>
          </cell>
          <cell r="N577">
            <v>6399.26</v>
          </cell>
          <cell r="O577">
            <v>13737.05</v>
          </cell>
          <cell r="P577">
            <v>20554.45</v>
          </cell>
          <cell r="Q577">
            <v>26670.880000000001</v>
          </cell>
          <cell r="R577">
            <v>33836.33</v>
          </cell>
          <cell r="S577">
            <v>40146.769999999997</v>
          </cell>
          <cell r="T577">
            <v>47379.31</v>
          </cell>
          <cell r="U577">
            <v>54285.25</v>
          </cell>
          <cell r="V577">
            <v>60818.27</v>
          </cell>
          <cell r="W577">
            <v>67266.63</v>
          </cell>
          <cell r="X577">
            <v>73834.12</v>
          </cell>
          <cell r="Y577">
            <v>79978.740000000005</v>
          </cell>
          <cell r="Z577">
            <v>7980.36</v>
          </cell>
          <cell r="AA577">
            <v>14604.59</v>
          </cell>
          <cell r="AB577">
            <v>22273.96</v>
          </cell>
          <cell r="AC577">
            <v>27666.73</v>
          </cell>
          <cell r="AD577">
            <v>32957.61</v>
          </cell>
          <cell r="AE577">
            <v>41035.550000000003</v>
          </cell>
          <cell r="AF577">
            <v>47470.93</v>
          </cell>
          <cell r="AG577">
            <v>54353.21</v>
          </cell>
          <cell r="AH577">
            <v>61553.56</v>
          </cell>
          <cell r="AI577">
            <v>68424.66</v>
          </cell>
          <cell r="AJ577">
            <v>75241.22</v>
          </cell>
          <cell r="AK577">
            <v>81634.53</v>
          </cell>
          <cell r="AL577">
            <v>0</v>
          </cell>
          <cell r="AM577">
            <v>2</v>
          </cell>
          <cell r="AN577" t="str">
            <v/>
          </cell>
          <cell r="AO577">
            <v>0</v>
          </cell>
          <cell r="AP577">
            <v>0</v>
          </cell>
          <cell r="AQ577">
            <v>0</v>
          </cell>
          <cell r="AR577">
            <v>730</v>
          </cell>
          <cell r="AS577">
            <v>0</v>
          </cell>
          <cell r="AT577" t="str">
            <v/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 t="str">
            <v/>
          </cell>
          <cell r="BK577">
            <v>6100</v>
          </cell>
          <cell r="BL577" t="str">
            <v>0</v>
          </cell>
          <cell r="BM577" t="str">
            <v>1</v>
          </cell>
          <cell r="BN577" t="str">
            <v/>
          </cell>
          <cell r="BO577" t="str">
            <v/>
          </cell>
        </row>
        <row r="578">
          <cell r="A578">
            <v>1</v>
          </cell>
          <cell r="B578">
            <v>4339003</v>
          </cell>
          <cell r="C578" t="str">
            <v>ELECTRICITE</v>
          </cell>
          <cell r="D578" t="str">
            <v>TRANSFERT DIVISION SACS</v>
          </cell>
          <cell r="E578" t="str">
            <v>O</v>
          </cell>
          <cell r="F578">
            <v>0</v>
          </cell>
          <cell r="G578">
            <v>0</v>
          </cell>
          <cell r="H578">
            <v>62976.15</v>
          </cell>
          <cell r="I578">
            <v>112564.16</v>
          </cell>
          <cell r="J578">
            <v>49588.01</v>
          </cell>
          <cell r="K578">
            <v>0</v>
          </cell>
          <cell r="L578">
            <v>7236.72</v>
          </cell>
          <cell r="M578">
            <v>1995.72</v>
          </cell>
          <cell r="N578">
            <v>5458.19</v>
          </cell>
          <cell r="O578">
            <v>11716.9</v>
          </cell>
          <cell r="P578">
            <v>17531.740000000002</v>
          </cell>
          <cell r="Q578">
            <v>22748.7</v>
          </cell>
          <cell r="R578">
            <v>28860.41</v>
          </cell>
          <cell r="S578">
            <v>34242.83</v>
          </cell>
          <cell r="T578">
            <v>40411.760000000002</v>
          </cell>
          <cell r="U578">
            <v>46302.11</v>
          </cell>
          <cell r="V578">
            <v>51874.400000000001</v>
          </cell>
          <cell r="W578">
            <v>57374.47</v>
          </cell>
          <cell r="X578">
            <v>62976.15</v>
          </cell>
          <cell r="Y578">
            <v>68217.149999999994</v>
          </cell>
          <cell r="Z578">
            <v>6627.6</v>
          </cell>
          <cell r="AA578">
            <v>12131.16</v>
          </cell>
          <cell r="AB578">
            <v>18502.650000000001</v>
          </cell>
          <cell r="AC578">
            <v>22982.78</v>
          </cell>
          <cell r="AD578">
            <v>27378.3</v>
          </cell>
          <cell r="AE578">
            <v>34089.199999999997</v>
          </cell>
          <cell r="AF578">
            <v>39435.51</v>
          </cell>
          <cell r="AG578">
            <v>45153.09</v>
          </cell>
          <cell r="AH578">
            <v>51134.92</v>
          </cell>
          <cell r="AI578">
            <v>57027.040000000001</v>
          </cell>
          <cell r="AJ578">
            <v>62841.18</v>
          </cell>
          <cell r="AK578">
            <v>68294.289999999994</v>
          </cell>
          <cell r="AL578">
            <v>0</v>
          </cell>
          <cell r="AM578">
            <v>3</v>
          </cell>
          <cell r="AN578" t="str">
            <v/>
          </cell>
          <cell r="AO578">
            <v>0</v>
          </cell>
          <cell r="AP578">
            <v>0</v>
          </cell>
          <cell r="AQ578">
            <v>0</v>
          </cell>
          <cell r="AR578">
            <v>730</v>
          </cell>
          <cell r="AS578">
            <v>0</v>
          </cell>
          <cell r="AT578" t="str">
            <v/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 t="str">
            <v/>
          </cell>
          <cell r="BK578">
            <v>6100</v>
          </cell>
          <cell r="BL578" t="str">
            <v>0</v>
          </cell>
          <cell r="BM578" t="str">
            <v>1</v>
          </cell>
          <cell r="BN578" t="str">
            <v/>
          </cell>
          <cell r="BO578" t="str">
            <v/>
          </cell>
        </row>
        <row r="579">
          <cell r="A579">
            <v>1</v>
          </cell>
          <cell r="B579">
            <v>4339004</v>
          </cell>
          <cell r="C579" t="str">
            <v>ELECTRICITE</v>
          </cell>
          <cell r="D579" t="str">
            <v>TRANSFERT DIVISION BOITES</v>
          </cell>
          <cell r="E579" t="str">
            <v>O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552</v>
          </cell>
          <cell r="AA579">
            <v>-1608</v>
          </cell>
          <cell r="AB579">
            <v>-1608</v>
          </cell>
          <cell r="AC579">
            <v>-1608</v>
          </cell>
          <cell r="AD579">
            <v>-1608</v>
          </cell>
          <cell r="AE579">
            <v>-1608</v>
          </cell>
          <cell r="AF579">
            <v>-1608</v>
          </cell>
          <cell r="AG579">
            <v>-1608</v>
          </cell>
          <cell r="AH579">
            <v>-1608</v>
          </cell>
          <cell r="AI579">
            <v>-1608</v>
          </cell>
          <cell r="AJ579">
            <v>-1608</v>
          </cell>
          <cell r="AK579">
            <v>-1608</v>
          </cell>
          <cell r="AL579">
            <v>0</v>
          </cell>
          <cell r="AM579">
            <v>4</v>
          </cell>
          <cell r="AN579" t="str">
            <v/>
          </cell>
          <cell r="AO579">
            <v>0</v>
          </cell>
          <cell r="AP579">
            <v>0</v>
          </cell>
          <cell r="AQ579">
            <v>0</v>
          </cell>
          <cell r="AR579">
            <v>730</v>
          </cell>
          <cell r="AS579">
            <v>0</v>
          </cell>
          <cell r="AT579" t="str">
            <v/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 t="str">
            <v/>
          </cell>
          <cell r="BK579">
            <v>6100</v>
          </cell>
          <cell r="BL579" t="str">
            <v>0</v>
          </cell>
          <cell r="BM579" t="str">
            <v>1</v>
          </cell>
          <cell r="BN579" t="str">
            <v/>
          </cell>
          <cell r="BO579" t="str">
            <v/>
          </cell>
        </row>
        <row r="580">
          <cell r="A580">
            <v>1</v>
          </cell>
          <cell r="B580">
            <v>4341001</v>
          </cell>
          <cell r="C580" t="str">
            <v>HABILLAGE DE MACHINE</v>
          </cell>
          <cell r="D580" t="str">
            <v>R43048 ALKASOLV TPS</v>
          </cell>
          <cell r="E580" t="str">
            <v>O</v>
          </cell>
          <cell r="F580">
            <v>0</v>
          </cell>
          <cell r="G580">
            <v>0</v>
          </cell>
          <cell r="H580">
            <v>3565.5</v>
          </cell>
          <cell r="I580">
            <v>26116.25</v>
          </cell>
          <cell r="J580">
            <v>22550.75</v>
          </cell>
          <cell r="K580">
            <v>0</v>
          </cell>
          <cell r="L580">
            <v>4824</v>
          </cell>
          <cell r="M580">
            <v>3531</v>
          </cell>
          <cell r="N580">
            <v>-1605</v>
          </cell>
          <cell r="O580">
            <v>-1364.25</v>
          </cell>
          <cell r="P580">
            <v>-802.5</v>
          </cell>
          <cell r="Q580">
            <v>-321</v>
          </cell>
          <cell r="R580">
            <v>837</v>
          </cell>
          <cell r="S580">
            <v>1479</v>
          </cell>
          <cell r="T580">
            <v>2201.25</v>
          </cell>
          <cell r="U580">
            <v>2361.75</v>
          </cell>
          <cell r="V580">
            <v>2923.5</v>
          </cell>
          <cell r="W580">
            <v>3083.5</v>
          </cell>
          <cell r="X580">
            <v>3565.5</v>
          </cell>
          <cell r="Y580">
            <v>4858.5</v>
          </cell>
          <cell r="Z580">
            <v>393.62</v>
          </cell>
          <cell r="AA580">
            <v>393.62</v>
          </cell>
          <cell r="AB580">
            <v>-210.17</v>
          </cell>
          <cell r="AC580">
            <v>773.87</v>
          </cell>
          <cell r="AD580">
            <v>1364.3</v>
          </cell>
          <cell r="AE580">
            <v>1364.3</v>
          </cell>
          <cell r="AF580">
            <v>1836.64</v>
          </cell>
          <cell r="AG580">
            <v>2348.34</v>
          </cell>
          <cell r="AH580">
            <v>3135.57</v>
          </cell>
          <cell r="AI580">
            <v>4119.6099999999997</v>
          </cell>
          <cell r="AJ580">
            <v>5583.35</v>
          </cell>
          <cell r="AK580">
            <v>5904.35</v>
          </cell>
          <cell r="AL580">
            <v>0</v>
          </cell>
          <cell r="AM580">
            <v>1</v>
          </cell>
          <cell r="AN580" t="str">
            <v/>
          </cell>
          <cell r="AO580">
            <v>0</v>
          </cell>
          <cell r="AP580">
            <v>0</v>
          </cell>
          <cell r="AQ580">
            <v>0</v>
          </cell>
          <cell r="AR580">
            <v>740</v>
          </cell>
          <cell r="AS580">
            <v>0</v>
          </cell>
          <cell r="AT580" t="str">
            <v/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1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 t="str">
            <v/>
          </cell>
          <cell r="BK580">
            <v>6300</v>
          </cell>
          <cell r="BL580" t="str">
            <v/>
          </cell>
          <cell r="BM580" t="str">
            <v>1</v>
          </cell>
          <cell r="BN580" t="str">
            <v/>
          </cell>
          <cell r="BO580" t="str">
            <v/>
          </cell>
        </row>
        <row r="581">
          <cell r="A581">
            <v>1</v>
          </cell>
          <cell r="B581">
            <v>4341011</v>
          </cell>
          <cell r="C581" t="str">
            <v>HABILLAGE DE MACHINE</v>
          </cell>
          <cell r="D581" t="str">
            <v>R43099 DISLODGE</v>
          </cell>
          <cell r="E581" t="str">
            <v>O</v>
          </cell>
          <cell r="F581">
            <v>0</v>
          </cell>
          <cell r="G581">
            <v>0</v>
          </cell>
          <cell r="H581">
            <v>2355.86</v>
          </cell>
          <cell r="I581">
            <v>21547.439999999999</v>
          </cell>
          <cell r="J581">
            <v>19191.580000000002</v>
          </cell>
          <cell r="K581">
            <v>0</v>
          </cell>
          <cell r="L581">
            <v>1247</v>
          </cell>
          <cell r="M581">
            <v>1247</v>
          </cell>
          <cell r="N581">
            <v>831.43</v>
          </cell>
          <cell r="O581">
            <v>1593.58</v>
          </cell>
          <cell r="P581">
            <v>1593.57</v>
          </cell>
          <cell r="Q581">
            <v>1593.57</v>
          </cell>
          <cell r="R581">
            <v>1801.43</v>
          </cell>
          <cell r="S581">
            <v>1940</v>
          </cell>
          <cell r="T581">
            <v>1940</v>
          </cell>
          <cell r="U581">
            <v>2217.15</v>
          </cell>
          <cell r="V581">
            <v>2286.4299999999998</v>
          </cell>
          <cell r="W581">
            <v>2286.86</v>
          </cell>
          <cell r="X581">
            <v>2355.86</v>
          </cell>
          <cell r="Y581">
            <v>2355.86</v>
          </cell>
          <cell r="Z581">
            <v>1046.43</v>
          </cell>
          <cell r="AA581">
            <v>1115.72</v>
          </cell>
          <cell r="AB581">
            <v>1323.57</v>
          </cell>
          <cell r="AC581">
            <v>1462.15</v>
          </cell>
          <cell r="AD581">
            <v>1462.15</v>
          </cell>
          <cell r="AE581">
            <v>1600.72</v>
          </cell>
          <cell r="AF581">
            <v>2085.7199999999998</v>
          </cell>
          <cell r="AG581">
            <v>2279.7199999999998</v>
          </cell>
          <cell r="AH581">
            <v>2293.5700000000002</v>
          </cell>
          <cell r="AI581">
            <v>2362.86</v>
          </cell>
          <cell r="AJ581">
            <v>2432.15</v>
          </cell>
          <cell r="AK581">
            <v>2470</v>
          </cell>
          <cell r="AL581">
            <v>0</v>
          </cell>
          <cell r="AM581">
            <v>1</v>
          </cell>
          <cell r="AN581" t="str">
            <v/>
          </cell>
          <cell r="AO581">
            <v>0</v>
          </cell>
          <cell r="AP581">
            <v>0</v>
          </cell>
          <cell r="AQ581">
            <v>0</v>
          </cell>
          <cell r="AR581">
            <v>740</v>
          </cell>
          <cell r="AS581">
            <v>0</v>
          </cell>
          <cell r="AT581" t="str">
            <v/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1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 t="str">
            <v/>
          </cell>
          <cell r="BK581">
            <v>6300</v>
          </cell>
          <cell r="BL581" t="str">
            <v/>
          </cell>
          <cell r="BM581" t="str">
            <v>1</v>
          </cell>
          <cell r="BN581" t="str">
            <v/>
          </cell>
          <cell r="BO581" t="str">
            <v/>
          </cell>
        </row>
        <row r="582">
          <cell r="A582">
            <v>1</v>
          </cell>
          <cell r="B582">
            <v>4341021</v>
          </cell>
          <cell r="C582" t="str">
            <v>HABILLAGE DE MACHINE</v>
          </cell>
          <cell r="D582" t="str">
            <v>ACHATS TOILES</v>
          </cell>
          <cell r="E582" t="str">
            <v>O</v>
          </cell>
          <cell r="F582">
            <v>0</v>
          </cell>
          <cell r="G582">
            <v>0</v>
          </cell>
          <cell r="H582">
            <v>138074.95000000001</v>
          </cell>
          <cell r="I582">
            <v>1278793.2</v>
          </cell>
          <cell r="J582">
            <v>1140718.25</v>
          </cell>
          <cell r="K582">
            <v>0</v>
          </cell>
          <cell r="L582">
            <v>76525.399999999994</v>
          </cell>
          <cell r="M582">
            <v>68825.399999999994</v>
          </cell>
          <cell r="N582">
            <v>29000</v>
          </cell>
          <cell r="O582">
            <v>26000</v>
          </cell>
          <cell r="P582">
            <v>35349.65</v>
          </cell>
          <cell r="Q582">
            <v>35349.65</v>
          </cell>
          <cell r="R582">
            <v>52049.65</v>
          </cell>
          <cell r="S582">
            <v>70112.350000000006</v>
          </cell>
          <cell r="T582">
            <v>86812.3</v>
          </cell>
          <cell r="U582">
            <v>86812.3</v>
          </cell>
          <cell r="V582">
            <v>112374.95</v>
          </cell>
          <cell r="W582">
            <v>129074.95</v>
          </cell>
          <cell r="X582">
            <v>138074.95000000001</v>
          </cell>
          <cell r="Y582">
            <v>145774.95000000001</v>
          </cell>
          <cell r="Z582">
            <v>57372.639999999999</v>
          </cell>
          <cell r="AA582">
            <v>57372.639999999999</v>
          </cell>
          <cell r="AB582">
            <v>89783.64</v>
          </cell>
          <cell r="AC582">
            <v>84283.64</v>
          </cell>
          <cell r="AD582">
            <v>81999.64</v>
          </cell>
          <cell r="AE582">
            <v>118570.64</v>
          </cell>
          <cell r="AF582">
            <v>135857.64000000001</v>
          </cell>
          <cell r="AG582">
            <v>153144.64000000001</v>
          </cell>
          <cell r="AH582">
            <v>170431.64</v>
          </cell>
          <cell r="AI582">
            <v>187718.64</v>
          </cell>
          <cell r="AJ582">
            <v>204718.64</v>
          </cell>
          <cell r="AK582">
            <v>237005.64</v>
          </cell>
          <cell r="AL582">
            <v>0</v>
          </cell>
          <cell r="AM582">
            <v>1</v>
          </cell>
          <cell r="AN582" t="str">
            <v/>
          </cell>
          <cell r="AO582">
            <v>0</v>
          </cell>
          <cell r="AP582">
            <v>0</v>
          </cell>
          <cell r="AQ582">
            <v>0</v>
          </cell>
          <cell r="AR582">
            <v>720</v>
          </cell>
          <cell r="AS582">
            <v>0</v>
          </cell>
          <cell r="AT582" t="str">
            <v/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 t="str">
            <v/>
          </cell>
          <cell r="BK582">
            <v>6300</v>
          </cell>
          <cell r="BL582" t="str">
            <v/>
          </cell>
          <cell r="BM582" t="str">
            <v>1</v>
          </cell>
          <cell r="BN582" t="str">
            <v/>
          </cell>
          <cell r="BO582" t="str">
            <v/>
          </cell>
        </row>
        <row r="583">
          <cell r="A583">
            <v>1</v>
          </cell>
          <cell r="B583">
            <v>4341031</v>
          </cell>
          <cell r="C583" t="str">
            <v>HABILLAGE DE MACHINE</v>
          </cell>
          <cell r="D583" t="str">
            <v>ACHATS FEUTRES HAUT</v>
          </cell>
          <cell r="E583" t="str">
            <v>O</v>
          </cell>
          <cell r="F583">
            <v>0</v>
          </cell>
          <cell r="G583">
            <v>0</v>
          </cell>
          <cell r="H583">
            <v>5203.09</v>
          </cell>
          <cell r="I583">
            <v>135938.20000000001</v>
          </cell>
          <cell r="J583">
            <v>130735.11</v>
          </cell>
          <cell r="K583">
            <v>0</v>
          </cell>
          <cell r="L583">
            <v>9593.82</v>
          </cell>
          <cell r="M583">
            <v>9593.82</v>
          </cell>
          <cell r="N583">
            <v>0</v>
          </cell>
          <cell r="O583">
            <v>4796.91</v>
          </cell>
          <cell r="P583">
            <v>406.18</v>
          </cell>
          <cell r="Q583">
            <v>406.18</v>
          </cell>
          <cell r="R583">
            <v>5203.09</v>
          </cell>
          <cell r="S583">
            <v>5203.09</v>
          </cell>
          <cell r="T583">
            <v>5203.09</v>
          </cell>
          <cell r="U583">
            <v>5203.09</v>
          </cell>
          <cell r="V583">
            <v>5203.09</v>
          </cell>
          <cell r="W583">
            <v>5203.09</v>
          </cell>
          <cell r="X583">
            <v>5203.09</v>
          </cell>
          <cell r="Y583">
            <v>5203.09</v>
          </cell>
          <cell r="Z583">
            <v>0</v>
          </cell>
          <cell r="AA583">
            <v>5000</v>
          </cell>
          <cell r="AB583">
            <v>10000</v>
          </cell>
          <cell r="AC583">
            <v>20000</v>
          </cell>
          <cell r="AD583">
            <v>20000</v>
          </cell>
          <cell r="AE583">
            <v>19796.91</v>
          </cell>
          <cell r="AF583">
            <v>19796.91</v>
          </cell>
          <cell r="AG583">
            <v>19796.91</v>
          </cell>
          <cell r="AH583">
            <v>19796.91</v>
          </cell>
          <cell r="AI583">
            <v>19796.91</v>
          </cell>
          <cell r="AJ583">
            <v>19796.91</v>
          </cell>
          <cell r="AK583">
            <v>19796.91</v>
          </cell>
          <cell r="AL583">
            <v>0</v>
          </cell>
          <cell r="AM583">
            <v>1</v>
          </cell>
          <cell r="AN583" t="str">
            <v/>
          </cell>
          <cell r="AO583">
            <v>0</v>
          </cell>
          <cell r="AP583">
            <v>0</v>
          </cell>
          <cell r="AQ583">
            <v>0</v>
          </cell>
          <cell r="AR583">
            <v>720</v>
          </cell>
          <cell r="AS583">
            <v>0</v>
          </cell>
          <cell r="AT583" t="str">
            <v/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 t="str">
            <v/>
          </cell>
          <cell r="BK583">
            <v>6300</v>
          </cell>
          <cell r="BL583" t="str">
            <v/>
          </cell>
          <cell r="BM583" t="str">
            <v>1</v>
          </cell>
          <cell r="BN583" t="str">
            <v/>
          </cell>
          <cell r="BO583" t="str">
            <v/>
          </cell>
        </row>
        <row r="584">
          <cell r="A584">
            <v>1</v>
          </cell>
          <cell r="B584">
            <v>4341041</v>
          </cell>
          <cell r="C584" t="str">
            <v>HABILLAGE DE MACHINE</v>
          </cell>
          <cell r="D584" t="str">
            <v>ACHATS FEUTRES BAS</v>
          </cell>
          <cell r="E584" t="str">
            <v>O</v>
          </cell>
          <cell r="F584">
            <v>0</v>
          </cell>
          <cell r="G584">
            <v>0</v>
          </cell>
          <cell r="H584">
            <v>14500</v>
          </cell>
          <cell r="I584">
            <v>243100</v>
          </cell>
          <cell r="J584">
            <v>228600</v>
          </cell>
          <cell r="K584">
            <v>0</v>
          </cell>
          <cell r="L584">
            <v>20500</v>
          </cell>
          <cell r="M584">
            <v>20500</v>
          </cell>
          <cell r="N584">
            <v>0</v>
          </cell>
          <cell r="O584">
            <v>0</v>
          </cell>
          <cell r="P584">
            <v>-16800</v>
          </cell>
          <cell r="Q584">
            <v>-16800</v>
          </cell>
          <cell r="R584">
            <v>-16800</v>
          </cell>
          <cell r="S584">
            <v>-11300</v>
          </cell>
          <cell r="T584">
            <v>-11500</v>
          </cell>
          <cell r="U584">
            <v>-6000</v>
          </cell>
          <cell r="V584">
            <v>5000</v>
          </cell>
          <cell r="W584">
            <v>10500</v>
          </cell>
          <cell r="X584">
            <v>14500</v>
          </cell>
          <cell r="Y584">
            <v>14500</v>
          </cell>
          <cell r="Z584">
            <v>0</v>
          </cell>
          <cell r="AA584">
            <v>0</v>
          </cell>
          <cell r="AB584">
            <v>5500</v>
          </cell>
          <cell r="AC584">
            <v>5500</v>
          </cell>
          <cell r="AD584">
            <v>5500</v>
          </cell>
          <cell r="AE584">
            <v>5500</v>
          </cell>
          <cell r="AF584">
            <v>11000</v>
          </cell>
          <cell r="AG584">
            <v>16800</v>
          </cell>
          <cell r="AH584">
            <v>16800</v>
          </cell>
          <cell r="AI584">
            <v>16800</v>
          </cell>
          <cell r="AJ584">
            <v>27500</v>
          </cell>
          <cell r="AK584">
            <v>33000</v>
          </cell>
          <cell r="AL584">
            <v>0</v>
          </cell>
          <cell r="AM584">
            <v>1</v>
          </cell>
          <cell r="AN584" t="str">
            <v/>
          </cell>
          <cell r="AO584">
            <v>0</v>
          </cell>
          <cell r="AP584">
            <v>0</v>
          </cell>
          <cell r="AQ584">
            <v>0</v>
          </cell>
          <cell r="AR584">
            <v>720</v>
          </cell>
          <cell r="AS584">
            <v>0</v>
          </cell>
          <cell r="AT584" t="str">
            <v/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 t="str">
            <v/>
          </cell>
          <cell r="BK584">
            <v>6300</v>
          </cell>
          <cell r="BL584" t="str">
            <v/>
          </cell>
          <cell r="BM584" t="str">
            <v>1</v>
          </cell>
          <cell r="BN584" t="str">
            <v/>
          </cell>
          <cell r="BO584" t="str">
            <v/>
          </cell>
        </row>
        <row r="585">
          <cell r="A585">
            <v>1</v>
          </cell>
          <cell r="B585">
            <v>4341051</v>
          </cell>
          <cell r="C585" t="str">
            <v>HABILLAGE DE MACHINE</v>
          </cell>
          <cell r="D585" t="str">
            <v>ACHATS FEUTRES PP</v>
          </cell>
          <cell r="E585" t="str">
            <v>O</v>
          </cell>
          <cell r="F585">
            <v>0</v>
          </cell>
          <cell r="G585">
            <v>0</v>
          </cell>
          <cell r="H585">
            <v>145079.22</v>
          </cell>
          <cell r="I585">
            <v>985226.22</v>
          </cell>
          <cell r="J585">
            <v>840147</v>
          </cell>
          <cell r="K585">
            <v>0</v>
          </cell>
          <cell r="L585">
            <v>75517</v>
          </cell>
          <cell r="M585">
            <v>63517</v>
          </cell>
          <cell r="N585">
            <v>14162.46</v>
          </cell>
          <cell r="O585">
            <v>27412.92</v>
          </cell>
          <cell r="P585">
            <v>77956.92</v>
          </cell>
          <cell r="Q585">
            <v>74956.92</v>
          </cell>
          <cell r="R585">
            <v>79517.919999999998</v>
          </cell>
          <cell r="S585">
            <v>88518.02</v>
          </cell>
          <cell r="T585">
            <v>100518.02</v>
          </cell>
          <cell r="U585">
            <v>114079.12</v>
          </cell>
          <cell r="V585">
            <v>126079.12</v>
          </cell>
          <cell r="W585">
            <v>138079.22</v>
          </cell>
          <cell r="X585">
            <v>145079.22</v>
          </cell>
          <cell r="Y585">
            <v>157079.22</v>
          </cell>
          <cell r="Z585">
            <v>31912.92</v>
          </cell>
          <cell r="AA585">
            <v>57336.38</v>
          </cell>
          <cell r="AB585">
            <v>57719.38</v>
          </cell>
          <cell r="AC585">
            <v>64378.29</v>
          </cell>
          <cell r="AD585">
            <v>88375.29</v>
          </cell>
          <cell r="AE585">
            <v>97247.67</v>
          </cell>
          <cell r="AF585">
            <v>109247.67</v>
          </cell>
          <cell r="AG585">
            <v>125147.67</v>
          </cell>
          <cell r="AH585">
            <v>136104.59</v>
          </cell>
          <cell r="AI585">
            <v>168517.05</v>
          </cell>
          <cell r="AJ585">
            <v>180517.05</v>
          </cell>
          <cell r="AK585">
            <v>203473.05</v>
          </cell>
          <cell r="AL585">
            <v>0</v>
          </cell>
          <cell r="AM585">
            <v>1</v>
          </cell>
          <cell r="AN585" t="str">
            <v/>
          </cell>
          <cell r="AO585">
            <v>0</v>
          </cell>
          <cell r="AP585">
            <v>0</v>
          </cell>
          <cell r="AQ585">
            <v>0</v>
          </cell>
          <cell r="AR585">
            <v>720</v>
          </cell>
          <cell r="AS585">
            <v>0</v>
          </cell>
          <cell r="AT585" t="str">
            <v/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 t="str">
            <v/>
          </cell>
          <cell r="BK585">
            <v>6300</v>
          </cell>
          <cell r="BL585" t="str">
            <v/>
          </cell>
          <cell r="BM585" t="str">
            <v>1</v>
          </cell>
          <cell r="BN585" t="str">
            <v/>
          </cell>
          <cell r="BO585" t="str">
            <v/>
          </cell>
        </row>
        <row r="586">
          <cell r="A586">
            <v>1</v>
          </cell>
          <cell r="B586">
            <v>4341061</v>
          </cell>
          <cell r="C586" t="str">
            <v>HABILLAGE DE MACHINE</v>
          </cell>
          <cell r="D586" t="str">
            <v>LAME ET SCIE</v>
          </cell>
          <cell r="E586" t="str">
            <v>O</v>
          </cell>
          <cell r="F586">
            <v>0</v>
          </cell>
          <cell r="G586">
            <v>0</v>
          </cell>
          <cell r="H586">
            <v>48481.8</v>
          </cell>
          <cell r="I586">
            <v>57208.05</v>
          </cell>
          <cell r="J586">
            <v>8726.25</v>
          </cell>
          <cell r="K586">
            <v>0</v>
          </cell>
          <cell r="L586">
            <v>11455.65</v>
          </cell>
          <cell r="M586">
            <v>9690.74</v>
          </cell>
          <cell r="N586">
            <v>4848.4399999999996</v>
          </cell>
          <cell r="O586">
            <v>6930.97</v>
          </cell>
          <cell r="P586">
            <v>11930.76</v>
          </cell>
          <cell r="Q586">
            <v>16191.12</v>
          </cell>
          <cell r="R586">
            <v>19446.09</v>
          </cell>
          <cell r="S586">
            <v>26888.69</v>
          </cell>
          <cell r="T586">
            <v>28951.35</v>
          </cell>
          <cell r="U586">
            <v>35891.440000000002</v>
          </cell>
          <cell r="V586">
            <v>41839.97</v>
          </cell>
          <cell r="W586">
            <v>44960.81</v>
          </cell>
          <cell r="X586">
            <v>48481.8</v>
          </cell>
          <cell r="Y586">
            <v>50246.71</v>
          </cell>
          <cell r="Z586">
            <v>0</v>
          </cell>
          <cell r="AA586">
            <v>4605.5</v>
          </cell>
          <cell r="AB586">
            <v>5730.5</v>
          </cell>
          <cell r="AC586">
            <v>6570.5</v>
          </cell>
          <cell r="AD586">
            <v>6570.5</v>
          </cell>
          <cell r="AE586">
            <v>7050.5</v>
          </cell>
          <cell r="AF586">
            <v>11361.5</v>
          </cell>
          <cell r="AG586">
            <v>12907</v>
          </cell>
          <cell r="AH586">
            <v>13627</v>
          </cell>
          <cell r="AI586">
            <v>22844.87</v>
          </cell>
          <cell r="AJ586">
            <v>22940.37</v>
          </cell>
          <cell r="AK586">
            <v>26672.57</v>
          </cell>
          <cell r="AL586">
            <v>0</v>
          </cell>
          <cell r="AM586">
            <v>1</v>
          </cell>
          <cell r="AN586" t="str">
            <v/>
          </cell>
          <cell r="AO586">
            <v>0</v>
          </cell>
          <cell r="AP586">
            <v>0</v>
          </cell>
          <cell r="AQ586">
            <v>0</v>
          </cell>
          <cell r="AR586">
            <v>720</v>
          </cell>
          <cell r="AS586">
            <v>0</v>
          </cell>
          <cell r="AT586" t="str">
            <v/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 t="str">
            <v/>
          </cell>
          <cell r="BK586">
            <v>6300</v>
          </cell>
          <cell r="BL586" t="str">
            <v/>
          </cell>
          <cell r="BM586" t="str">
            <v>1</v>
          </cell>
          <cell r="BN586" t="str">
            <v/>
          </cell>
          <cell r="BO586" t="str">
            <v/>
          </cell>
        </row>
        <row r="587">
          <cell r="A587">
            <v>1</v>
          </cell>
          <cell r="B587">
            <v>4349001</v>
          </cell>
          <cell r="C587" t="str">
            <v>HABILLAGE DE MACHINE</v>
          </cell>
          <cell r="D587" t="str">
            <v>TRANSFERT DIVISION PAPIER</v>
          </cell>
          <cell r="E587" t="str">
            <v>O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1</v>
          </cell>
          <cell r="AN587" t="str">
            <v/>
          </cell>
          <cell r="AO587">
            <v>0</v>
          </cell>
          <cell r="AP587">
            <v>0</v>
          </cell>
          <cell r="AQ587">
            <v>0</v>
          </cell>
          <cell r="AR587">
            <v>720</v>
          </cell>
          <cell r="AS587">
            <v>0</v>
          </cell>
          <cell r="AT587" t="str">
            <v/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 t="str">
            <v/>
          </cell>
          <cell r="BK587">
            <v>6300</v>
          </cell>
          <cell r="BL587" t="str">
            <v>0</v>
          </cell>
          <cell r="BM587" t="str">
            <v>1</v>
          </cell>
          <cell r="BN587" t="str">
            <v/>
          </cell>
          <cell r="BO587" t="str">
            <v/>
          </cell>
        </row>
        <row r="588">
          <cell r="A588">
            <v>1</v>
          </cell>
          <cell r="B588">
            <v>4349002</v>
          </cell>
          <cell r="C588" t="str">
            <v>HABILLAGE DE MACHINE</v>
          </cell>
          <cell r="D588" t="str">
            <v>TRANSFERT DIV. SERVIETTES</v>
          </cell>
          <cell r="E588" t="str">
            <v>O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106.92</v>
          </cell>
          <cell r="AA588">
            <v>106.92</v>
          </cell>
          <cell r="AB588">
            <v>106.92</v>
          </cell>
          <cell r="AC588">
            <v>106.92</v>
          </cell>
          <cell r="AD588">
            <v>106.92</v>
          </cell>
          <cell r="AE588">
            <v>106.92</v>
          </cell>
          <cell r="AF588">
            <v>106.92</v>
          </cell>
          <cell r="AG588">
            <v>106.92</v>
          </cell>
          <cell r="AH588">
            <v>106.92</v>
          </cell>
          <cell r="AI588">
            <v>106.92</v>
          </cell>
          <cell r="AJ588">
            <v>106.92</v>
          </cell>
          <cell r="AK588">
            <v>106.92</v>
          </cell>
          <cell r="AL588">
            <v>0</v>
          </cell>
          <cell r="AM588">
            <v>2</v>
          </cell>
          <cell r="AN588" t="str">
            <v/>
          </cell>
          <cell r="AO588">
            <v>0</v>
          </cell>
          <cell r="AP588">
            <v>0</v>
          </cell>
          <cell r="AQ588">
            <v>0</v>
          </cell>
          <cell r="AR588">
            <v>720</v>
          </cell>
          <cell r="AS588">
            <v>0</v>
          </cell>
          <cell r="AT588" t="str">
            <v/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 t="str">
            <v/>
          </cell>
          <cell r="BK588">
            <v>6300</v>
          </cell>
          <cell r="BL588" t="str">
            <v>0</v>
          </cell>
          <cell r="BM588" t="str">
            <v>1</v>
          </cell>
          <cell r="BN588" t="str">
            <v/>
          </cell>
          <cell r="BO588" t="str">
            <v/>
          </cell>
        </row>
        <row r="589">
          <cell r="A589">
            <v>1</v>
          </cell>
          <cell r="B589">
            <v>4349003</v>
          </cell>
          <cell r="C589" t="str">
            <v>HABILLAGE DE MACHINE</v>
          </cell>
          <cell r="D589" t="str">
            <v>TRANSFERT DIVISION SACS</v>
          </cell>
          <cell r="E589" t="str">
            <v>O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25</v>
          </cell>
          <cell r="AC589">
            <v>25</v>
          </cell>
          <cell r="AD589">
            <v>25</v>
          </cell>
          <cell r="AE589">
            <v>25</v>
          </cell>
          <cell r="AF589">
            <v>25</v>
          </cell>
          <cell r="AG589">
            <v>25</v>
          </cell>
          <cell r="AH589">
            <v>25</v>
          </cell>
          <cell r="AI589">
            <v>25</v>
          </cell>
          <cell r="AJ589">
            <v>25</v>
          </cell>
          <cell r="AK589">
            <v>25</v>
          </cell>
          <cell r="AL589">
            <v>0</v>
          </cell>
          <cell r="AM589">
            <v>3</v>
          </cell>
          <cell r="AN589" t="str">
            <v/>
          </cell>
          <cell r="AO589">
            <v>0</v>
          </cell>
          <cell r="AP589">
            <v>0</v>
          </cell>
          <cell r="AQ589">
            <v>0</v>
          </cell>
          <cell r="AR589">
            <v>720</v>
          </cell>
          <cell r="AS589">
            <v>0</v>
          </cell>
          <cell r="AT589" t="str">
            <v/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 t="str">
            <v/>
          </cell>
          <cell r="BK589">
            <v>6300</v>
          </cell>
          <cell r="BL589" t="str">
            <v>0</v>
          </cell>
          <cell r="BM589" t="str">
            <v>1</v>
          </cell>
          <cell r="BN589" t="str">
            <v/>
          </cell>
          <cell r="BO589" t="str">
            <v/>
          </cell>
        </row>
        <row r="590">
          <cell r="A590">
            <v>1</v>
          </cell>
          <cell r="B590">
            <v>4349004</v>
          </cell>
          <cell r="C590" t="str">
            <v>HABILLAGE DE MACHINE</v>
          </cell>
          <cell r="D590" t="str">
            <v>TRANSFERT DIVISION BOITES</v>
          </cell>
          <cell r="E590" t="str">
            <v>O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405.2</v>
          </cell>
          <cell r="AA590">
            <v>405.2</v>
          </cell>
          <cell r="AB590">
            <v>405.2</v>
          </cell>
          <cell r="AC590">
            <v>405.2</v>
          </cell>
          <cell r="AD590">
            <v>405.2</v>
          </cell>
          <cell r="AE590">
            <v>-4.8</v>
          </cell>
          <cell r="AF590">
            <v>-4.8</v>
          </cell>
          <cell r="AG590">
            <v>-4.8</v>
          </cell>
          <cell r="AH590">
            <v>-4.8</v>
          </cell>
          <cell r="AI590">
            <v>-4.8</v>
          </cell>
          <cell r="AJ590">
            <v>-4.8</v>
          </cell>
          <cell r="AK590">
            <v>-4.8</v>
          </cell>
          <cell r="AL590">
            <v>0</v>
          </cell>
          <cell r="AM590">
            <v>4</v>
          </cell>
          <cell r="AN590" t="str">
            <v/>
          </cell>
          <cell r="AO590">
            <v>0</v>
          </cell>
          <cell r="AP590">
            <v>0</v>
          </cell>
          <cell r="AQ590">
            <v>0</v>
          </cell>
          <cell r="AR590">
            <v>720</v>
          </cell>
          <cell r="AS590">
            <v>0</v>
          </cell>
          <cell r="AT590" t="str">
            <v/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 t="str">
            <v/>
          </cell>
          <cell r="BK590">
            <v>6300</v>
          </cell>
          <cell r="BL590" t="str">
            <v>0</v>
          </cell>
          <cell r="BM590" t="str">
            <v>1</v>
          </cell>
          <cell r="BN590" t="str">
            <v/>
          </cell>
          <cell r="BO590" t="str">
            <v/>
          </cell>
        </row>
        <row r="591">
          <cell r="A591">
            <v>1</v>
          </cell>
          <cell r="B591">
            <v>4381001</v>
          </cell>
          <cell r="C591" t="str">
            <v>INV PRODUITS FINIS VAR</v>
          </cell>
          <cell r="D591" t="str">
            <v>PAPIER</v>
          </cell>
          <cell r="E591" t="str">
            <v>O</v>
          </cell>
          <cell r="F591">
            <v>0</v>
          </cell>
          <cell r="G591">
            <v>0</v>
          </cell>
          <cell r="H591">
            <v>77407.72</v>
          </cell>
          <cell r="I591">
            <v>1472144.28</v>
          </cell>
          <cell r="J591">
            <v>1549552</v>
          </cell>
          <cell r="K591">
            <v>0</v>
          </cell>
          <cell r="L591">
            <v>77407.72</v>
          </cell>
          <cell r="M591">
            <v>134237.17000000001</v>
          </cell>
          <cell r="N591">
            <v>95204</v>
          </cell>
          <cell r="O591">
            <v>62318.3</v>
          </cell>
          <cell r="P591">
            <v>91566.78</v>
          </cell>
          <cell r="Q591">
            <v>153934.64000000001</v>
          </cell>
          <cell r="R591">
            <v>108445.37</v>
          </cell>
          <cell r="S591">
            <v>88767.360000000001</v>
          </cell>
          <cell r="T591">
            <v>100994.88</v>
          </cell>
          <cell r="U591">
            <v>105259.51</v>
          </cell>
          <cell r="V591">
            <v>92428.99</v>
          </cell>
          <cell r="W591">
            <v>90510</v>
          </cell>
          <cell r="X591">
            <v>77407.72</v>
          </cell>
          <cell r="Y591">
            <v>134237.17000000001</v>
          </cell>
          <cell r="Z591">
            <v>70180</v>
          </cell>
          <cell r="AA591">
            <v>33230</v>
          </cell>
          <cell r="AB591">
            <v>60353.61</v>
          </cell>
          <cell r="AC591">
            <v>43320</v>
          </cell>
          <cell r="AD591">
            <v>80990.720000000001</v>
          </cell>
          <cell r="AE591">
            <v>75547</v>
          </cell>
          <cell r="AF591">
            <v>100403.61</v>
          </cell>
          <cell r="AG591">
            <v>100384</v>
          </cell>
          <cell r="AH591">
            <v>94667.72</v>
          </cell>
          <cell r="AI591">
            <v>79795</v>
          </cell>
          <cell r="AJ591">
            <v>84283.56</v>
          </cell>
          <cell r="AK591">
            <v>90385.05</v>
          </cell>
          <cell r="AL591">
            <v>90253</v>
          </cell>
          <cell r="AM591">
            <v>1</v>
          </cell>
          <cell r="AN591" t="str">
            <v/>
          </cell>
          <cell r="AO591">
            <v>0</v>
          </cell>
          <cell r="AP591">
            <v>0</v>
          </cell>
          <cell r="AQ591">
            <v>0</v>
          </cell>
          <cell r="AR591">
            <v>780</v>
          </cell>
          <cell r="AS591">
            <v>0</v>
          </cell>
          <cell r="AT591" t="str">
            <v/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 t="str">
            <v/>
          </cell>
          <cell r="BK591">
            <v>7000</v>
          </cell>
          <cell r="BL591" t="str">
            <v>0</v>
          </cell>
          <cell r="BM591" t="str">
            <v>1</v>
          </cell>
          <cell r="BN591" t="str">
            <v/>
          </cell>
          <cell r="BO591" t="str">
            <v/>
          </cell>
        </row>
        <row r="592">
          <cell r="A592">
            <v>1</v>
          </cell>
          <cell r="B592">
            <v>4381002</v>
          </cell>
          <cell r="C592" t="str">
            <v>INV PRODUITS FINIS VAR</v>
          </cell>
          <cell r="D592" t="str">
            <v>SERVIETTES</v>
          </cell>
          <cell r="E592" t="str">
            <v>O</v>
          </cell>
          <cell r="F592">
            <v>0</v>
          </cell>
          <cell r="G592">
            <v>0</v>
          </cell>
          <cell r="H592">
            <v>156194</v>
          </cell>
          <cell r="I592">
            <v>2089825.38</v>
          </cell>
          <cell r="J592">
            <v>2246019.38</v>
          </cell>
          <cell r="K592">
            <v>0</v>
          </cell>
          <cell r="L592">
            <v>156194</v>
          </cell>
          <cell r="M592">
            <v>157883.82</v>
          </cell>
          <cell r="N592">
            <v>125540</v>
          </cell>
          <cell r="O592">
            <v>153825</v>
          </cell>
          <cell r="P592">
            <v>165567</v>
          </cell>
          <cell r="Q592">
            <v>140497</v>
          </cell>
          <cell r="R592">
            <v>208573.07</v>
          </cell>
          <cell r="S592">
            <v>178860.08</v>
          </cell>
          <cell r="T592">
            <v>181474.34</v>
          </cell>
          <cell r="U592">
            <v>149390.73000000001</v>
          </cell>
          <cell r="V592">
            <v>141806.53</v>
          </cell>
          <cell r="W592">
            <v>144539.32999999999</v>
          </cell>
          <cell r="X592">
            <v>156194</v>
          </cell>
          <cell r="Y592">
            <v>157883.82</v>
          </cell>
          <cell r="Z592">
            <v>66381</v>
          </cell>
          <cell r="AA592">
            <v>72197</v>
          </cell>
          <cell r="AB592">
            <v>74951.81</v>
          </cell>
          <cell r="AC592">
            <v>99213</v>
          </cell>
          <cell r="AD592">
            <v>109385</v>
          </cell>
          <cell r="AE592">
            <v>93217</v>
          </cell>
          <cell r="AF592">
            <v>87261</v>
          </cell>
          <cell r="AG592">
            <v>93241</v>
          </cell>
          <cell r="AH592">
            <v>80349</v>
          </cell>
          <cell r="AI592">
            <v>100124.77</v>
          </cell>
          <cell r="AJ592">
            <v>127090</v>
          </cell>
          <cell r="AK592">
            <v>121685</v>
          </cell>
          <cell r="AL592">
            <v>91195.37</v>
          </cell>
          <cell r="AM592">
            <v>2</v>
          </cell>
          <cell r="AN592" t="str">
            <v/>
          </cell>
          <cell r="AO592">
            <v>0</v>
          </cell>
          <cell r="AP592">
            <v>0</v>
          </cell>
          <cell r="AQ592">
            <v>0</v>
          </cell>
          <cell r="AR592">
            <v>780</v>
          </cell>
          <cell r="AS592">
            <v>0</v>
          </cell>
          <cell r="AT592" t="str">
            <v/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 t="str">
            <v/>
          </cell>
          <cell r="BK592">
            <v>7000</v>
          </cell>
          <cell r="BL592" t="str">
            <v>0</v>
          </cell>
          <cell r="BM592" t="str">
            <v>1</v>
          </cell>
          <cell r="BN592" t="str">
            <v/>
          </cell>
          <cell r="BO592" t="str">
            <v/>
          </cell>
        </row>
        <row r="593">
          <cell r="A593">
            <v>1</v>
          </cell>
          <cell r="B593">
            <v>4381003</v>
          </cell>
          <cell r="C593" t="str">
            <v>INV PRODUITS FINIS VAR</v>
          </cell>
          <cell r="D593" t="str">
            <v>SACS</v>
          </cell>
          <cell r="E593" t="str">
            <v>O</v>
          </cell>
          <cell r="F593">
            <v>0</v>
          </cell>
          <cell r="G593">
            <v>0</v>
          </cell>
          <cell r="H593">
            <v>138295.56</v>
          </cell>
          <cell r="I593">
            <v>3826228.62</v>
          </cell>
          <cell r="J593">
            <v>3964524.18</v>
          </cell>
          <cell r="K593">
            <v>0</v>
          </cell>
          <cell r="L593">
            <v>272575.40999999997</v>
          </cell>
          <cell r="M593">
            <v>273224.71000000002</v>
          </cell>
          <cell r="N593">
            <v>110000</v>
          </cell>
          <cell r="O593">
            <v>93245</v>
          </cell>
          <cell r="P593">
            <v>86536</v>
          </cell>
          <cell r="Q593">
            <v>90091</v>
          </cell>
          <cell r="R593">
            <v>90194</v>
          </cell>
          <cell r="S593">
            <v>123976</v>
          </cell>
          <cell r="T593">
            <v>124980</v>
          </cell>
          <cell r="U593">
            <v>126435</v>
          </cell>
          <cell r="V593">
            <v>118091.99</v>
          </cell>
          <cell r="W593">
            <v>120738.89</v>
          </cell>
          <cell r="X593">
            <v>138295.56</v>
          </cell>
          <cell r="Y593">
            <v>138944.85999999999</v>
          </cell>
          <cell r="Z593">
            <v>75939</v>
          </cell>
          <cell r="AA593">
            <v>97639</v>
          </cell>
          <cell r="AB593">
            <v>103782</v>
          </cell>
          <cell r="AC593">
            <v>89694</v>
          </cell>
          <cell r="AD593">
            <v>79410.75</v>
          </cell>
          <cell r="AE593">
            <v>65718</v>
          </cell>
          <cell r="AF593">
            <v>74890</v>
          </cell>
          <cell r="AG593">
            <v>79582.67</v>
          </cell>
          <cell r="AH593">
            <v>85469</v>
          </cell>
          <cell r="AI593">
            <v>86847</v>
          </cell>
          <cell r="AJ593">
            <v>99229</v>
          </cell>
          <cell r="AK593">
            <v>103304</v>
          </cell>
          <cell r="AL593">
            <v>72322</v>
          </cell>
          <cell r="AM593">
            <v>3</v>
          </cell>
          <cell r="AN593" t="str">
            <v/>
          </cell>
          <cell r="AO593">
            <v>0</v>
          </cell>
          <cell r="AP593">
            <v>0</v>
          </cell>
          <cell r="AQ593">
            <v>0</v>
          </cell>
          <cell r="AR593">
            <v>780</v>
          </cell>
          <cell r="AS593">
            <v>0</v>
          </cell>
          <cell r="AT593" t="str">
            <v/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 t="str">
            <v/>
          </cell>
          <cell r="BK593">
            <v>7000</v>
          </cell>
          <cell r="BL593" t="str">
            <v>0</v>
          </cell>
          <cell r="BM593" t="str">
            <v>1</v>
          </cell>
          <cell r="BN593" t="str">
            <v/>
          </cell>
          <cell r="BO593" t="str">
            <v/>
          </cell>
        </row>
        <row r="594">
          <cell r="A594">
            <v>2</v>
          </cell>
          <cell r="B594">
            <v>4381004</v>
          </cell>
          <cell r="C594" t="str">
            <v>INV PRODUITS FINIS VAR</v>
          </cell>
          <cell r="D594" t="str">
            <v>BOITES</v>
          </cell>
          <cell r="E594" t="str">
            <v>O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171504.2</v>
          </cell>
          <cell r="AA594">
            <v>171504.2</v>
          </cell>
          <cell r="AB594">
            <v>171504.2</v>
          </cell>
          <cell r="AC594">
            <v>171504.2</v>
          </cell>
          <cell r="AD594">
            <v>171504.2</v>
          </cell>
          <cell r="AE594">
            <v>171504.2</v>
          </cell>
          <cell r="AF594">
            <v>171504.2</v>
          </cell>
          <cell r="AG594">
            <v>171504.2</v>
          </cell>
          <cell r="AH594">
            <v>171504.2</v>
          </cell>
          <cell r="AI594">
            <v>171504.2</v>
          </cell>
          <cell r="AJ594">
            <v>171504.2</v>
          </cell>
          <cell r="AK594">
            <v>0</v>
          </cell>
          <cell r="AL594">
            <v>0</v>
          </cell>
          <cell r="AM594">
            <v>4</v>
          </cell>
          <cell r="AN594" t="str">
            <v/>
          </cell>
          <cell r="AO594">
            <v>0</v>
          </cell>
          <cell r="AP594">
            <v>0</v>
          </cell>
          <cell r="AQ594">
            <v>0</v>
          </cell>
          <cell r="AR594">
            <v>780</v>
          </cell>
          <cell r="AS594">
            <v>0</v>
          </cell>
          <cell r="AT594" t="str">
            <v/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 t="str">
            <v/>
          </cell>
          <cell r="BK594">
            <v>7000</v>
          </cell>
          <cell r="BL594" t="str">
            <v>0</v>
          </cell>
          <cell r="BM594" t="str">
            <v>1</v>
          </cell>
          <cell r="BN594" t="str">
            <v/>
          </cell>
          <cell r="BO594" t="str">
            <v/>
          </cell>
        </row>
        <row r="595">
          <cell r="A595">
            <v>1</v>
          </cell>
          <cell r="B595">
            <v>4411011</v>
          </cell>
          <cell r="C595" t="str">
            <v>FORMATION</v>
          </cell>
          <cell r="D595" t="str">
            <v>SEMINAIRE</v>
          </cell>
          <cell r="E595" t="str">
            <v>O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22.96</v>
          </cell>
          <cell r="AK595">
            <v>22.96</v>
          </cell>
          <cell r="AL595">
            <v>0</v>
          </cell>
          <cell r="AM595">
            <v>1</v>
          </cell>
          <cell r="AN595" t="str">
            <v/>
          </cell>
          <cell r="AO595">
            <v>0</v>
          </cell>
          <cell r="AP595">
            <v>0</v>
          </cell>
          <cell r="AQ595">
            <v>0</v>
          </cell>
          <cell r="AR595">
            <v>810</v>
          </cell>
          <cell r="AS595">
            <v>0</v>
          </cell>
          <cell r="AT595" t="str">
            <v/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 t="str">
            <v/>
          </cell>
          <cell r="BK595">
            <v>7000</v>
          </cell>
          <cell r="BL595" t="str">
            <v/>
          </cell>
          <cell r="BM595" t="str">
            <v>1</v>
          </cell>
          <cell r="BN595" t="str">
            <v/>
          </cell>
          <cell r="BO595" t="str">
            <v/>
          </cell>
        </row>
        <row r="596">
          <cell r="A596">
            <v>1</v>
          </cell>
          <cell r="B596">
            <v>4411021</v>
          </cell>
          <cell r="C596" t="str">
            <v>FORMATION</v>
          </cell>
          <cell r="D596" t="str">
            <v>SALAIRE FORMATEUR</v>
          </cell>
          <cell r="E596" t="str">
            <v>O</v>
          </cell>
          <cell r="F596">
            <v>0</v>
          </cell>
          <cell r="G596">
            <v>0</v>
          </cell>
          <cell r="H596">
            <v>62.2</v>
          </cell>
          <cell r="I596">
            <v>288.64</v>
          </cell>
          <cell r="J596">
            <v>226.44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62.2</v>
          </cell>
          <cell r="P596">
            <v>62.2</v>
          </cell>
          <cell r="Q596">
            <v>62.2</v>
          </cell>
          <cell r="R596">
            <v>62.2</v>
          </cell>
          <cell r="S596">
            <v>62.2</v>
          </cell>
          <cell r="T596">
            <v>62.2</v>
          </cell>
          <cell r="U596">
            <v>62.2</v>
          </cell>
          <cell r="V596">
            <v>62.2</v>
          </cell>
          <cell r="W596">
            <v>62.2</v>
          </cell>
          <cell r="X596">
            <v>62.2</v>
          </cell>
          <cell r="Y596">
            <v>62.2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226.44</v>
          </cell>
          <cell r="AL596">
            <v>0</v>
          </cell>
          <cell r="AM596">
            <v>1</v>
          </cell>
          <cell r="AN596" t="str">
            <v/>
          </cell>
          <cell r="AO596">
            <v>0</v>
          </cell>
          <cell r="AP596">
            <v>0</v>
          </cell>
          <cell r="AQ596">
            <v>0</v>
          </cell>
          <cell r="AR596">
            <v>810</v>
          </cell>
          <cell r="AS596">
            <v>0</v>
          </cell>
          <cell r="AT596" t="str">
            <v/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 t="str">
            <v/>
          </cell>
          <cell r="BK596">
            <v>7000</v>
          </cell>
          <cell r="BL596" t="str">
            <v/>
          </cell>
          <cell r="BM596" t="str">
            <v>1</v>
          </cell>
          <cell r="BN596" t="str">
            <v/>
          </cell>
          <cell r="BO596" t="str">
            <v/>
          </cell>
        </row>
        <row r="597">
          <cell r="A597">
            <v>1</v>
          </cell>
          <cell r="B597">
            <v>4411031</v>
          </cell>
          <cell r="C597" t="str">
            <v>FORMATION</v>
          </cell>
          <cell r="D597" t="str">
            <v>COMITÉ SANTÉ SÉCURITÉ</v>
          </cell>
          <cell r="E597" t="str">
            <v>O</v>
          </cell>
          <cell r="F597">
            <v>0</v>
          </cell>
          <cell r="G597">
            <v>0</v>
          </cell>
          <cell r="H597">
            <v>57</v>
          </cell>
          <cell r="I597">
            <v>57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57</v>
          </cell>
          <cell r="P597">
            <v>57</v>
          </cell>
          <cell r="Q597">
            <v>57</v>
          </cell>
          <cell r="R597">
            <v>57</v>
          </cell>
          <cell r="S597">
            <v>57</v>
          </cell>
          <cell r="T597">
            <v>57</v>
          </cell>
          <cell r="U597">
            <v>57</v>
          </cell>
          <cell r="V597">
            <v>57</v>
          </cell>
          <cell r="W597">
            <v>57</v>
          </cell>
          <cell r="X597">
            <v>57</v>
          </cell>
          <cell r="Y597">
            <v>57</v>
          </cell>
          <cell r="Z597">
            <v>0</v>
          </cell>
          <cell r="AA597">
            <v>0</v>
          </cell>
          <cell r="AB597">
            <v>226</v>
          </cell>
          <cell r="AC597">
            <v>226</v>
          </cell>
          <cell r="AD597">
            <v>226</v>
          </cell>
          <cell r="AE597">
            <v>226</v>
          </cell>
          <cell r="AF597">
            <v>226</v>
          </cell>
          <cell r="AG597">
            <v>226</v>
          </cell>
          <cell r="AH597">
            <v>226</v>
          </cell>
          <cell r="AI597">
            <v>226</v>
          </cell>
          <cell r="AJ597">
            <v>226</v>
          </cell>
          <cell r="AK597">
            <v>258.18</v>
          </cell>
          <cell r="AL597">
            <v>0</v>
          </cell>
          <cell r="AM597">
            <v>1</v>
          </cell>
          <cell r="AN597" t="str">
            <v/>
          </cell>
          <cell r="AO597">
            <v>0</v>
          </cell>
          <cell r="AP597">
            <v>0</v>
          </cell>
          <cell r="AQ597">
            <v>0</v>
          </cell>
          <cell r="AR597">
            <v>810</v>
          </cell>
          <cell r="AS597">
            <v>0</v>
          </cell>
          <cell r="AT597" t="str">
            <v/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 t="str">
            <v/>
          </cell>
          <cell r="BK597">
            <v>7000</v>
          </cell>
          <cell r="BL597" t="str">
            <v/>
          </cell>
          <cell r="BM597" t="str">
            <v>1</v>
          </cell>
          <cell r="BN597" t="str">
            <v/>
          </cell>
          <cell r="BO597" t="str">
            <v/>
          </cell>
        </row>
        <row r="598">
          <cell r="A598">
            <v>1</v>
          </cell>
          <cell r="B598">
            <v>4411041</v>
          </cell>
          <cell r="C598" t="str">
            <v>FORMATION</v>
          </cell>
          <cell r="D598" t="str">
            <v>SALAIRE MOD</v>
          </cell>
          <cell r="E598" t="str">
            <v>O</v>
          </cell>
          <cell r="F598">
            <v>0</v>
          </cell>
          <cell r="G598">
            <v>0</v>
          </cell>
          <cell r="H598">
            <v>12871.57</v>
          </cell>
          <cell r="I598">
            <v>17946.71</v>
          </cell>
          <cell r="J598">
            <v>5075.1400000000003</v>
          </cell>
          <cell r="K598">
            <v>0</v>
          </cell>
          <cell r="L598">
            <v>0</v>
          </cell>
          <cell r="M598">
            <v>0</v>
          </cell>
          <cell r="N598">
            <v>625.85</v>
          </cell>
          <cell r="O598">
            <v>2440.85</v>
          </cell>
          <cell r="P598">
            <v>6009.57</v>
          </cell>
          <cell r="Q598">
            <v>6994.32</v>
          </cell>
          <cell r="R598">
            <v>7076.34</v>
          </cell>
          <cell r="S598">
            <v>10742.71</v>
          </cell>
          <cell r="T598">
            <v>11039.61</v>
          </cell>
          <cell r="U598">
            <v>11049.76</v>
          </cell>
          <cell r="V598">
            <v>12774.93</v>
          </cell>
          <cell r="W598">
            <v>12871.57</v>
          </cell>
          <cell r="X598">
            <v>12871.57</v>
          </cell>
          <cell r="Y598">
            <v>12871.57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1880.9</v>
          </cell>
          <cell r="AE598">
            <v>6801.38</v>
          </cell>
          <cell r="AF598">
            <v>6801.38</v>
          </cell>
          <cell r="AG598">
            <v>6801.38</v>
          </cell>
          <cell r="AH598">
            <v>6801.38</v>
          </cell>
          <cell r="AI598">
            <v>6876.99</v>
          </cell>
          <cell r="AJ598">
            <v>6934.76</v>
          </cell>
          <cell r="AK598">
            <v>6934.76</v>
          </cell>
          <cell r="AL598">
            <v>0</v>
          </cell>
          <cell r="AM598">
            <v>1</v>
          </cell>
          <cell r="AN598" t="str">
            <v/>
          </cell>
          <cell r="AO598">
            <v>0</v>
          </cell>
          <cell r="AP598">
            <v>0</v>
          </cell>
          <cell r="AQ598">
            <v>0</v>
          </cell>
          <cell r="AR598">
            <v>810</v>
          </cell>
          <cell r="AS598">
            <v>0</v>
          </cell>
          <cell r="AT598" t="str">
            <v/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 t="str">
            <v/>
          </cell>
          <cell r="BK598">
            <v>7000</v>
          </cell>
          <cell r="BL598" t="str">
            <v/>
          </cell>
          <cell r="BM598" t="str">
            <v>1</v>
          </cell>
          <cell r="BN598" t="str">
            <v/>
          </cell>
          <cell r="BO598" t="str">
            <v/>
          </cell>
        </row>
        <row r="599">
          <cell r="A599">
            <v>1</v>
          </cell>
          <cell r="B599">
            <v>4411051</v>
          </cell>
          <cell r="C599" t="str">
            <v>FORMATION</v>
          </cell>
          <cell r="D599" t="str">
            <v>PERFECTIONNEMENT</v>
          </cell>
          <cell r="E599" t="str">
            <v>O</v>
          </cell>
          <cell r="F599">
            <v>0</v>
          </cell>
          <cell r="G599">
            <v>0</v>
          </cell>
          <cell r="H599">
            <v>4126.42</v>
          </cell>
          <cell r="I599">
            <v>17363.669999999998</v>
          </cell>
          <cell r="J599">
            <v>13237.25</v>
          </cell>
          <cell r="K599">
            <v>0</v>
          </cell>
          <cell r="L599">
            <v>5237.91</v>
          </cell>
          <cell r="M599">
            <v>0</v>
          </cell>
          <cell r="N599">
            <v>2855.97</v>
          </cell>
          <cell r="O599">
            <v>2855.97</v>
          </cell>
          <cell r="P599">
            <v>3408.65</v>
          </cell>
          <cell r="Q599">
            <v>3408.65</v>
          </cell>
          <cell r="R599">
            <v>3408.65</v>
          </cell>
          <cell r="S599">
            <v>3408.65</v>
          </cell>
          <cell r="T599">
            <v>3423.15</v>
          </cell>
          <cell r="U599">
            <v>3423.15</v>
          </cell>
          <cell r="V599">
            <v>3765.31</v>
          </cell>
          <cell r="W599">
            <v>3765.31</v>
          </cell>
          <cell r="X599">
            <v>4126.42</v>
          </cell>
          <cell r="Y599">
            <v>9364.33</v>
          </cell>
          <cell r="Z599">
            <v>2061.54</v>
          </cell>
          <cell r="AA599">
            <v>2987.92</v>
          </cell>
          <cell r="AB599">
            <v>8467.98</v>
          </cell>
          <cell r="AC599">
            <v>14118.62</v>
          </cell>
          <cell r="AD599">
            <v>16294.45</v>
          </cell>
          <cell r="AE599">
            <v>19013.47</v>
          </cell>
          <cell r="AF599">
            <v>19306.8</v>
          </cell>
          <cell r="AG599">
            <v>19306.8</v>
          </cell>
          <cell r="AH599">
            <v>19341.64</v>
          </cell>
          <cell r="AI599">
            <v>19636.64</v>
          </cell>
          <cell r="AJ599">
            <v>20224.95</v>
          </cell>
          <cell r="AK599">
            <v>30774.45</v>
          </cell>
          <cell r="AL599">
            <v>0</v>
          </cell>
          <cell r="AM599">
            <v>1</v>
          </cell>
          <cell r="AN599" t="str">
            <v/>
          </cell>
          <cell r="AO599">
            <v>0</v>
          </cell>
          <cell r="AP599">
            <v>0</v>
          </cell>
          <cell r="AQ599">
            <v>0</v>
          </cell>
          <cell r="AR599">
            <v>810</v>
          </cell>
          <cell r="AS599">
            <v>0</v>
          </cell>
          <cell r="AT599" t="str">
            <v/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 t="str">
            <v/>
          </cell>
          <cell r="BK599">
            <v>7000</v>
          </cell>
          <cell r="BL599" t="str">
            <v/>
          </cell>
          <cell r="BM599" t="str">
            <v>1</v>
          </cell>
          <cell r="BN599" t="str">
            <v/>
          </cell>
          <cell r="BO599" t="str">
            <v/>
          </cell>
        </row>
        <row r="600">
          <cell r="A600">
            <v>1</v>
          </cell>
          <cell r="B600">
            <v>4419001</v>
          </cell>
          <cell r="C600" t="str">
            <v>FROMATION</v>
          </cell>
          <cell r="D600" t="str">
            <v>TRANSFERT DIVISION PAPIER</v>
          </cell>
          <cell r="E600" t="str">
            <v>O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91.38</v>
          </cell>
          <cell r="AA600">
            <v>13113.08</v>
          </cell>
          <cell r="AB600">
            <v>14292.82</v>
          </cell>
          <cell r="AC600">
            <v>14400.19</v>
          </cell>
          <cell r="AD600">
            <v>14747</v>
          </cell>
          <cell r="AE600">
            <v>14747</v>
          </cell>
          <cell r="AF600">
            <v>14747</v>
          </cell>
          <cell r="AG600">
            <v>14747</v>
          </cell>
          <cell r="AH600">
            <v>14747</v>
          </cell>
          <cell r="AI600">
            <v>14747</v>
          </cell>
          <cell r="AJ600">
            <v>14747</v>
          </cell>
          <cell r="AK600">
            <v>14747</v>
          </cell>
          <cell r="AL600">
            <v>0</v>
          </cell>
          <cell r="AM600">
            <v>1</v>
          </cell>
          <cell r="AN600" t="str">
            <v/>
          </cell>
          <cell r="AO600">
            <v>0</v>
          </cell>
          <cell r="AP600">
            <v>0</v>
          </cell>
          <cell r="AQ600">
            <v>0</v>
          </cell>
          <cell r="AR600">
            <v>810</v>
          </cell>
          <cell r="AS600">
            <v>0</v>
          </cell>
          <cell r="AT600" t="str">
            <v/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 t="str">
            <v/>
          </cell>
          <cell r="BK600">
            <v>7000</v>
          </cell>
          <cell r="BL600" t="str">
            <v>0</v>
          </cell>
          <cell r="BM600" t="str">
            <v>1</v>
          </cell>
          <cell r="BN600" t="str">
            <v/>
          </cell>
          <cell r="BO600" t="str">
            <v/>
          </cell>
        </row>
        <row r="601">
          <cell r="A601">
            <v>1</v>
          </cell>
          <cell r="B601">
            <v>4419002</v>
          </cell>
          <cell r="C601" t="str">
            <v>FORMATION</v>
          </cell>
          <cell r="D601" t="str">
            <v>TRANSFERT DIV. SERVIETTES</v>
          </cell>
          <cell r="E601" t="str">
            <v>O</v>
          </cell>
          <cell r="F601">
            <v>0</v>
          </cell>
          <cell r="G601">
            <v>0</v>
          </cell>
          <cell r="H601">
            <v>4010</v>
          </cell>
          <cell r="I601">
            <v>4010</v>
          </cell>
          <cell r="J601">
            <v>0</v>
          </cell>
          <cell r="K601">
            <v>0</v>
          </cell>
          <cell r="L601">
            <v>2828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151</v>
          </cell>
          <cell r="S601">
            <v>2474</v>
          </cell>
          <cell r="T601">
            <v>2642</v>
          </cell>
          <cell r="U601">
            <v>2647</v>
          </cell>
          <cell r="V601">
            <v>3763</v>
          </cell>
          <cell r="W601">
            <v>3815</v>
          </cell>
          <cell r="X601">
            <v>4010</v>
          </cell>
          <cell r="Y601">
            <v>6838</v>
          </cell>
          <cell r="Z601">
            <v>1086.49</v>
          </cell>
          <cell r="AA601">
            <v>4149.43</v>
          </cell>
          <cell r="AB601">
            <v>6021.54</v>
          </cell>
          <cell r="AC601">
            <v>7291.08</v>
          </cell>
          <cell r="AD601">
            <v>10484.52</v>
          </cell>
          <cell r="AE601">
            <v>12369.52</v>
          </cell>
          <cell r="AF601">
            <v>12369.52</v>
          </cell>
          <cell r="AG601">
            <v>12403.52</v>
          </cell>
          <cell r="AH601">
            <v>12953.19</v>
          </cell>
          <cell r="AI601">
            <v>12791.52</v>
          </cell>
          <cell r="AJ601">
            <v>12791.52</v>
          </cell>
          <cell r="AK601">
            <v>15558.48</v>
          </cell>
          <cell r="AL601">
            <v>0</v>
          </cell>
          <cell r="AM601">
            <v>2</v>
          </cell>
          <cell r="AN601" t="str">
            <v/>
          </cell>
          <cell r="AO601">
            <v>0</v>
          </cell>
          <cell r="AP601">
            <v>0</v>
          </cell>
          <cell r="AQ601">
            <v>0</v>
          </cell>
          <cell r="AR601">
            <v>810</v>
          </cell>
          <cell r="AS601">
            <v>0</v>
          </cell>
          <cell r="AT601" t="str">
            <v/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 t="str">
            <v/>
          </cell>
          <cell r="BK601">
            <v>7000</v>
          </cell>
          <cell r="BL601" t="str">
            <v>0</v>
          </cell>
          <cell r="BM601" t="str">
            <v>1</v>
          </cell>
          <cell r="BN601" t="str">
            <v/>
          </cell>
          <cell r="BO601" t="str">
            <v/>
          </cell>
        </row>
        <row r="602">
          <cell r="A602">
            <v>1</v>
          </cell>
          <cell r="B602">
            <v>4419003</v>
          </cell>
          <cell r="C602" t="str">
            <v>FORMATION</v>
          </cell>
          <cell r="D602" t="str">
            <v>TRANSFERT DIVISION SACS</v>
          </cell>
          <cell r="E602" t="str">
            <v>O</v>
          </cell>
          <cell r="F602">
            <v>0</v>
          </cell>
          <cell r="G602">
            <v>0</v>
          </cell>
          <cell r="H602">
            <v>1189</v>
          </cell>
          <cell r="I602">
            <v>1189</v>
          </cell>
          <cell r="J602">
            <v>0</v>
          </cell>
          <cell r="K602">
            <v>0</v>
          </cell>
          <cell r="L602">
            <v>838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45</v>
          </cell>
          <cell r="S602">
            <v>733</v>
          </cell>
          <cell r="T602">
            <v>783</v>
          </cell>
          <cell r="U602">
            <v>785</v>
          </cell>
          <cell r="V602">
            <v>1116</v>
          </cell>
          <cell r="W602">
            <v>1131</v>
          </cell>
          <cell r="X602">
            <v>1189</v>
          </cell>
          <cell r="Y602">
            <v>2027</v>
          </cell>
          <cell r="Z602">
            <v>6432.04</v>
          </cell>
          <cell r="AA602">
            <v>6821.86</v>
          </cell>
          <cell r="AB602">
            <v>7482.07</v>
          </cell>
          <cell r="AC602">
            <v>7592.1</v>
          </cell>
          <cell r="AD602">
            <v>8157.1</v>
          </cell>
          <cell r="AE602">
            <v>8716.1</v>
          </cell>
          <cell r="AF602">
            <v>8716.1</v>
          </cell>
          <cell r="AG602">
            <v>8726.1</v>
          </cell>
          <cell r="AH602">
            <v>8841.1</v>
          </cell>
          <cell r="AI602">
            <v>8841.1</v>
          </cell>
          <cell r="AJ602">
            <v>8841.1</v>
          </cell>
          <cell r="AK602">
            <v>9650.1</v>
          </cell>
          <cell r="AL602">
            <v>0</v>
          </cell>
          <cell r="AM602">
            <v>3</v>
          </cell>
          <cell r="AN602" t="str">
            <v/>
          </cell>
          <cell r="AO602">
            <v>0</v>
          </cell>
          <cell r="AP602">
            <v>0</v>
          </cell>
          <cell r="AQ602">
            <v>0</v>
          </cell>
          <cell r="AR602">
            <v>810</v>
          </cell>
          <cell r="AS602">
            <v>0</v>
          </cell>
          <cell r="AT602" t="str">
            <v/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 t="str">
            <v/>
          </cell>
          <cell r="BK602">
            <v>7000</v>
          </cell>
          <cell r="BL602" t="str">
            <v>0</v>
          </cell>
          <cell r="BM602" t="str">
            <v>1</v>
          </cell>
          <cell r="BN602" t="str">
            <v/>
          </cell>
          <cell r="BO602" t="str">
            <v/>
          </cell>
        </row>
        <row r="603">
          <cell r="A603">
            <v>1</v>
          </cell>
          <cell r="B603">
            <v>4419004</v>
          </cell>
          <cell r="C603" t="str">
            <v>FORMATION</v>
          </cell>
          <cell r="D603" t="str">
            <v>TRANSFERT DIVISION BOITES</v>
          </cell>
          <cell r="E603" t="str">
            <v>O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25.4</v>
          </cell>
          <cell r="AB603">
            <v>218.55</v>
          </cell>
          <cell r="AC603">
            <v>250.74</v>
          </cell>
          <cell r="AD603">
            <v>250.74</v>
          </cell>
          <cell r="AE603">
            <v>250.74</v>
          </cell>
          <cell r="AF603">
            <v>250.74</v>
          </cell>
          <cell r="AG603">
            <v>250.74</v>
          </cell>
          <cell r="AH603">
            <v>250.74</v>
          </cell>
          <cell r="AI603">
            <v>250.74</v>
          </cell>
          <cell r="AJ603">
            <v>250.74</v>
          </cell>
          <cell r="AK603">
            <v>250.74</v>
          </cell>
          <cell r="AL603">
            <v>0</v>
          </cell>
          <cell r="AM603">
            <v>4</v>
          </cell>
          <cell r="AN603" t="str">
            <v/>
          </cell>
          <cell r="AO603">
            <v>0</v>
          </cell>
          <cell r="AP603">
            <v>0</v>
          </cell>
          <cell r="AQ603">
            <v>0</v>
          </cell>
          <cell r="AR603">
            <v>810</v>
          </cell>
          <cell r="AS603">
            <v>0</v>
          </cell>
          <cell r="AT603" t="str">
            <v/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 t="str">
            <v/>
          </cell>
          <cell r="BK603">
            <v>7000</v>
          </cell>
          <cell r="BL603" t="str">
            <v>0</v>
          </cell>
          <cell r="BM603" t="str">
            <v>1</v>
          </cell>
          <cell r="BN603" t="str">
            <v/>
          </cell>
          <cell r="BO603" t="str">
            <v/>
          </cell>
        </row>
        <row r="604">
          <cell r="A604">
            <v>1</v>
          </cell>
          <cell r="B604">
            <v>4421001</v>
          </cell>
          <cell r="C604" t="str">
            <v>SURINTENDANT</v>
          </cell>
          <cell r="D604" t="str">
            <v>SUPERVISION - PAPIER</v>
          </cell>
          <cell r="E604" t="str">
            <v>O</v>
          </cell>
          <cell r="F604">
            <v>0</v>
          </cell>
          <cell r="G604">
            <v>0</v>
          </cell>
          <cell r="H604">
            <v>185464.3</v>
          </cell>
          <cell r="I604">
            <v>316422.07</v>
          </cell>
          <cell r="J604">
            <v>130957.77</v>
          </cell>
          <cell r="K604">
            <v>0</v>
          </cell>
          <cell r="L604">
            <v>36037.699999999997</v>
          </cell>
          <cell r="M604">
            <v>23526.44</v>
          </cell>
          <cell r="N604">
            <v>17973.14</v>
          </cell>
          <cell r="O604">
            <v>39250.730000000003</v>
          </cell>
          <cell r="P604">
            <v>57836.34</v>
          </cell>
          <cell r="Q604">
            <v>74050.179999999993</v>
          </cell>
          <cell r="R604">
            <v>90197.95</v>
          </cell>
          <cell r="S604">
            <v>105835.8</v>
          </cell>
          <cell r="T604">
            <v>121740.5</v>
          </cell>
          <cell r="U604">
            <v>137835.87</v>
          </cell>
          <cell r="V604">
            <v>151982.12</v>
          </cell>
          <cell r="W604">
            <v>168292.23</v>
          </cell>
          <cell r="X604">
            <v>185464.3</v>
          </cell>
          <cell r="Y604">
            <v>197975.56</v>
          </cell>
          <cell r="Z604">
            <v>0</v>
          </cell>
          <cell r="AA604">
            <v>9944.2800000000007</v>
          </cell>
          <cell r="AB604">
            <v>9944.2800000000007</v>
          </cell>
          <cell r="AC604">
            <v>9944.2800000000007</v>
          </cell>
          <cell r="AD604">
            <v>17790.14</v>
          </cell>
          <cell r="AE604">
            <v>38791.33</v>
          </cell>
          <cell r="AF604">
            <v>67783.47</v>
          </cell>
          <cell r="AG604">
            <v>87276.65</v>
          </cell>
          <cell r="AH604">
            <v>97894.080000000002</v>
          </cell>
          <cell r="AI604">
            <v>112934.82</v>
          </cell>
          <cell r="AJ604">
            <v>126512.33</v>
          </cell>
          <cell r="AK604">
            <v>139456.39000000001</v>
          </cell>
          <cell r="AL604">
            <v>0</v>
          </cell>
          <cell r="AM604">
            <v>1</v>
          </cell>
          <cell r="AN604" t="str">
            <v/>
          </cell>
          <cell r="AO604">
            <v>0</v>
          </cell>
          <cell r="AP604">
            <v>0</v>
          </cell>
          <cell r="AQ604">
            <v>0</v>
          </cell>
          <cell r="AR604">
            <v>700</v>
          </cell>
          <cell r="AS604">
            <v>0</v>
          </cell>
          <cell r="AT604" t="str">
            <v/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 t="str">
            <v/>
          </cell>
          <cell r="BK604">
            <v>7000</v>
          </cell>
          <cell r="BL604" t="str">
            <v>0</v>
          </cell>
          <cell r="BM604" t="str">
            <v>1</v>
          </cell>
          <cell r="BN604" t="str">
            <v/>
          </cell>
          <cell r="BO604" t="str">
            <v/>
          </cell>
        </row>
        <row r="605">
          <cell r="A605">
            <v>1</v>
          </cell>
          <cell r="B605">
            <v>4421003</v>
          </cell>
          <cell r="C605" t="str">
            <v>SURINTENDANT</v>
          </cell>
          <cell r="D605" t="str">
            <v>SUPERVISION - SACS</v>
          </cell>
          <cell r="E605" t="str">
            <v>O</v>
          </cell>
          <cell r="F605">
            <v>0</v>
          </cell>
          <cell r="G605">
            <v>0</v>
          </cell>
          <cell r="H605">
            <v>111114.6</v>
          </cell>
          <cell r="I605">
            <v>152313.9</v>
          </cell>
          <cell r="J605">
            <v>41199.300000000003</v>
          </cell>
          <cell r="K605">
            <v>0</v>
          </cell>
          <cell r="L605">
            <v>18615.68</v>
          </cell>
          <cell r="M605">
            <v>12078.66</v>
          </cell>
          <cell r="N605">
            <v>10696.86</v>
          </cell>
          <cell r="O605">
            <v>19126.05</v>
          </cell>
          <cell r="P605">
            <v>29328.29</v>
          </cell>
          <cell r="Q605">
            <v>39143.620000000003</v>
          </cell>
          <cell r="R605">
            <v>49593.57</v>
          </cell>
          <cell r="S605">
            <v>59962.17</v>
          </cell>
          <cell r="T605">
            <v>69808</v>
          </cell>
          <cell r="U605">
            <v>80886.06</v>
          </cell>
          <cell r="V605">
            <v>90437.07</v>
          </cell>
          <cell r="W605">
            <v>99279.41</v>
          </cell>
          <cell r="X605">
            <v>111114.6</v>
          </cell>
          <cell r="Y605">
            <v>117651.62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3049.43</v>
          </cell>
          <cell r="AE605">
            <v>11850.72</v>
          </cell>
          <cell r="AF605">
            <v>22562.240000000002</v>
          </cell>
          <cell r="AG605">
            <v>31290.99</v>
          </cell>
          <cell r="AH605">
            <v>39725.39</v>
          </cell>
          <cell r="AI605">
            <v>49955.08</v>
          </cell>
          <cell r="AJ605">
            <v>59633.25</v>
          </cell>
          <cell r="AK605">
            <v>68678.350000000006</v>
          </cell>
          <cell r="AL605">
            <v>0</v>
          </cell>
          <cell r="AM605">
            <v>3</v>
          </cell>
          <cell r="AN605" t="str">
            <v/>
          </cell>
          <cell r="AO605">
            <v>0</v>
          </cell>
          <cell r="AP605">
            <v>0</v>
          </cell>
          <cell r="AQ605">
            <v>0</v>
          </cell>
          <cell r="AR605">
            <v>700</v>
          </cell>
          <cell r="AS605">
            <v>0</v>
          </cell>
          <cell r="AT605" t="str">
            <v/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 t="str">
            <v/>
          </cell>
          <cell r="BK605">
            <v>7000</v>
          </cell>
          <cell r="BL605" t="str">
            <v>0</v>
          </cell>
          <cell r="BM605" t="str">
            <v>1</v>
          </cell>
          <cell r="BN605" t="str">
            <v/>
          </cell>
          <cell r="BO605" t="str">
            <v/>
          </cell>
        </row>
        <row r="606">
          <cell r="A606">
            <v>1</v>
          </cell>
          <cell r="B606">
            <v>4423001</v>
          </cell>
          <cell r="C606" t="str">
            <v>SURINTENDANT</v>
          </cell>
          <cell r="D606" t="str">
            <v>SUPERVISION - SACS</v>
          </cell>
          <cell r="E606" t="str">
            <v>O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1</v>
          </cell>
          <cell r="AN606" t="str">
            <v/>
          </cell>
          <cell r="AO606">
            <v>0</v>
          </cell>
          <cell r="AP606">
            <v>0</v>
          </cell>
          <cell r="AQ606">
            <v>0</v>
          </cell>
          <cell r="AR606">
            <v>700</v>
          </cell>
          <cell r="AS606">
            <v>0</v>
          </cell>
          <cell r="AT606" t="str">
            <v/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 t="str">
            <v/>
          </cell>
          <cell r="BK606">
            <v>7000</v>
          </cell>
          <cell r="BL606" t="str">
            <v>0</v>
          </cell>
          <cell r="BM606" t="str">
            <v>1</v>
          </cell>
          <cell r="BN606" t="str">
            <v/>
          </cell>
          <cell r="BO606" t="str">
            <v/>
          </cell>
        </row>
        <row r="607">
          <cell r="A607">
            <v>1</v>
          </cell>
          <cell r="B607">
            <v>4424001</v>
          </cell>
          <cell r="C607" t="str">
            <v>SURINTENDANT</v>
          </cell>
          <cell r="D607" t="str">
            <v>SUPERVISION - BOITES</v>
          </cell>
          <cell r="E607" t="str">
            <v>O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1</v>
          </cell>
          <cell r="AN607" t="str">
            <v/>
          </cell>
          <cell r="AO607">
            <v>0</v>
          </cell>
          <cell r="AP607">
            <v>0</v>
          </cell>
          <cell r="AQ607">
            <v>0</v>
          </cell>
          <cell r="AR607">
            <v>700</v>
          </cell>
          <cell r="AS607">
            <v>0</v>
          </cell>
          <cell r="AT607" t="str">
            <v/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 t="str">
            <v/>
          </cell>
          <cell r="BK607">
            <v>7000</v>
          </cell>
          <cell r="BL607" t="str">
            <v>0</v>
          </cell>
          <cell r="BM607" t="str">
            <v>1</v>
          </cell>
          <cell r="BN607" t="str">
            <v/>
          </cell>
          <cell r="BO607" t="str">
            <v/>
          </cell>
        </row>
        <row r="608">
          <cell r="A608">
            <v>1</v>
          </cell>
          <cell r="B608">
            <v>4429001</v>
          </cell>
          <cell r="C608" t="str">
            <v>SURINTENDANT</v>
          </cell>
          <cell r="D608" t="str">
            <v>TRANSFERT DIVISION PAPIER</v>
          </cell>
          <cell r="E608" t="str">
            <v>O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12832.8</v>
          </cell>
          <cell r="AA608">
            <v>23604.43</v>
          </cell>
          <cell r="AB608">
            <v>35376.449999999997</v>
          </cell>
          <cell r="AC608">
            <v>47148.47</v>
          </cell>
          <cell r="AD608">
            <v>53784.57</v>
          </cell>
          <cell r="AE608">
            <v>60924.57</v>
          </cell>
          <cell r="AF608">
            <v>57674.87</v>
          </cell>
          <cell r="AG608">
            <v>57674.87</v>
          </cell>
          <cell r="AH608">
            <v>57824.87</v>
          </cell>
          <cell r="AI608">
            <v>57824.87</v>
          </cell>
          <cell r="AJ608">
            <v>57824.87</v>
          </cell>
          <cell r="AK608">
            <v>57824.87</v>
          </cell>
          <cell r="AL608">
            <v>0</v>
          </cell>
          <cell r="AM608">
            <v>1</v>
          </cell>
          <cell r="AN608" t="str">
            <v/>
          </cell>
          <cell r="AO608">
            <v>0</v>
          </cell>
          <cell r="AP608">
            <v>0</v>
          </cell>
          <cell r="AQ608">
            <v>0</v>
          </cell>
          <cell r="AR608">
            <v>700</v>
          </cell>
          <cell r="AS608">
            <v>0</v>
          </cell>
          <cell r="AT608" t="str">
            <v/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 t="str">
            <v/>
          </cell>
          <cell r="BK608">
            <v>7000</v>
          </cell>
          <cell r="BL608" t="str">
            <v>0</v>
          </cell>
          <cell r="BM608" t="str">
            <v>1</v>
          </cell>
          <cell r="BN608" t="str">
            <v/>
          </cell>
          <cell r="BO608" t="str">
            <v/>
          </cell>
        </row>
        <row r="609">
          <cell r="A609">
            <v>1</v>
          </cell>
          <cell r="B609">
            <v>4429002</v>
          </cell>
          <cell r="C609" t="str">
            <v>SURINTENDANT</v>
          </cell>
          <cell r="D609" t="str">
            <v>TRANSFERT DIV. SERVIETTES</v>
          </cell>
          <cell r="E609" t="str">
            <v>O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10945.12</v>
          </cell>
          <cell r="AA609">
            <v>19978.580000000002</v>
          </cell>
          <cell r="AB609">
            <v>29662.68</v>
          </cell>
          <cell r="AC609">
            <v>39350.480000000003</v>
          </cell>
          <cell r="AD609">
            <v>43939.65</v>
          </cell>
          <cell r="AE609">
            <v>44400.65</v>
          </cell>
          <cell r="AF609">
            <v>44400.65</v>
          </cell>
          <cell r="AG609">
            <v>44400.65</v>
          </cell>
          <cell r="AH609">
            <v>44400.65</v>
          </cell>
          <cell r="AI609">
            <v>44400.65</v>
          </cell>
          <cell r="AJ609">
            <v>44400.65</v>
          </cell>
          <cell r="AK609">
            <v>44400.65</v>
          </cell>
          <cell r="AL609">
            <v>0</v>
          </cell>
          <cell r="AM609">
            <v>2</v>
          </cell>
          <cell r="AN609" t="str">
            <v/>
          </cell>
          <cell r="AO609">
            <v>0</v>
          </cell>
          <cell r="AP609">
            <v>0</v>
          </cell>
          <cell r="AQ609">
            <v>0</v>
          </cell>
          <cell r="AR609">
            <v>700</v>
          </cell>
          <cell r="AS609">
            <v>0</v>
          </cell>
          <cell r="AT609" t="str">
            <v/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 t="str">
            <v/>
          </cell>
          <cell r="BK609">
            <v>7000</v>
          </cell>
          <cell r="BL609" t="str">
            <v>0</v>
          </cell>
          <cell r="BM609" t="str">
            <v>1</v>
          </cell>
          <cell r="BN609" t="str">
            <v/>
          </cell>
          <cell r="BO609" t="str">
            <v/>
          </cell>
        </row>
        <row r="610">
          <cell r="A610">
            <v>1</v>
          </cell>
          <cell r="B610">
            <v>4429003</v>
          </cell>
          <cell r="C610" t="str">
            <v>SURINTENDANT</v>
          </cell>
          <cell r="D610" t="str">
            <v>TRANSFERT DIVISION SACS</v>
          </cell>
          <cell r="E610" t="str">
            <v>O</v>
          </cell>
          <cell r="F610">
            <v>0</v>
          </cell>
          <cell r="G610">
            <v>0</v>
          </cell>
          <cell r="H610">
            <v>1717.5</v>
          </cell>
          <cell r="I610">
            <v>1717.5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772.5</v>
          </cell>
          <cell r="P610">
            <v>1717.5</v>
          </cell>
          <cell r="Q610">
            <v>1717.5</v>
          </cell>
          <cell r="R610">
            <v>1717.5</v>
          </cell>
          <cell r="S610">
            <v>1717.5</v>
          </cell>
          <cell r="T610">
            <v>1717.5</v>
          </cell>
          <cell r="U610">
            <v>1717.5</v>
          </cell>
          <cell r="V610">
            <v>1717.5</v>
          </cell>
          <cell r="W610">
            <v>1717.5</v>
          </cell>
          <cell r="X610">
            <v>1717.5</v>
          </cell>
          <cell r="Y610">
            <v>1717.5</v>
          </cell>
          <cell r="Z610">
            <v>9352.17</v>
          </cell>
          <cell r="AA610">
            <v>17709.22</v>
          </cell>
          <cell r="AB610">
            <v>26624.38</v>
          </cell>
          <cell r="AC610">
            <v>35970.9</v>
          </cell>
          <cell r="AD610">
            <v>41265.54</v>
          </cell>
          <cell r="AE610">
            <v>41265.54</v>
          </cell>
          <cell r="AF610">
            <v>41265.54</v>
          </cell>
          <cell r="AG610">
            <v>41265.54</v>
          </cell>
          <cell r="AH610">
            <v>41265.54</v>
          </cell>
          <cell r="AI610">
            <v>41265.54</v>
          </cell>
          <cell r="AJ610">
            <v>41265.54</v>
          </cell>
          <cell r="AK610">
            <v>41265.54</v>
          </cell>
          <cell r="AL610">
            <v>0</v>
          </cell>
          <cell r="AM610">
            <v>3</v>
          </cell>
          <cell r="AN610" t="str">
            <v/>
          </cell>
          <cell r="AO610">
            <v>0</v>
          </cell>
          <cell r="AP610">
            <v>0</v>
          </cell>
          <cell r="AQ610">
            <v>0</v>
          </cell>
          <cell r="AR610">
            <v>700</v>
          </cell>
          <cell r="AS610">
            <v>0</v>
          </cell>
          <cell r="AT610" t="str">
            <v/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 t="str">
            <v/>
          </cell>
          <cell r="BK610">
            <v>7000</v>
          </cell>
          <cell r="BL610" t="str">
            <v>0</v>
          </cell>
          <cell r="BM610" t="str">
            <v>1</v>
          </cell>
          <cell r="BN610" t="str">
            <v/>
          </cell>
          <cell r="BO610" t="str">
            <v/>
          </cell>
        </row>
        <row r="611">
          <cell r="A611">
            <v>1</v>
          </cell>
          <cell r="B611">
            <v>4429004</v>
          </cell>
          <cell r="C611" t="str">
            <v>SURINTENDANT</v>
          </cell>
          <cell r="D611" t="str">
            <v>TRANSFERT DIVISION BOITES</v>
          </cell>
          <cell r="E611" t="str">
            <v>O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-110.46</v>
          </cell>
          <cell r="AD611">
            <v>-110.46</v>
          </cell>
          <cell r="AE611">
            <v>-110.46</v>
          </cell>
          <cell r="AF611">
            <v>-110.46</v>
          </cell>
          <cell r="AG611">
            <v>-110.46</v>
          </cell>
          <cell r="AH611">
            <v>-110.46</v>
          </cell>
          <cell r="AI611">
            <v>-110.46</v>
          </cell>
          <cell r="AJ611">
            <v>-110.46</v>
          </cell>
          <cell r="AK611">
            <v>-110.46</v>
          </cell>
          <cell r="AL611">
            <v>0</v>
          </cell>
          <cell r="AM611">
            <v>4</v>
          </cell>
          <cell r="AN611" t="str">
            <v/>
          </cell>
          <cell r="AO611">
            <v>0</v>
          </cell>
          <cell r="AP611">
            <v>0</v>
          </cell>
          <cell r="AQ611">
            <v>0</v>
          </cell>
          <cell r="AR611">
            <v>700</v>
          </cell>
          <cell r="AS611">
            <v>0</v>
          </cell>
          <cell r="AT611" t="str">
            <v/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 t="str">
            <v/>
          </cell>
          <cell r="BK611">
            <v>7000</v>
          </cell>
          <cell r="BL611" t="str">
            <v>0</v>
          </cell>
          <cell r="BM611" t="str">
            <v>1</v>
          </cell>
          <cell r="BN611" t="str">
            <v/>
          </cell>
          <cell r="BO611" t="str">
            <v/>
          </cell>
        </row>
        <row r="612">
          <cell r="A612">
            <v>1</v>
          </cell>
          <cell r="B612">
            <v>4431001</v>
          </cell>
          <cell r="C612" t="str">
            <v>CONTRÔLE QUALITÉ</v>
          </cell>
          <cell r="D612" t="str">
            <v>TECH LABORATOIRE</v>
          </cell>
          <cell r="E612" t="str">
            <v>O</v>
          </cell>
          <cell r="F612">
            <v>0</v>
          </cell>
          <cell r="G612">
            <v>0</v>
          </cell>
          <cell r="H612">
            <v>45430.83</v>
          </cell>
          <cell r="I612">
            <v>50076.62</v>
          </cell>
          <cell r="J612">
            <v>4645.79</v>
          </cell>
          <cell r="K612">
            <v>0</v>
          </cell>
          <cell r="L612">
            <v>7339.87</v>
          </cell>
          <cell r="M612">
            <v>4109.24</v>
          </cell>
          <cell r="N612">
            <v>4449.1499999999996</v>
          </cell>
          <cell r="O612">
            <v>8468.24</v>
          </cell>
          <cell r="P612">
            <v>13175.29</v>
          </cell>
          <cell r="Q612">
            <v>16928.13</v>
          </cell>
          <cell r="R612">
            <v>20680.97</v>
          </cell>
          <cell r="S612">
            <v>25372.02</v>
          </cell>
          <cell r="T612">
            <v>29124.86</v>
          </cell>
          <cell r="U612">
            <v>33815.910000000003</v>
          </cell>
          <cell r="V612">
            <v>37568.75</v>
          </cell>
          <cell r="W612">
            <v>41321.589999999997</v>
          </cell>
          <cell r="X612">
            <v>45430.83</v>
          </cell>
          <cell r="Y612">
            <v>48661.46</v>
          </cell>
          <cell r="Z612">
            <v>0</v>
          </cell>
          <cell r="AA612">
            <v>-3706.49</v>
          </cell>
          <cell r="AB612">
            <v>-3706.49</v>
          </cell>
          <cell r="AC612">
            <v>-3706.49</v>
          </cell>
          <cell r="AD612">
            <v>-1529.48</v>
          </cell>
          <cell r="AE612">
            <v>2488.29</v>
          </cell>
          <cell r="AF612">
            <v>6265.07</v>
          </cell>
          <cell r="AG612">
            <v>10041.84</v>
          </cell>
          <cell r="AH612">
            <v>13934.76</v>
          </cell>
          <cell r="AI612">
            <v>17735.59</v>
          </cell>
          <cell r="AJ612">
            <v>21544.09</v>
          </cell>
          <cell r="AK612">
            <v>25070.65</v>
          </cell>
          <cell r="AL612">
            <v>0</v>
          </cell>
          <cell r="AM612">
            <v>1</v>
          </cell>
          <cell r="AN612" t="str">
            <v/>
          </cell>
          <cell r="AO612">
            <v>0</v>
          </cell>
          <cell r="AP612">
            <v>0</v>
          </cell>
          <cell r="AQ612">
            <v>0</v>
          </cell>
          <cell r="AR612">
            <v>720</v>
          </cell>
          <cell r="AS612">
            <v>0</v>
          </cell>
          <cell r="AT612" t="str">
            <v/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 t="str">
            <v/>
          </cell>
          <cell r="BK612">
            <v>7000</v>
          </cell>
          <cell r="BL612" t="str">
            <v>0</v>
          </cell>
          <cell r="BM612" t="str">
            <v>1</v>
          </cell>
          <cell r="BN612" t="str">
            <v/>
          </cell>
          <cell r="BO612" t="str">
            <v/>
          </cell>
        </row>
        <row r="613">
          <cell r="A613">
            <v>1</v>
          </cell>
          <cell r="B613">
            <v>4431011</v>
          </cell>
          <cell r="C613" t="str">
            <v>CONTRÔLE QUALITÉ</v>
          </cell>
          <cell r="D613" t="str">
            <v>GÉNÉRALE</v>
          </cell>
          <cell r="E613" t="str">
            <v>O</v>
          </cell>
          <cell r="F613">
            <v>0</v>
          </cell>
          <cell r="G613">
            <v>0</v>
          </cell>
          <cell r="H613">
            <v>274</v>
          </cell>
          <cell r="I613">
            <v>476</v>
          </cell>
          <cell r="J613">
            <v>202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202</v>
          </cell>
          <cell r="T613">
            <v>202</v>
          </cell>
          <cell r="U613">
            <v>274</v>
          </cell>
          <cell r="V613">
            <v>274</v>
          </cell>
          <cell r="W613">
            <v>274</v>
          </cell>
          <cell r="X613">
            <v>274</v>
          </cell>
          <cell r="Y613">
            <v>274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1</v>
          </cell>
          <cell r="AN613" t="str">
            <v/>
          </cell>
          <cell r="AO613">
            <v>0</v>
          </cell>
          <cell r="AP613">
            <v>0</v>
          </cell>
          <cell r="AQ613">
            <v>0</v>
          </cell>
          <cell r="AR613">
            <v>720</v>
          </cell>
          <cell r="AS613">
            <v>0</v>
          </cell>
          <cell r="AT613" t="str">
            <v/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 t="str">
            <v/>
          </cell>
          <cell r="BK613">
            <v>7000</v>
          </cell>
          <cell r="BL613" t="str">
            <v>0</v>
          </cell>
          <cell r="BM613" t="str">
            <v>1</v>
          </cell>
          <cell r="BN613" t="str">
            <v/>
          </cell>
          <cell r="BO613" t="str">
            <v/>
          </cell>
        </row>
        <row r="614">
          <cell r="A614">
            <v>1</v>
          </cell>
          <cell r="B614">
            <v>4432001</v>
          </cell>
          <cell r="C614" t="str">
            <v>CONTRÔLE QUALITÉ MOD</v>
          </cell>
          <cell r="D614" t="str">
            <v>RESP &amp; COMMIS QUALITÉ</v>
          </cell>
          <cell r="E614" t="str">
            <v>O</v>
          </cell>
          <cell r="F614">
            <v>0</v>
          </cell>
          <cell r="G614">
            <v>0</v>
          </cell>
          <cell r="H614">
            <v>51915.65</v>
          </cell>
          <cell r="I614">
            <v>60809.96</v>
          </cell>
          <cell r="J614">
            <v>8894.31</v>
          </cell>
          <cell r="K614">
            <v>0</v>
          </cell>
          <cell r="L614">
            <v>5914.97</v>
          </cell>
          <cell r="M614">
            <v>4210.01</v>
          </cell>
          <cell r="N614">
            <v>3532.54</v>
          </cell>
          <cell r="O614">
            <v>8202.9699999999993</v>
          </cell>
          <cell r="P614">
            <v>12303.49</v>
          </cell>
          <cell r="Q614">
            <v>16186.3</v>
          </cell>
          <cell r="R614">
            <v>22000.04</v>
          </cell>
          <cell r="S614">
            <v>28089.74</v>
          </cell>
          <cell r="T614">
            <v>34549.17</v>
          </cell>
          <cell r="U614">
            <v>39369.32</v>
          </cell>
          <cell r="V614">
            <v>43586.9</v>
          </cell>
          <cell r="W614">
            <v>47842.93</v>
          </cell>
          <cell r="X614">
            <v>51915.65</v>
          </cell>
          <cell r="Y614">
            <v>53620.61</v>
          </cell>
          <cell r="Z614">
            <v>3815.8</v>
          </cell>
          <cell r="AA614">
            <v>10569.41</v>
          </cell>
          <cell r="AB614">
            <v>14291.99</v>
          </cell>
          <cell r="AC614">
            <v>17854.75</v>
          </cell>
          <cell r="AD614">
            <v>21531.79</v>
          </cell>
          <cell r="AE614">
            <v>22580.27</v>
          </cell>
          <cell r="AF614">
            <v>22524.11</v>
          </cell>
          <cell r="AG614">
            <v>22524.11</v>
          </cell>
          <cell r="AH614">
            <v>22524.11</v>
          </cell>
          <cell r="AI614">
            <v>22524.11</v>
          </cell>
          <cell r="AJ614">
            <v>22524.11</v>
          </cell>
          <cell r="AK614">
            <v>23461.01</v>
          </cell>
          <cell r="AL614">
            <v>0</v>
          </cell>
          <cell r="AM614">
            <v>1</v>
          </cell>
          <cell r="AN614" t="str">
            <v/>
          </cell>
          <cell r="AO614">
            <v>0</v>
          </cell>
          <cell r="AP614">
            <v>0</v>
          </cell>
          <cell r="AQ614">
            <v>0</v>
          </cell>
          <cell r="AR614">
            <v>700</v>
          </cell>
          <cell r="AS614">
            <v>0</v>
          </cell>
          <cell r="AT614" t="str">
            <v/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 t="str">
            <v/>
          </cell>
          <cell r="BK614">
            <v>7000</v>
          </cell>
          <cell r="BL614" t="str">
            <v>0</v>
          </cell>
          <cell r="BM614" t="str">
            <v>1</v>
          </cell>
          <cell r="BN614" t="str">
            <v/>
          </cell>
          <cell r="BO614" t="str">
            <v/>
          </cell>
        </row>
        <row r="615">
          <cell r="A615">
            <v>1</v>
          </cell>
          <cell r="B615">
            <v>4433001</v>
          </cell>
          <cell r="C615" t="str">
            <v>CONTRÔLE QUALITÉ</v>
          </cell>
          <cell r="D615" t="str">
            <v>CONSULTANTS</v>
          </cell>
          <cell r="E615" t="str">
            <v>O</v>
          </cell>
          <cell r="F615">
            <v>0</v>
          </cell>
          <cell r="G615">
            <v>0</v>
          </cell>
          <cell r="H615">
            <v>480.64</v>
          </cell>
          <cell r="I615">
            <v>480.64</v>
          </cell>
          <cell r="J615">
            <v>0</v>
          </cell>
          <cell r="K615">
            <v>0</v>
          </cell>
          <cell r="L615">
            <v>0</v>
          </cell>
          <cell r="M615">
            <v>480.64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480.64</v>
          </cell>
          <cell r="Y615">
            <v>0</v>
          </cell>
          <cell r="Z615">
            <v>0</v>
          </cell>
          <cell r="AA615">
            <v>1126</v>
          </cell>
          <cell r="AB615">
            <v>1126</v>
          </cell>
          <cell r="AC615">
            <v>1126</v>
          </cell>
          <cell r="AD615">
            <v>1126</v>
          </cell>
          <cell r="AE615">
            <v>1126</v>
          </cell>
          <cell r="AF615">
            <v>1126</v>
          </cell>
          <cell r="AG615">
            <v>1126</v>
          </cell>
          <cell r="AH615">
            <v>1126</v>
          </cell>
          <cell r="AI615">
            <v>1126</v>
          </cell>
          <cell r="AJ615">
            <v>1126</v>
          </cell>
          <cell r="AK615">
            <v>2266</v>
          </cell>
          <cell r="AL615">
            <v>0</v>
          </cell>
          <cell r="AM615">
            <v>1</v>
          </cell>
          <cell r="AN615" t="str">
            <v/>
          </cell>
          <cell r="AO615">
            <v>0</v>
          </cell>
          <cell r="AP615">
            <v>0</v>
          </cell>
          <cell r="AQ615">
            <v>0</v>
          </cell>
          <cell r="AR615">
            <v>720</v>
          </cell>
          <cell r="AS615">
            <v>0</v>
          </cell>
          <cell r="AT615" t="str">
            <v/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 t="str">
            <v/>
          </cell>
          <cell r="BK615">
            <v>7000</v>
          </cell>
          <cell r="BL615" t="str">
            <v/>
          </cell>
          <cell r="BM615" t="str">
            <v>1</v>
          </cell>
          <cell r="BN615" t="str">
            <v/>
          </cell>
          <cell r="BO615" t="str">
            <v/>
          </cell>
        </row>
        <row r="616">
          <cell r="A616">
            <v>1</v>
          </cell>
          <cell r="B616">
            <v>4433011</v>
          </cell>
          <cell r="C616" t="str">
            <v>CONTRÔLE QUALITÉ</v>
          </cell>
          <cell r="D616" t="str">
            <v>CENTRE DE RECHERCHE R&amp;D</v>
          </cell>
          <cell r="E616" t="str">
            <v>O</v>
          </cell>
          <cell r="F616">
            <v>0</v>
          </cell>
          <cell r="G616">
            <v>0</v>
          </cell>
          <cell r="H616">
            <v>24546.080000000002</v>
          </cell>
          <cell r="I616">
            <v>35487.089999999997</v>
          </cell>
          <cell r="J616">
            <v>10941.01</v>
          </cell>
          <cell r="K616">
            <v>0</v>
          </cell>
          <cell r="L616">
            <v>5313.17</v>
          </cell>
          <cell r="M616">
            <v>665.4</v>
          </cell>
          <cell r="N616">
            <v>0</v>
          </cell>
          <cell r="O616">
            <v>411.95</v>
          </cell>
          <cell r="P616">
            <v>1438.75</v>
          </cell>
          <cell r="Q616">
            <v>1438.75</v>
          </cell>
          <cell r="R616">
            <v>10438.75</v>
          </cell>
          <cell r="S616">
            <v>12460.84</v>
          </cell>
          <cell r="T616">
            <v>12460.84</v>
          </cell>
          <cell r="U616">
            <v>13566.57</v>
          </cell>
          <cell r="V616">
            <v>23880.68</v>
          </cell>
          <cell r="W616">
            <v>23880.68</v>
          </cell>
          <cell r="X616">
            <v>24546.080000000002</v>
          </cell>
          <cell r="Y616">
            <v>29193.85</v>
          </cell>
          <cell r="Z616">
            <v>1076.82</v>
          </cell>
          <cell r="AA616">
            <v>1076.82</v>
          </cell>
          <cell r="AB616">
            <v>1076.82</v>
          </cell>
          <cell r="AC616">
            <v>11076.82</v>
          </cell>
          <cell r="AD616">
            <v>11076.82</v>
          </cell>
          <cell r="AE616">
            <v>17390.48</v>
          </cell>
          <cell r="AF616">
            <v>25183.67</v>
          </cell>
          <cell r="AG616">
            <v>25183.67</v>
          </cell>
          <cell r="AH616">
            <v>28982.3</v>
          </cell>
          <cell r="AI616">
            <v>27951.42</v>
          </cell>
          <cell r="AJ616">
            <v>28873.65</v>
          </cell>
          <cell r="AK616">
            <v>30757.59</v>
          </cell>
          <cell r="AL616">
            <v>0</v>
          </cell>
          <cell r="AM616">
            <v>1</v>
          </cell>
          <cell r="AN616" t="str">
            <v/>
          </cell>
          <cell r="AO616">
            <v>0</v>
          </cell>
          <cell r="AP616">
            <v>0</v>
          </cell>
          <cell r="AQ616">
            <v>0</v>
          </cell>
          <cell r="AR616">
            <v>720</v>
          </cell>
          <cell r="AS616">
            <v>0</v>
          </cell>
          <cell r="AT616" t="str">
            <v/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 t="str">
            <v/>
          </cell>
          <cell r="BK616">
            <v>7000</v>
          </cell>
          <cell r="BL616" t="str">
            <v>0</v>
          </cell>
          <cell r="BM616" t="str">
            <v>1</v>
          </cell>
          <cell r="BN616" t="str">
            <v/>
          </cell>
          <cell r="BO616" t="str">
            <v/>
          </cell>
        </row>
        <row r="617">
          <cell r="A617">
            <v>1</v>
          </cell>
          <cell r="B617">
            <v>4439001</v>
          </cell>
          <cell r="C617" t="str">
            <v>CONTROLE QUALITE</v>
          </cell>
          <cell r="D617" t="str">
            <v>TRANSFERT DIVISION PAPIER</v>
          </cell>
          <cell r="E617" t="str">
            <v>O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76.13</v>
          </cell>
          <cell r="AA617">
            <v>80.739999999999995</v>
          </cell>
          <cell r="AB617">
            <v>11741.78</v>
          </cell>
          <cell r="AC617">
            <v>10006.129999999999</v>
          </cell>
          <cell r="AD617">
            <v>10045.14</v>
          </cell>
          <cell r="AE617">
            <v>10045.14</v>
          </cell>
          <cell r="AF617">
            <v>10045.14</v>
          </cell>
          <cell r="AG617">
            <v>10045.14</v>
          </cell>
          <cell r="AH617">
            <v>10045.14</v>
          </cell>
          <cell r="AI617">
            <v>10045.14</v>
          </cell>
          <cell r="AJ617">
            <v>10045.14</v>
          </cell>
          <cell r="AK617">
            <v>10045.14</v>
          </cell>
          <cell r="AL617">
            <v>0</v>
          </cell>
          <cell r="AM617">
            <v>1</v>
          </cell>
          <cell r="AN617" t="str">
            <v/>
          </cell>
          <cell r="AO617">
            <v>0</v>
          </cell>
          <cell r="AP617">
            <v>0</v>
          </cell>
          <cell r="AQ617">
            <v>0</v>
          </cell>
          <cell r="AR617">
            <v>720</v>
          </cell>
          <cell r="AS617">
            <v>0</v>
          </cell>
          <cell r="AT617" t="str">
            <v/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 t="str">
            <v/>
          </cell>
          <cell r="BK617">
            <v>7000</v>
          </cell>
          <cell r="BL617" t="str">
            <v>0</v>
          </cell>
          <cell r="BM617" t="str">
            <v>1</v>
          </cell>
          <cell r="BN617" t="str">
            <v/>
          </cell>
          <cell r="BO617" t="str">
            <v/>
          </cell>
        </row>
        <row r="618">
          <cell r="A618">
            <v>1</v>
          </cell>
          <cell r="B618">
            <v>4439002</v>
          </cell>
          <cell r="C618" t="str">
            <v>CONTROLE QUALITE</v>
          </cell>
          <cell r="D618" t="str">
            <v>TRANSFERT DIV. SERVIETTES</v>
          </cell>
          <cell r="E618" t="str">
            <v>O</v>
          </cell>
          <cell r="F618">
            <v>0</v>
          </cell>
          <cell r="G618">
            <v>0</v>
          </cell>
          <cell r="H618">
            <v>38010</v>
          </cell>
          <cell r="I618">
            <v>38010</v>
          </cell>
          <cell r="J618">
            <v>0</v>
          </cell>
          <cell r="K618">
            <v>0</v>
          </cell>
          <cell r="L618">
            <v>2801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7857</v>
          </cell>
          <cell r="S618">
            <v>13877</v>
          </cell>
          <cell r="T618">
            <v>17049</v>
          </cell>
          <cell r="U618">
            <v>22129</v>
          </cell>
          <cell r="V618">
            <v>31669</v>
          </cell>
          <cell r="W618">
            <v>35140</v>
          </cell>
          <cell r="X618">
            <v>38010</v>
          </cell>
          <cell r="Y618">
            <v>40811</v>
          </cell>
          <cell r="Z618">
            <v>1529</v>
          </cell>
          <cell r="AA618">
            <v>2764</v>
          </cell>
          <cell r="AB618">
            <v>2764</v>
          </cell>
          <cell r="AC618">
            <v>2230</v>
          </cell>
          <cell r="AD618">
            <v>2242</v>
          </cell>
          <cell r="AE618">
            <v>4964</v>
          </cell>
          <cell r="AF618">
            <v>4964</v>
          </cell>
          <cell r="AG618">
            <v>5367</v>
          </cell>
          <cell r="AH618">
            <v>5367</v>
          </cell>
          <cell r="AI618">
            <v>6536</v>
          </cell>
          <cell r="AJ618">
            <v>6536</v>
          </cell>
          <cell r="AK618">
            <v>6536</v>
          </cell>
          <cell r="AL618">
            <v>0</v>
          </cell>
          <cell r="AM618">
            <v>2</v>
          </cell>
          <cell r="AN618" t="str">
            <v/>
          </cell>
          <cell r="AO618">
            <v>0</v>
          </cell>
          <cell r="AP618">
            <v>0</v>
          </cell>
          <cell r="AQ618">
            <v>0</v>
          </cell>
          <cell r="AR618">
            <v>720</v>
          </cell>
          <cell r="AS618">
            <v>0</v>
          </cell>
          <cell r="AT618" t="str">
            <v/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 t="str">
            <v/>
          </cell>
          <cell r="BK618">
            <v>7000</v>
          </cell>
          <cell r="BL618" t="str">
            <v>0</v>
          </cell>
          <cell r="BM618" t="str">
            <v>1</v>
          </cell>
          <cell r="BN618" t="str">
            <v/>
          </cell>
          <cell r="BO618" t="str">
            <v/>
          </cell>
        </row>
        <row r="619">
          <cell r="A619">
            <v>1</v>
          </cell>
          <cell r="B619">
            <v>4439003</v>
          </cell>
          <cell r="C619" t="str">
            <v>CONTROLE QUALITE</v>
          </cell>
          <cell r="D619" t="str">
            <v>TRANSFERT DIVISION SACS</v>
          </cell>
          <cell r="E619" t="str">
            <v>O</v>
          </cell>
          <cell r="F619">
            <v>0</v>
          </cell>
          <cell r="G619">
            <v>0</v>
          </cell>
          <cell r="H619">
            <v>18942</v>
          </cell>
          <cell r="I619">
            <v>18942</v>
          </cell>
          <cell r="J619">
            <v>0</v>
          </cell>
          <cell r="K619">
            <v>0</v>
          </cell>
          <cell r="L619">
            <v>830</v>
          </cell>
          <cell r="M619">
            <v>0</v>
          </cell>
          <cell r="N619">
            <v>0</v>
          </cell>
          <cell r="O619">
            <v>7680</v>
          </cell>
          <cell r="P619">
            <v>7680</v>
          </cell>
          <cell r="Q619">
            <v>7680</v>
          </cell>
          <cell r="R619">
            <v>10008</v>
          </cell>
          <cell r="S619">
            <v>11792</v>
          </cell>
          <cell r="T619">
            <v>12732</v>
          </cell>
          <cell r="U619">
            <v>14237</v>
          </cell>
          <cell r="V619">
            <v>17064</v>
          </cell>
          <cell r="W619">
            <v>18092</v>
          </cell>
          <cell r="X619">
            <v>18942</v>
          </cell>
          <cell r="Y619">
            <v>19772</v>
          </cell>
          <cell r="Z619">
            <v>453</v>
          </cell>
          <cell r="AA619">
            <v>819</v>
          </cell>
          <cell r="AB619">
            <v>819</v>
          </cell>
          <cell r="AC619">
            <v>661</v>
          </cell>
          <cell r="AD619">
            <v>665</v>
          </cell>
          <cell r="AE619">
            <v>1472</v>
          </cell>
          <cell r="AF619">
            <v>1472</v>
          </cell>
          <cell r="AG619">
            <v>1591</v>
          </cell>
          <cell r="AH619">
            <v>1591</v>
          </cell>
          <cell r="AI619">
            <v>1937</v>
          </cell>
          <cell r="AJ619">
            <v>1937</v>
          </cell>
          <cell r="AK619">
            <v>1937</v>
          </cell>
          <cell r="AL619">
            <v>0</v>
          </cell>
          <cell r="AM619">
            <v>3</v>
          </cell>
          <cell r="AN619" t="str">
            <v/>
          </cell>
          <cell r="AO619">
            <v>0</v>
          </cell>
          <cell r="AP619">
            <v>0</v>
          </cell>
          <cell r="AQ619">
            <v>0</v>
          </cell>
          <cell r="AR619">
            <v>720</v>
          </cell>
          <cell r="AS619">
            <v>0</v>
          </cell>
          <cell r="AT619" t="str">
            <v/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 t="str">
            <v/>
          </cell>
          <cell r="BK619">
            <v>7000</v>
          </cell>
          <cell r="BL619" t="str">
            <v>0</v>
          </cell>
          <cell r="BM619" t="str">
            <v>1</v>
          </cell>
          <cell r="BN619" t="str">
            <v/>
          </cell>
          <cell r="BO619" t="str">
            <v/>
          </cell>
        </row>
        <row r="620">
          <cell r="A620">
            <v>1</v>
          </cell>
          <cell r="B620">
            <v>4439004</v>
          </cell>
          <cell r="C620" t="str">
            <v>CONTROLE QUALITE</v>
          </cell>
          <cell r="D620" t="str">
            <v>TRANSFERT DIVISION BOITES</v>
          </cell>
          <cell r="E620" t="str">
            <v>O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4</v>
          </cell>
          <cell r="AN620" t="str">
            <v/>
          </cell>
          <cell r="AO620">
            <v>0</v>
          </cell>
          <cell r="AP620">
            <v>0</v>
          </cell>
          <cell r="AQ620">
            <v>0</v>
          </cell>
          <cell r="AR620">
            <v>720</v>
          </cell>
          <cell r="AS620">
            <v>0</v>
          </cell>
          <cell r="AT620" t="str">
            <v/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 t="str">
            <v/>
          </cell>
          <cell r="BK620">
            <v>7000</v>
          </cell>
          <cell r="BL620" t="str">
            <v>0</v>
          </cell>
          <cell r="BM620" t="str">
            <v>1</v>
          </cell>
          <cell r="BN620" t="str">
            <v/>
          </cell>
          <cell r="BO620" t="str">
            <v/>
          </cell>
        </row>
        <row r="621">
          <cell r="A621">
            <v>1</v>
          </cell>
          <cell r="B621">
            <v>4442001</v>
          </cell>
          <cell r="C621" t="str">
            <v>CHAUDIERE</v>
          </cell>
          <cell r="D621" t="str">
            <v>ENTRETIEN BOILER</v>
          </cell>
          <cell r="E621" t="str">
            <v>O</v>
          </cell>
          <cell r="F621">
            <v>0</v>
          </cell>
          <cell r="G621">
            <v>0</v>
          </cell>
          <cell r="H621">
            <v>67377.649999999994</v>
          </cell>
          <cell r="I621">
            <v>79932</v>
          </cell>
          <cell r="J621">
            <v>12554.35</v>
          </cell>
          <cell r="K621">
            <v>0</v>
          </cell>
          <cell r="L621">
            <v>2159.0500000000002</v>
          </cell>
          <cell r="M621">
            <v>747</v>
          </cell>
          <cell r="N621">
            <v>1796.93</v>
          </cell>
          <cell r="O621">
            <v>8705.65</v>
          </cell>
          <cell r="P621">
            <v>22253.19</v>
          </cell>
          <cell r="Q621">
            <v>36325.22</v>
          </cell>
          <cell r="R621">
            <v>41065.35</v>
          </cell>
          <cell r="S621">
            <v>56951.61</v>
          </cell>
          <cell r="T621">
            <v>57111.11</v>
          </cell>
          <cell r="U621">
            <v>60739.37</v>
          </cell>
          <cell r="V621">
            <v>61771.360000000001</v>
          </cell>
          <cell r="W621">
            <v>65704.34</v>
          </cell>
          <cell r="X621">
            <v>67377.649999999994</v>
          </cell>
          <cell r="Y621">
            <v>68789.7</v>
          </cell>
          <cell r="Z621">
            <v>4526.37</v>
          </cell>
          <cell r="AA621">
            <v>37275.550000000003</v>
          </cell>
          <cell r="AB621">
            <v>49757.82</v>
          </cell>
          <cell r="AC621">
            <v>51201.64</v>
          </cell>
          <cell r="AD621">
            <v>56370.15</v>
          </cell>
          <cell r="AE621">
            <v>64190.15</v>
          </cell>
          <cell r="AF621">
            <v>67436.899999999994</v>
          </cell>
          <cell r="AG621">
            <v>76460.710000000006</v>
          </cell>
          <cell r="AH621">
            <v>78525.05</v>
          </cell>
          <cell r="AI621">
            <v>87164.479999999996</v>
          </cell>
          <cell r="AJ621">
            <v>93815.61</v>
          </cell>
          <cell r="AK621">
            <v>96376.18</v>
          </cell>
          <cell r="AL621">
            <v>0</v>
          </cell>
          <cell r="AM621">
            <v>1</v>
          </cell>
          <cell r="AN621" t="str">
            <v/>
          </cell>
          <cell r="AO621">
            <v>0</v>
          </cell>
          <cell r="AP621">
            <v>0</v>
          </cell>
          <cell r="AQ621">
            <v>0</v>
          </cell>
          <cell r="AR621">
            <v>720</v>
          </cell>
          <cell r="AS621">
            <v>0</v>
          </cell>
          <cell r="AT621" t="str">
            <v/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 t="str">
            <v/>
          </cell>
          <cell r="BK621">
            <v>7000</v>
          </cell>
          <cell r="BL621" t="str">
            <v>0</v>
          </cell>
          <cell r="BM621" t="str">
            <v>1</v>
          </cell>
          <cell r="BN621" t="str">
            <v/>
          </cell>
          <cell r="BO621" t="str">
            <v/>
          </cell>
        </row>
        <row r="622">
          <cell r="A622">
            <v>1</v>
          </cell>
          <cell r="B622">
            <v>4442011</v>
          </cell>
          <cell r="C622" t="str">
            <v>CHAUDIERE</v>
          </cell>
          <cell r="D622" t="str">
            <v>FOURNITURE AGENTS CHIMIQU</v>
          </cell>
          <cell r="E622" t="str">
            <v>O</v>
          </cell>
          <cell r="F622">
            <v>0</v>
          </cell>
          <cell r="G622">
            <v>0</v>
          </cell>
          <cell r="H622">
            <v>14778.96</v>
          </cell>
          <cell r="I622">
            <v>16071.05</v>
          </cell>
          <cell r="J622">
            <v>1292.0899999999999</v>
          </cell>
          <cell r="K622">
            <v>0</v>
          </cell>
          <cell r="L622">
            <v>4758.6000000000004</v>
          </cell>
          <cell r="M622">
            <v>0</v>
          </cell>
          <cell r="N622">
            <v>1043.45</v>
          </cell>
          <cell r="O622">
            <v>4129.46</v>
          </cell>
          <cell r="P622">
            <v>5636.85</v>
          </cell>
          <cell r="Q622">
            <v>6912.82</v>
          </cell>
          <cell r="R622">
            <v>6912.82</v>
          </cell>
          <cell r="S622">
            <v>10670.77</v>
          </cell>
          <cell r="T622">
            <v>11739.67</v>
          </cell>
          <cell r="U622">
            <v>13381.02</v>
          </cell>
          <cell r="V622">
            <v>13381.02</v>
          </cell>
          <cell r="W622">
            <v>13381.02</v>
          </cell>
          <cell r="X622">
            <v>14778.96</v>
          </cell>
          <cell r="Y622">
            <v>19537.560000000001</v>
          </cell>
          <cell r="Z622">
            <v>595.44000000000005</v>
          </cell>
          <cell r="AA622">
            <v>833.44</v>
          </cell>
          <cell r="AB622">
            <v>3481.62</v>
          </cell>
          <cell r="AC622">
            <v>3761.06</v>
          </cell>
          <cell r="AD622">
            <v>3770.32</v>
          </cell>
          <cell r="AE622">
            <v>4862.32</v>
          </cell>
          <cell r="AF622">
            <v>10515.29</v>
          </cell>
          <cell r="AG622">
            <v>10515.29</v>
          </cell>
          <cell r="AH622">
            <v>10794.73</v>
          </cell>
          <cell r="AI622">
            <v>10794.73</v>
          </cell>
          <cell r="AJ622">
            <v>15663.95</v>
          </cell>
          <cell r="AK622">
            <v>15384.51</v>
          </cell>
          <cell r="AL622">
            <v>0</v>
          </cell>
          <cell r="AM622">
            <v>1</v>
          </cell>
          <cell r="AN622" t="str">
            <v/>
          </cell>
          <cell r="AO622">
            <v>0</v>
          </cell>
          <cell r="AP622">
            <v>0</v>
          </cell>
          <cell r="AQ622">
            <v>0</v>
          </cell>
          <cell r="AR622">
            <v>720</v>
          </cell>
          <cell r="AS622">
            <v>0</v>
          </cell>
          <cell r="AT622" t="str">
            <v/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 t="str">
            <v/>
          </cell>
          <cell r="BK622">
            <v>7000</v>
          </cell>
          <cell r="BL622" t="str">
            <v>0</v>
          </cell>
          <cell r="BM622" t="str">
            <v>1</v>
          </cell>
          <cell r="BN622" t="str">
            <v/>
          </cell>
          <cell r="BO622" t="str">
            <v/>
          </cell>
        </row>
        <row r="623">
          <cell r="A623">
            <v>1</v>
          </cell>
          <cell r="B623">
            <v>4443001</v>
          </cell>
          <cell r="C623" t="str">
            <v>CHAUDIERE</v>
          </cell>
          <cell r="D623" t="str">
            <v>SALAIRES ENCADREMENT</v>
          </cell>
          <cell r="E623" t="str">
            <v>O</v>
          </cell>
          <cell r="F623">
            <v>0</v>
          </cell>
          <cell r="G623">
            <v>0</v>
          </cell>
          <cell r="H623">
            <v>55434.8</v>
          </cell>
          <cell r="I623">
            <v>61202.55</v>
          </cell>
          <cell r="J623">
            <v>5767.75</v>
          </cell>
          <cell r="K623">
            <v>0</v>
          </cell>
          <cell r="L623">
            <v>8727.74</v>
          </cell>
          <cell r="M623">
            <v>4806.4399999999996</v>
          </cell>
          <cell r="N623">
            <v>8310.9599999999991</v>
          </cell>
          <cell r="O623">
            <v>12347.26</v>
          </cell>
          <cell r="P623">
            <v>17172.07</v>
          </cell>
          <cell r="Q623">
            <v>21517.26</v>
          </cell>
          <cell r="R623">
            <v>25825.71</v>
          </cell>
          <cell r="S623">
            <v>32705.89</v>
          </cell>
          <cell r="T623">
            <v>35636.39</v>
          </cell>
          <cell r="U623">
            <v>41235.01</v>
          </cell>
          <cell r="V623">
            <v>44660.26</v>
          </cell>
          <cell r="W623">
            <v>50628.36</v>
          </cell>
          <cell r="X623">
            <v>55434.8</v>
          </cell>
          <cell r="Y623">
            <v>59356.1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3361.27</v>
          </cell>
          <cell r="AG623">
            <v>8341.3799999999992</v>
          </cell>
          <cell r="AH623">
            <v>12415.37</v>
          </cell>
          <cell r="AI623">
            <v>18025.13</v>
          </cell>
          <cell r="AJ623">
            <v>21810.23</v>
          </cell>
          <cell r="AK623">
            <v>25557.68</v>
          </cell>
          <cell r="AL623">
            <v>0</v>
          </cell>
          <cell r="AM623">
            <v>1</v>
          </cell>
          <cell r="AN623" t="str">
            <v/>
          </cell>
          <cell r="AO623">
            <v>0</v>
          </cell>
          <cell r="AP623">
            <v>0</v>
          </cell>
          <cell r="AQ623">
            <v>0</v>
          </cell>
          <cell r="AR623">
            <v>700</v>
          </cell>
          <cell r="AS623">
            <v>0</v>
          </cell>
          <cell r="AT623" t="str">
            <v/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 t="str">
            <v/>
          </cell>
          <cell r="BK623">
            <v>7000</v>
          </cell>
          <cell r="BL623" t="str">
            <v/>
          </cell>
          <cell r="BM623" t="str">
            <v>1</v>
          </cell>
          <cell r="BN623" t="str">
            <v/>
          </cell>
          <cell r="BO623" t="str">
            <v/>
          </cell>
        </row>
        <row r="624">
          <cell r="A624">
            <v>1</v>
          </cell>
          <cell r="B624">
            <v>4449001</v>
          </cell>
          <cell r="C624" t="str">
            <v>ENTRETIEN CHAUDIERE</v>
          </cell>
          <cell r="D624" t="str">
            <v>TRANSFERT DIVISION PAPIER</v>
          </cell>
          <cell r="E624" t="str">
            <v>O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1</v>
          </cell>
          <cell r="AN624" t="str">
            <v/>
          </cell>
          <cell r="AO624">
            <v>0</v>
          </cell>
          <cell r="AP624">
            <v>0</v>
          </cell>
          <cell r="AQ624">
            <v>0</v>
          </cell>
          <cell r="AR624">
            <v>720</v>
          </cell>
          <cell r="AS624">
            <v>0</v>
          </cell>
          <cell r="AT624" t="str">
            <v/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 t="str">
            <v/>
          </cell>
          <cell r="BK624">
            <v>7000</v>
          </cell>
          <cell r="BL624" t="str">
            <v>0</v>
          </cell>
          <cell r="BM624" t="str">
            <v>1</v>
          </cell>
          <cell r="BN624" t="str">
            <v/>
          </cell>
          <cell r="BO624" t="str">
            <v/>
          </cell>
        </row>
        <row r="625">
          <cell r="A625">
            <v>1</v>
          </cell>
          <cell r="B625">
            <v>4449002</v>
          </cell>
          <cell r="C625" t="str">
            <v>ENTRETIEN CHAUDIERE</v>
          </cell>
          <cell r="D625" t="str">
            <v>TRANSFERT DIV. SERVIETTES</v>
          </cell>
          <cell r="E625" t="str">
            <v>O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2</v>
          </cell>
          <cell r="AN625" t="str">
            <v/>
          </cell>
          <cell r="AO625">
            <v>0</v>
          </cell>
          <cell r="AP625">
            <v>0</v>
          </cell>
          <cell r="AQ625">
            <v>0</v>
          </cell>
          <cell r="AR625">
            <v>720</v>
          </cell>
          <cell r="AS625">
            <v>0</v>
          </cell>
          <cell r="AT625" t="str">
            <v/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 t="str">
            <v/>
          </cell>
          <cell r="BK625">
            <v>7000</v>
          </cell>
          <cell r="BL625" t="str">
            <v>0</v>
          </cell>
          <cell r="BM625" t="str">
            <v>1</v>
          </cell>
          <cell r="BN625" t="str">
            <v/>
          </cell>
          <cell r="BO625" t="str">
            <v/>
          </cell>
        </row>
        <row r="626">
          <cell r="A626">
            <v>1</v>
          </cell>
          <cell r="B626">
            <v>4449003</v>
          </cell>
          <cell r="C626" t="str">
            <v>ENTRETIEN CHAUDIERE</v>
          </cell>
          <cell r="D626" t="str">
            <v>TRANSFERT DIVISION SACS</v>
          </cell>
          <cell r="E626" t="str">
            <v>O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3</v>
          </cell>
          <cell r="AN626" t="str">
            <v/>
          </cell>
          <cell r="AO626">
            <v>0</v>
          </cell>
          <cell r="AP626">
            <v>0</v>
          </cell>
          <cell r="AQ626">
            <v>0</v>
          </cell>
          <cell r="AR626">
            <v>720</v>
          </cell>
          <cell r="AS626">
            <v>0</v>
          </cell>
          <cell r="AT626" t="str">
            <v/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 t="str">
            <v/>
          </cell>
          <cell r="BK626">
            <v>7000</v>
          </cell>
          <cell r="BL626" t="str">
            <v>0</v>
          </cell>
          <cell r="BM626" t="str">
            <v>1</v>
          </cell>
          <cell r="BN626" t="str">
            <v/>
          </cell>
          <cell r="BO626" t="str">
            <v/>
          </cell>
        </row>
        <row r="627">
          <cell r="A627">
            <v>1</v>
          </cell>
          <cell r="B627">
            <v>4449004</v>
          </cell>
          <cell r="C627" t="str">
            <v>ENTRETIEN CHAUDIERE</v>
          </cell>
          <cell r="D627" t="str">
            <v>TRANSFERT DIVISION BOITES</v>
          </cell>
          <cell r="E627" t="str">
            <v>O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4</v>
          </cell>
          <cell r="AN627" t="str">
            <v/>
          </cell>
          <cell r="AO627">
            <v>0</v>
          </cell>
          <cell r="AP627">
            <v>0</v>
          </cell>
          <cell r="AQ627">
            <v>0</v>
          </cell>
          <cell r="AR627">
            <v>720</v>
          </cell>
          <cell r="AS627">
            <v>0</v>
          </cell>
          <cell r="AT627" t="str">
            <v/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 t="str">
            <v/>
          </cell>
          <cell r="BK627">
            <v>7000</v>
          </cell>
          <cell r="BL627" t="str">
            <v>0</v>
          </cell>
          <cell r="BM627" t="str">
            <v>1</v>
          </cell>
          <cell r="BN627" t="str">
            <v/>
          </cell>
          <cell r="BO627" t="str">
            <v/>
          </cell>
        </row>
        <row r="628">
          <cell r="A628">
            <v>1</v>
          </cell>
          <cell r="B628">
            <v>4461011</v>
          </cell>
          <cell r="C628" t="str">
            <v>MECANICIENS &amp; ELECTRICIEN</v>
          </cell>
          <cell r="D628" t="str">
            <v>MAGASIN</v>
          </cell>
          <cell r="E628" t="str">
            <v>O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1</v>
          </cell>
          <cell r="AN628" t="str">
            <v/>
          </cell>
          <cell r="AO628">
            <v>0</v>
          </cell>
          <cell r="AP628">
            <v>0</v>
          </cell>
          <cell r="AQ628">
            <v>0</v>
          </cell>
          <cell r="AR628">
            <v>700</v>
          </cell>
          <cell r="AS628">
            <v>0</v>
          </cell>
          <cell r="AT628" t="str">
            <v/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 t="str">
            <v/>
          </cell>
          <cell r="BK628">
            <v>7000</v>
          </cell>
          <cell r="BL628" t="str">
            <v/>
          </cell>
          <cell r="BM628" t="str">
            <v>1</v>
          </cell>
          <cell r="BN628" t="str">
            <v/>
          </cell>
          <cell r="BO628" t="str">
            <v/>
          </cell>
        </row>
        <row r="629">
          <cell r="A629">
            <v>1</v>
          </cell>
          <cell r="B629">
            <v>4461021</v>
          </cell>
          <cell r="C629" t="str">
            <v>MECANICIENS &amp; ELECTRICIEN</v>
          </cell>
          <cell r="D629" t="str">
            <v>MOI SYST POMPAGE</v>
          </cell>
          <cell r="E629" t="str">
            <v>O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1</v>
          </cell>
          <cell r="AN629" t="str">
            <v/>
          </cell>
          <cell r="AO629">
            <v>0</v>
          </cell>
          <cell r="AP629">
            <v>0</v>
          </cell>
          <cell r="AQ629">
            <v>0</v>
          </cell>
          <cell r="AR629">
            <v>700</v>
          </cell>
          <cell r="AS629">
            <v>0</v>
          </cell>
          <cell r="AT629" t="str">
            <v/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 t="str">
            <v/>
          </cell>
          <cell r="BK629">
            <v>7000</v>
          </cell>
          <cell r="BL629" t="str">
            <v>0</v>
          </cell>
          <cell r="BM629" t="str">
            <v>1</v>
          </cell>
          <cell r="BN629" t="str">
            <v/>
          </cell>
          <cell r="BO629" t="str">
            <v/>
          </cell>
        </row>
        <row r="630">
          <cell r="A630">
            <v>1</v>
          </cell>
          <cell r="B630">
            <v>4461031</v>
          </cell>
          <cell r="C630" t="str">
            <v>MECANICIENS &amp; ELECTRICIEN</v>
          </cell>
          <cell r="D630" t="str">
            <v>MOI PRESSE A BOUE</v>
          </cell>
          <cell r="E630" t="str">
            <v>O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1</v>
          </cell>
          <cell r="AN630" t="str">
            <v/>
          </cell>
          <cell r="AO630">
            <v>0</v>
          </cell>
          <cell r="AP630">
            <v>0</v>
          </cell>
          <cell r="AQ630">
            <v>0</v>
          </cell>
          <cell r="AR630">
            <v>700</v>
          </cell>
          <cell r="AS630">
            <v>0</v>
          </cell>
          <cell r="AT630" t="str">
            <v/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 t="str">
            <v/>
          </cell>
          <cell r="BK630">
            <v>7000</v>
          </cell>
          <cell r="BL630" t="str">
            <v>0</v>
          </cell>
          <cell r="BM630" t="str">
            <v>1</v>
          </cell>
          <cell r="BN630" t="str">
            <v/>
          </cell>
          <cell r="BO630" t="str">
            <v/>
          </cell>
        </row>
        <row r="631">
          <cell r="A631">
            <v>1</v>
          </cell>
          <cell r="B631">
            <v>4461041</v>
          </cell>
          <cell r="C631" t="str">
            <v>MECANICIENS &amp; ELECTRICIEN</v>
          </cell>
          <cell r="D631" t="str">
            <v>MOI TRAITEMENT PRIMAIRE</v>
          </cell>
          <cell r="E631" t="str">
            <v>O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1088</v>
          </cell>
          <cell r="AC631">
            <v>1088</v>
          </cell>
          <cell r="AD631">
            <v>1088</v>
          </cell>
          <cell r="AE631">
            <v>1088</v>
          </cell>
          <cell r="AF631">
            <v>1088</v>
          </cell>
          <cell r="AG631">
            <v>1088</v>
          </cell>
          <cell r="AH631">
            <v>1088</v>
          </cell>
          <cell r="AI631">
            <v>1088</v>
          </cell>
          <cell r="AJ631">
            <v>1088</v>
          </cell>
          <cell r="AK631">
            <v>1088</v>
          </cell>
          <cell r="AL631">
            <v>0</v>
          </cell>
          <cell r="AM631">
            <v>1</v>
          </cell>
          <cell r="AN631" t="str">
            <v/>
          </cell>
          <cell r="AO631">
            <v>0</v>
          </cell>
          <cell r="AP631">
            <v>0</v>
          </cell>
          <cell r="AQ631">
            <v>0</v>
          </cell>
          <cell r="AR631">
            <v>700</v>
          </cell>
          <cell r="AS631">
            <v>0</v>
          </cell>
          <cell r="AT631" t="str">
            <v/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 t="str">
            <v/>
          </cell>
          <cell r="BK631">
            <v>7000</v>
          </cell>
          <cell r="BL631" t="str">
            <v>0</v>
          </cell>
          <cell r="BM631" t="str">
            <v>1</v>
          </cell>
          <cell r="BN631" t="str">
            <v/>
          </cell>
          <cell r="BO631" t="str">
            <v/>
          </cell>
        </row>
        <row r="632">
          <cell r="A632">
            <v>1</v>
          </cell>
          <cell r="B632">
            <v>4461051</v>
          </cell>
          <cell r="C632" t="str">
            <v>MECANICIENS &amp; ELECTRICIEN</v>
          </cell>
          <cell r="D632" t="str">
            <v>MOI TRAITEMENT SECONDAIRE</v>
          </cell>
          <cell r="E632" t="str">
            <v>O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560</v>
          </cell>
          <cell r="AB632">
            <v>2688</v>
          </cell>
          <cell r="AC632">
            <v>2688</v>
          </cell>
          <cell r="AD632">
            <v>2688</v>
          </cell>
          <cell r="AE632">
            <v>3046.4</v>
          </cell>
          <cell r="AF632">
            <v>3046.4</v>
          </cell>
          <cell r="AG632">
            <v>3046.4</v>
          </cell>
          <cell r="AH632">
            <v>3046.4</v>
          </cell>
          <cell r="AI632">
            <v>3046.4</v>
          </cell>
          <cell r="AJ632">
            <v>3046.4</v>
          </cell>
          <cell r="AK632">
            <v>3046.4</v>
          </cell>
          <cell r="AL632">
            <v>0</v>
          </cell>
          <cell r="AM632">
            <v>1</v>
          </cell>
          <cell r="AN632" t="str">
            <v/>
          </cell>
          <cell r="AO632">
            <v>0</v>
          </cell>
          <cell r="AP632">
            <v>0</v>
          </cell>
          <cell r="AQ632">
            <v>0</v>
          </cell>
          <cell r="AR632">
            <v>700</v>
          </cell>
          <cell r="AS632">
            <v>0</v>
          </cell>
          <cell r="AT632" t="str">
            <v/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 t="str">
            <v/>
          </cell>
          <cell r="BK632">
            <v>7000</v>
          </cell>
          <cell r="BL632" t="str">
            <v>0</v>
          </cell>
          <cell r="BM632" t="str">
            <v>1</v>
          </cell>
          <cell r="BN632" t="str">
            <v/>
          </cell>
          <cell r="BO632" t="str">
            <v/>
          </cell>
        </row>
        <row r="633">
          <cell r="A633">
            <v>2</v>
          </cell>
          <cell r="B633">
            <v>4462122</v>
          </cell>
          <cell r="C633" t="str">
            <v>MECANICIENS &amp; ELECTRICIEN</v>
          </cell>
          <cell r="D633" t="str">
            <v>MACHINE 12</v>
          </cell>
          <cell r="E633" t="str">
            <v>O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2</v>
          </cell>
          <cell r="AN633" t="str">
            <v/>
          </cell>
          <cell r="AO633">
            <v>0</v>
          </cell>
          <cell r="AP633">
            <v>0</v>
          </cell>
          <cell r="AQ633">
            <v>0</v>
          </cell>
          <cell r="AR633">
            <v>700</v>
          </cell>
          <cell r="AS633">
            <v>0</v>
          </cell>
          <cell r="AT633" t="str">
            <v/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 t="str">
            <v/>
          </cell>
          <cell r="BK633">
            <v>7000</v>
          </cell>
          <cell r="BL633" t="str">
            <v>0</v>
          </cell>
          <cell r="BM633" t="str">
            <v>1</v>
          </cell>
          <cell r="BN633" t="str">
            <v/>
          </cell>
          <cell r="BO633" t="str">
            <v/>
          </cell>
        </row>
        <row r="634">
          <cell r="A634">
            <v>2</v>
          </cell>
          <cell r="B634">
            <v>4462132</v>
          </cell>
          <cell r="C634" t="str">
            <v>MECANICIENS &amp; ELECTRICIEN</v>
          </cell>
          <cell r="D634" t="str">
            <v>MACHINE 13</v>
          </cell>
          <cell r="E634" t="str">
            <v>O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2</v>
          </cell>
          <cell r="AN634" t="str">
            <v/>
          </cell>
          <cell r="AO634">
            <v>0</v>
          </cell>
          <cell r="AP634">
            <v>0</v>
          </cell>
          <cell r="AQ634">
            <v>0</v>
          </cell>
          <cell r="AR634">
            <v>700</v>
          </cell>
          <cell r="AS634">
            <v>0</v>
          </cell>
          <cell r="AT634" t="str">
            <v/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 t="str">
            <v/>
          </cell>
          <cell r="BK634">
            <v>7000</v>
          </cell>
          <cell r="BL634" t="str">
            <v>0</v>
          </cell>
          <cell r="BM634" t="str">
            <v>1</v>
          </cell>
          <cell r="BN634" t="str">
            <v/>
          </cell>
          <cell r="BO634" t="str">
            <v/>
          </cell>
        </row>
        <row r="635">
          <cell r="A635">
            <v>2</v>
          </cell>
          <cell r="B635">
            <v>4462142</v>
          </cell>
          <cell r="C635" t="str">
            <v>MECANICIENS &amp; ELECTRICIEN</v>
          </cell>
          <cell r="D635" t="str">
            <v>MACHINE 14</v>
          </cell>
          <cell r="E635" t="str">
            <v>O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2</v>
          </cell>
          <cell r="AN635" t="str">
            <v/>
          </cell>
          <cell r="AO635">
            <v>0</v>
          </cell>
          <cell r="AP635">
            <v>0</v>
          </cell>
          <cell r="AQ635">
            <v>0</v>
          </cell>
          <cell r="AR635">
            <v>700</v>
          </cell>
          <cell r="AS635">
            <v>0</v>
          </cell>
          <cell r="AT635" t="str">
            <v/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 t="str">
            <v/>
          </cell>
          <cell r="BK635">
            <v>7000</v>
          </cell>
          <cell r="BL635" t="str">
            <v>0</v>
          </cell>
          <cell r="BM635" t="str">
            <v>1</v>
          </cell>
          <cell r="BN635" t="str">
            <v/>
          </cell>
          <cell r="BO635" t="str">
            <v/>
          </cell>
        </row>
        <row r="636">
          <cell r="A636">
            <v>2</v>
          </cell>
          <cell r="B636">
            <v>4462152</v>
          </cell>
          <cell r="C636" t="str">
            <v>MECANICIENS &amp; ELECTRICIEN</v>
          </cell>
          <cell r="D636" t="str">
            <v>MACHINE 15</v>
          </cell>
          <cell r="E636" t="str">
            <v>O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2</v>
          </cell>
          <cell r="AN636" t="str">
            <v/>
          </cell>
          <cell r="AO636">
            <v>0</v>
          </cell>
          <cell r="AP636">
            <v>0</v>
          </cell>
          <cell r="AQ636">
            <v>0</v>
          </cell>
          <cell r="AR636">
            <v>700</v>
          </cell>
          <cell r="AS636">
            <v>0</v>
          </cell>
          <cell r="AT636" t="str">
            <v/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 t="str">
            <v/>
          </cell>
          <cell r="BK636">
            <v>7000</v>
          </cell>
          <cell r="BL636" t="str">
            <v>0</v>
          </cell>
          <cell r="BM636" t="str">
            <v>1</v>
          </cell>
          <cell r="BN636" t="str">
            <v/>
          </cell>
          <cell r="BO636" t="str">
            <v/>
          </cell>
        </row>
        <row r="637">
          <cell r="A637">
            <v>2</v>
          </cell>
          <cell r="B637">
            <v>4462162</v>
          </cell>
          <cell r="C637" t="str">
            <v>MECANICIENS &amp; ELECTRICIEN</v>
          </cell>
          <cell r="D637" t="str">
            <v>MACHINE 16</v>
          </cell>
          <cell r="E637" t="str">
            <v>O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2</v>
          </cell>
          <cell r="AN637" t="str">
            <v/>
          </cell>
          <cell r="AO637">
            <v>0</v>
          </cell>
          <cell r="AP637">
            <v>0</v>
          </cell>
          <cell r="AQ637">
            <v>0</v>
          </cell>
          <cell r="AR637">
            <v>700</v>
          </cell>
          <cell r="AS637">
            <v>0</v>
          </cell>
          <cell r="AT637" t="str">
            <v/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 t="str">
            <v/>
          </cell>
          <cell r="BK637">
            <v>7000</v>
          </cell>
          <cell r="BL637" t="str">
            <v>0</v>
          </cell>
          <cell r="BM637" t="str">
            <v>1</v>
          </cell>
          <cell r="BN637" t="str">
            <v/>
          </cell>
          <cell r="BO637" t="str">
            <v/>
          </cell>
        </row>
        <row r="638">
          <cell r="A638">
            <v>2</v>
          </cell>
          <cell r="B638">
            <v>4462172</v>
          </cell>
          <cell r="C638" t="str">
            <v>MECANICIENS &amp; ELECTRICIEN</v>
          </cell>
          <cell r="D638" t="str">
            <v>MACHINE 17</v>
          </cell>
          <cell r="E638" t="str">
            <v>O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2</v>
          </cell>
          <cell r="AN638" t="str">
            <v/>
          </cell>
          <cell r="AO638">
            <v>0</v>
          </cell>
          <cell r="AP638">
            <v>0</v>
          </cell>
          <cell r="AQ638">
            <v>0</v>
          </cell>
          <cell r="AR638">
            <v>700</v>
          </cell>
          <cell r="AS638">
            <v>0</v>
          </cell>
          <cell r="AT638" t="str">
            <v/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 t="str">
            <v/>
          </cell>
          <cell r="BK638">
            <v>7000</v>
          </cell>
          <cell r="BL638" t="str">
            <v>0</v>
          </cell>
          <cell r="BM638" t="str">
            <v>1</v>
          </cell>
          <cell r="BN638" t="str">
            <v/>
          </cell>
          <cell r="BO638" t="str">
            <v/>
          </cell>
        </row>
        <row r="639">
          <cell r="A639">
            <v>2</v>
          </cell>
          <cell r="B639">
            <v>4462182</v>
          </cell>
          <cell r="C639" t="str">
            <v>MECANICIENS &amp; ELECTRICIEN</v>
          </cell>
          <cell r="D639" t="str">
            <v>MACHINE 18</v>
          </cell>
          <cell r="E639" t="str">
            <v>O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2</v>
          </cell>
          <cell r="AN639" t="str">
            <v/>
          </cell>
          <cell r="AO639">
            <v>0</v>
          </cell>
          <cell r="AP639">
            <v>0</v>
          </cell>
          <cell r="AQ639">
            <v>0</v>
          </cell>
          <cell r="AR639">
            <v>700</v>
          </cell>
          <cell r="AS639">
            <v>0</v>
          </cell>
          <cell r="AT639" t="str">
            <v/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 t="str">
            <v/>
          </cell>
          <cell r="BK639">
            <v>7000</v>
          </cell>
          <cell r="BL639" t="str">
            <v>0</v>
          </cell>
          <cell r="BM639" t="str">
            <v>1</v>
          </cell>
          <cell r="BN639" t="str">
            <v/>
          </cell>
          <cell r="BO639" t="str">
            <v/>
          </cell>
        </row>
        <row r="640">
          <cell r="A640">
            <v>2</v>
          </cell>
          <cell r="B640">
            <v>4462222</v>
          </cell>
          <cell r="C640" t="str">
            <v>MECANICIENS &amp; ELECTRICIEN</v>
          </cell>
          <cell r="D640" t="str">
            <v>MACHINE 22</v>
          </cell>
          <cell r="E640" t="str">
            <v>O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2</v>
          </cell>
          <cell r="AN640" t="str">
            <v/>
          </cell>
          <cell r="AO640">
            <v>0</v>
          </cell>
          <cell r="AP640">
            <v>0</v>
          </cell>
          <cell r="AQ640">
            <v>0</v>
          </cell>
          <cell r="AR640">
            <v>700</v>
          </cell>
          <cell r="AS640">
            <v>0</v>
          </cell>
          <cell r="AT640" t="str">
            <v/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 t="str">
            <v/>
          </cell>
          <cell r="BK640">
            <v>7000</v>
          </cell>
          <cell r="BL640" t="str">
            <v>0</v>
          </cell>
          <cell r="BM640" t="str">
            <v>1</v>
          </cell>
          <cell r="BN640" t="str">
            <v/>
          </cell>
          <cell r="BO640" t="str">
            <v/>
          </cell>
        </row>
        <row r="641">
          <cell r="A641">
            <v>1</v>
          </cell>
          <cell r="B641">
            <v>4469001</v>
          </cell>
          <cell r="C641" t="str">
            <v>MECANICIENS</v>
          </cell>
          <cell r="D641" t="str">
            <v>TRANSFERT DIVISION PAPIER</v>
          </cell>
          <cell r="E641" t="str">
            <v>O</v>
          </cell>
          <cell r="F641">
            <v>0</v>
          </cell>
          <cell r="G641">
            <v>0</v>
          </cell>
          <cell r="H641">
            <v>44049.93</v>
          </cell>
          <cell r="I641">
            <v>50856.2</v>
          </cell>
          <cell r="J641">
            <v>6806.27</v>
          </cell>
          <cell r="K641">
            <v>0</v>
          </cell>
          <cell r="L641">
            <v>6147.73</v>
          </cell>
          <cell r="M641">
            <v>3362.49</v>
          </cell>
          <cell r="N641">
            <v>3007.15</v>
          </cell>
          <cell r="O641">
            <v>7378.31</v>
          </cell>
          <cell r="P641">
            <v>9810.86</v>
          </cell>
          <cell r="Q641">
            <v>16995.18</v>
          </cell>
          <cell r="R641">
            <v>24546.07</v>
          </cell>
          <cell r="S641">
            <v>28459.51</v>
          </cell>
          <cell r="T641">
            <v>34245.660000000003</v>
          </cell>
          <cell r="U641">
            <v>36706.51</v>
          </cell>
          <cell r="V641">
            <v>39356.269999999997</v>
          </cell>
          <cell r="W641">
            <v>40687.5</v>
          </cell>
          <cell r="X641">
            <v>44049.93</v>
          </cell>
          <cell r="Y641">
            <v>46835.17</v>
          </cell>
          <cell r="Z641">
            <v>12813.54</v>
          </cell>
          <cell r="AA641">
            <v>26186.11</v>
          </cell>
          <cell r="AB641">
            <v>32885.14</v>
          </cell>
          <cell r="AC641">
            <v>46477.18</v>
          </cell>
          <cell r="AD641">
            <v>85710.080000000002</v>
          </cell>
          <cell r="AE641">
            <v>105155.72</v>
          </cell>
          <cell r="AF641">
            <v>111170.4</v>
          </cell>
          <cell r="AG641">
            <v>119027.66</v>
          </cell>
          <cell r="AH641">
            <v>121087.45</v>
          </cell>
          <cell r="AI641">
            <v>124882.59</v>
          </cell>
          <cell r="AJ641">
            <v>127063.33</v>
          </cell>
          <cell r="AK641">
            <v>134460.20000000001</v>
          </cell>
          <cell r="AL641">
            <v>0</v>
          </cell>
          <cell r="AM641">
            <v>1</v>
          </cell>
          <cell r="AN641" t="str">
            <v/>
          </cell>
          <cell r="AO641">
            <v>0</v>
          </cell>
          <cell r="AP641">
            <v>0</v>
          </cell>
          <cell r="AQ641">
            <v>0</v>
          </cell>
          <cell r="AR641">
            <v>700</v>
          </cell>
          <cell r="AS641">
            <v>0</v>
          </cell>
          <cell r="AT641" t="str">
            <v/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 t="str">
            <v/>
          </cell>
          <cell r="BK641">
            <v>7000</v>
          </cell>
          <cell r="BL641" t="str">
            <v>0</v>
          </cell>
          <cell r="BM641" t="str">
            <v>1</v>
          </cell>
          <cell r="BN641" t="str">
            <v/>
          </cell>
          <cell r="BO641" t="str">
            <v/>
          </cell>
        </row>
        <row r="642">
          <cell r="A642">
            <v>1</v>
          </cell>
          <cell r="B642">
            <v>4469002</v>
          </cell>
          <cell r="C642" t="str">
            <v>MECANICIENS</v>
          </cell>
          <cell r="D642" t="str">
            <v>TRANSFERT DIV. SERVIETTES</v>
          </cell>
          <cell r="E642" t="str">
            <v>O</v>
          </cell>
          <cell r="F642">
            <v>0</v>
          </cell>
          <cell r="G642">
            <v>0</v>
          </cell>
          <cell r="H642">
            <v>140</v>
          </cell>
          <cell r="I642">
            <v>140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140</v>
          </cell>
          <cell r="O642">
            <v>140</v>
          </cell>
          <cell r="P642">
            <v>140</v>
          </cell>
          <cell r="Q642">
            <v>140</v>
          </cell>
          <cell r="R642">
            <v>140</v>
          </cell>
          <cell r="S642">
            <v>140</v>
          </cell>
          <cell r="T642">
            <v>140</v>
          </cell>
          <cell r="U642">
            <v>140</v>
          </cell>
          <cell r="V642">
            <v>140</v>
          </cell>
          <cell r="W642">
            <v>140</v>
          </cell>
          <cell r="X642">
            <v>140</v>
          </cell>
          <cell r="Y642">
            <v>140</v>
          </cell>
          <cell r="Z642">
            <v>5036.87</v>
          </cell>
          <cell r="AA642">
            <v>8985.5</v>
          </cell>
          <cell r="AB642">
            <v>13821.23</v>
          </cell>
          <cell r="AC642">
            <v>17021.95</v>
          </cell>
          <cell r="AD642">
            <v>18733.57</v>
          </cell>
          <cell r="AE642">
            <v>18733.57</v>
          </cell>
          <cell r="AF642">
            <v>18733.57</v>
          </cell>
          <cell r="AG642">
            <v>18733.57</v>
          </cell>
          <cell r="AH642">
            <v>18733.57</v>
          </cell>
          <cell r="AI642">
            <v>18797.57</v>
          </cell>
          <cell r="AJ642">
            <v>22101.57</v>
          </cell>
          <cell r="AK642">
            <v>23961.57</v>
          </cell>
          <cell r="AL642">
            <v>0</v>
          </cell>
          <cell r="AM642">
            <v>2</v>
          </cell>
          <cell r="AN642" t="str">
            <v/>
          </cell>
          <cell r="AO642">
            <v>0</v>
          </cell>
          <cell r="AP642">
            <v>0</v>
          </cell>
          <cell r="AQ642">
            <v>0</v>
          </cell>
          <cell r="AR642">
            <v>700</v>
          </cell>
          <cell r="AS642">
            <v>0</v>
          </cell>
          <cell r="AT642" t="str">
            <v/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 t="str">
            <v/>
          </cell>
          <cell r="BK642">
            <v>7000</v>
          </cell>
          <cell r="BL642" t="str">
            <v>0</v>
          </cell>
          <cell r="BM642" t="str">
            <v>1</v>
          </cell>
          <cell r="BN642" t="str">
            <v/>
          </cell>
          <cell r="BO642" t="str">
            <v/>
          </cell>
        </row>
        <row r="643">
          <cell r="A643">
            <v>1</v>
          </cell>
          <cell r="B643">
            <v>4469003</v>
          </cell>
          <cell r="C643" t="str">
            <v>MECANICIENS</v>
          </cell>
          <cell r="D643" t="str">
            <v>TRANSFERT DIVISION SACS</v>
          </cell>
          <cell r="E643" t="str">
            <v>O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1704.74</v>
          </cell>
          <cell r="AA643">
            <v>3642.26</v>
          </cell>
          <cell r="AB643">
            <v>7017.82</v>
          </cell>
          <cell r="AC643">
            <v>9498.16</v>
          </cell>
          <cell r="AD643">
            <v>10480.33</v>
          </cell>
          <cell r="AE643">
            <v>10480.33</v>
          </cell>
          <cell r="AF643">
            <v>10480.33</v>
          </cell>
          <cell r="AG643">
            <v>10480.33</v>
          </cell>
          <cell r="AH643">
            <v>10480.33</v>
          </cell>
          <cell r="AI643">
            <v>10480.33</v>
          </cell>
          <cell r="AJ643">
            <v>10480.33</v>
          </cell>
          <cell r="AK643">
            <v>10480.33</v>
          </cell>
          <cell r="AL643">
            <v>0</v>
          </cell>
          <cell r="AM643">
            <v>3</v>
          </cell>
          <cell r="AN643" t="str">
            <v/>
          </cell>
          <cell r="AO643">
            <v>0</v>
          </cell>
          <cell r="AP643">
            <v>0</v>
          </cell>
          <cell r="AQ643">
            <v>0</v>
          </cell>
          <cell r="AR643">
            <v>700</v>
          </cell>
          <cell r="AS643">
            <v>0</v>
          </cell>
          <cell r="AT643" t="str">
            <v/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 t="str">
            <v/>
          </cell>
          <cell r="BK643">
            <v>7000</v>
          </cell>
          <cell r="BL643" t="str">
            <v>0</v>
          </cell>
          <cell r="BM643" t="str">
            <v>1</v>
          </cell>
          <cell r="BN643" t="str">
            <v/>
          </cell>
          <cell r="BO643" t="str">
            <v/>
          </cell>
        </row>
        <row r="644">
          <cell r="A644">
            <v>1</v>
          </cell>
          <cell r="B644">
            <v>4469004</v>
          </cell>
          <cell r="C644" t="str">
            <v>MECANICIENS</v>
          </cell>
          <cell r="D644" t="str">
            <v>TRANSFERT DIVISION BOITES</v>
          </cell>
          <cell r="E644" t="str">
            <v>O</v>
          </cell>
          <cell r="F644">
            <v>0</v>
          </cell>
          <cell r="G644">
            <v>0</v>
          </cell>
          <cell r="H644">
            <v>0</v>
          </cell>
          <cell r="I644">
            <v>13738.57</v>
          </cell>
          <cell r="J644">
            <v>13738.57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10</v>
          </cell>
          <cell r="P644">
            <v>10</v>
          </cell>
          <cell r="Q644">
            <v>10</v>
          </cell>
          <cell r="R644">
            <v>10</v>
          </cell>
          <cell r="S644">
            <v>10</v>
          </cell>
          <cell r="T644">
            <v>10</v>
          </cell>
          <cell r="U644">
            <v>10</v>
          </cell>
          <cell r="V644">
            <v>10</v>
          </cell>
          <cell r="W644">
            <v>10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-200</v>
          </cell>
          <cell r="AC644">
            <v>-498.17</v>
          </cell>
          <cell r="AD644">
            <v>-498.17</v>
          </cell>
          <cell r="AE644">
            <v>85.58</v>
          </cell>
          <cell r="AF644">
            <v>85.58</v>
          </cell>
          <cell r="AG644">
            <v>85.58</v>
          </cell>
          <cell r="AH644">
            <v>85.58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4</v>
          </cell>
          <cell r="AN644" t="str">
            <v/>
          </cell>
          <cell r="AO644">
            <v>0</v>
          </cell>
          <cell r="AP644">
            <v>0</v>
          </cell>
          <cell r="AQ644">
            <v>0</v>
          </cell>
          <cell r="AR644">
            <v>700</v>
          </cell>
          <cell r="AS644">
            <v>0</v>
          </cell>
          <cell r="AT644" t="str">
            <v/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 t="str">
            <v/>
          </cell>
          <cell r="BK644">
            <v>7000</v>
          </cell>
          <cell r="BL644" t="str">
            <v>0</v>
          </cell>
          <cell r="BM644" t="str">
            <v>1</v>
          </cell>
          <cell r="BN644" t="str">
            <v/>
          </cell>
          <cell r="BO644" t="str">
            <v/>
          </cell>
        </row>
        <row r="645">
          <cell r="A645">
            <v>1</v>
          </cell>
          <cell r="B645">
            <v>4471011</v>
          </cell>
          <cell r="C645" t="str">
            <v>ENTRETIEN ET REPARATIONS</v>
          </cell>
          <cell r="D645" t="str">
            <v>CONSIGNE POUR CONTENANT</v>
          </cell>
          <cell r="E645" t="str">
            <v>O</v>
          </cell>
          <cell r="F645">
            <v>0</v>
          </cell>
          <cell r="G645">
            <v>0</v>
          </cell>
          <cell r="H645">
            <v>-591.15</v>
          </cell>
          <cell r="I645">
            <v>358.85</v>
          </cell>
          <cell r="J645">
            <v>950</v>
          </cell>
          <cell r="K645">
            <v>0</v>
          </cell>
          <cell r="L645">
            <v>0</v>
          </cell>
          <cell r="M645">
            <v>0</v>
          </cell>
          <cell r="N645">
            <v>-950</v>
          </cell>
          <cell r="O645">
            <v>-950</v>
          </cell>
          <cell r="P645">
            <v>-786.15</v>
          </cell>
          <cell r="Q645">
            <v>-786.15</v>
          </cell>
          <cell r="R645">
            <v>-786.15</v>
          </cell>
          <cell r="S645">
            <v>-636.15</v>
          </cell>
          <cell r="T645">
            <v>-636.15</v>
          </cell>
          <cell r="U645">
            <v>-636.15</v>
          </cell>
          <cell r="V645">
            <v>-636.15</v>
          </cell>
          <cell r="W645">
            <v>-636.15</v>
          </cell>
          <cell r="X645">
            <v>-591.15</v>
          </cell>
          <cell r="Y645">
            <v>-591.15</v>
          </cell>
          <cell r="Z645">
            <v>0</v>
          </cell>
          <cell r="AA645">
            <v>0</v>
          </cell>
          <cell r="AB645">
            <v>300</v>
          </cell>
          <cell r="AC645">
            <v>400</v>
          </cell>
          <cell r="AD645">
            <v>670</v>
          </cell>
          <cell r="AE645">
            <v>1370</v>
          </cell>
          <cell r="AF645">
            <v>1495</v>
          </cell>
          <cell r="AG645">
            <v>1495</v>
          </cell>
          <cell r="AH645">
            <v>445</v>
          </cell>
          <cell r="AI645">
            <v>495</v>
          </cell>
          <cell r="AJ645">
            <v>-1940.36</v>
          </cell>
          <cell r="AK645">
            <v>-1805.36</v>
          </cell>
          <cell r="AL645">
            <v>0</v>
          </cell>
          <cell r="AM645">
            <v>1</v>
          </cell>
          <cell r="AN645" t="str">
            <v/>
          </cell>
          <cell r="AO645">
            <v>0</v>
          </cell>
          <cell r="AP645">
            <v>0</v>
          </cell>
          <cell r="AQ645">
            <v>0</v>
          </cell>
          <cell r="AR645">
            <v>720</v>
          </cell>
          <cell r="AS645">
            <v>0</v>
          </cell>
          <cell r="AT645" t="str">
            <v/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 t="str">
            <v/>
          </cell>
          <cell r="BK645">
            <v>7000</v>
          </cell>
          <cell r="BL645" t="str">
            <v>0</v>
          </cell>
          <cell r="BM645" t="str">
            <v>1</v>
          </cell>
          <cell r="BN645" t="str">
            <v/>
          </cell>
          <cell r="BO645" t="str">
            <v/>
          </cell>
        </row>
        <row r="646">
          <cell r="A646">
            <v>1</v>
          </cell>
          <cell r="B646">
            <v>4471021</v>
          </cell>
          <cell r="C646" t="str">
            <v>ENTRETIEN ET REPARATIONS</v>
          </cell>
          <cell r="D646" t="str">
            <v>ENVIRO - SYST POMPAGE</v>
          </cell>
          <cell r="E646" t="str">
            <v>O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1</v>
          </cell>
          <cell r="AN646" t="str">
            <v/>
          </cell>
          <cell r="AO646">
            <v>0</v>
          </cell>
          <cell r="AP646">
            <v>0</v>
          </cell>
          <cell r="AQ646">
            <v>0</v>
          </cell>
          <cell r="AR646">
            <v>720</v>
          </cell>
          <cell r="AS646">
            <v>0</v>
          </cell>
          <cell r="AT646" t="str">
            <v/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 t="str">
            <v/>
          </cell>
          <cell r="BK646">
            <v>7000</v>
          </cell>
          <cell r="BL646" t="str">
            <v>0</v>
          </cell>
          <cell r="BM646" t="str">
            <v>1</v>
          </cell>
          <cell r="BN646" t="str">
            <v/>
          </cell>
          <cell r="BO646" t="str">
            <v/>
          </cell>
        </row>
        <row r="647">
          <cell r="A647">
            <v>1</v>
          </cell>
          <cell r="B647">
            <v>4471031</v>
          </cell>
          <cell r="C647" t="str">
            <v>ENTRETIEN ET REPARATIONS</v>
          </cell>
          <cell r="D647" t="str">
            <v>ENVIRO - PRESSE A BOUES</v>
          </cell>
          <cell r="E647" t="str">
            <v>O</v>
          </cell>
          <cell r="F647">
            <v>0</v>
          </cell>
          <cell r="G647">
            <v>0</v>
          </cell>
          <cell r="H647">
            <v>0</v>
          </cell>
          <cell r="I647">
            <v>404.36</v>
          </cell>
          <cell r="J647">
            <v>404.36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491.39</v>
          </cell>
          <cell r="AG647">
            <v>895.75</v>
          </cell>
          <cell r="AH647">
            <v>895.75</v>
          </cell>
          <cell r="AI647">
            <v>895.75</v>
          </cell>
          <cell r="AJ647">
            <v>895.75</v>
          </cell>
          <cell r="AK647">
            <v>491.39</v>
          </cell>
          <cell r="AL647">
            <v>0</v>
          </cell>
          <cell r="AM647">
            <v>1</v>
          </cell>
          <cell r="AN647" t="str">
            <v/>
          </cell>
          <cell r="AO647">
            <v>0</v>
          </cell>
          <cell r="AP647">
            <v>0</v>
          </cell>
          <cell r="AQ647">
            <v>0</v>
          </cell>
          <cell r="AR647">
            <v>720</v>
          </cell>
          <cell r="AS647">
            <v>0</v>
          </cell>
          <cell r="AT647" t="str">
            <v/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 t="str">
            <v/>
          </cell>
          <cell r="BK647">
            <v>7000</v>
          </cell>
          <cell r="BL647" t="str">
            <v>0</v>
          </cell>
          <cell r="BM647" t="str">
            <v>1</v>
          </cell>
          <cell r="BN647" t="str">
            <v/>
          </cell>
          <cell r="BO647" t="str">
            <v/>
          </cell>
        </row>
        <row r="648">
          <cell r="A648">
            <v>1</v>
          </cell>
          <cell r="B648">
            <v>4471041</v>
          </cell>
          <cell r="C648" t="str">
            <v>ENTRETIEN ET REPARATIONS</v>
          </cell>
          <cell r="D648" t="str">
            <v>ENVIRO - TRAITE. PRIMAIRE</v>
          </cell>
          <cell r="E648" t="str">
            <v>O</v>
          </cell>
          <cell r="F648">
            <v>0</v>
          </cell>
          <cell r="G648">
            <v>0</v>
          </cell>
          <cell r="H648">
            <v>919.88</v>
          </cell>
          <cell r="I648">
            <v>919.88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902.38</v>
          </cell>
          <cell r="V648">
            <v>919.88</v>
          </cell>
          <cell r="W648">
            <v>919.88</v>
          </cell>
          <cell r="X648">
            <v>919.88</v>
          </cell>
          <cell r="Y648">
            <v>919.88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595.34</v>
          </cell>
          <cell r="AI648">
            <v>595.34</v>
          </cell>
          <cell r="AJ648">
            <v>595.34</v>
          </cell>
          <cell r="AK648">
            <v>595.34</v>
          </cell>
          <cell r="AL648">
            <v>0</v>
          </cell>
          <cell r="AM648">
            <v>1</v>
          </cell>
          <cell r="AN648" t="str">
            <v/>
          </cell>
          <cell r="AO648">
            <v>0</v>
          </cell>
          <cell r="AP648">
            <v>0</v>
          </cell>
          <cell r="AQ648">
            <v>0</v>
          </cell>
          <cell r="AR648">
            <v>720</v>
          </cell>
          <cell r="AS648">
            <v>0</v>
          </cell>
          <cell r="AT648" t="str">
            <v/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 t="str">
            <v/>
          </cell>
          <cell r="BK648">
            <v>7000</v>
          </cell>
          <cell r="BL648" t="str">
            <v>0</v>
          </cell>
          <cell r="BM648" t="str">
            <v>1</v>
          </cell>
          <cell r="BN648" t="str">
            <v/>
          </cell>
          <cell r="BO648" t="str">
            <v/>
          </cell>
        </row>
        <row r="649">
          <cell r="A649">
            <v>1</v>
          </cell>
          <cell r="B649">
            <v>4471051</v>
          </cell>
          <cell r="C649" t="str">
            <v>ENTRETIEN ET REPARATIONS</v>
          </cell>
          <cell r="D649" t="str">
            <v>ENVIRO - TRAITE. SECOND.</v>
          </cell>
          <cell r="E649" t="str">
            <v>O</v>
          </cell>
          <cell r="F649">
            <v>0</v>
          </cell>
          <cell r="G649">
            <v>0</v>
          </cell>
          <cell r="H649">
            <v>11091.87</v>
          </cell>
          <cell r="I649">
            <v>11465.08</v>
          </cell>
          <cell r="J649">
            <v>373.21</v>
          </cell>
          <cell r="K649">
            <v>0</v>
          </cell>
          <cell r="L649">
            <v>1089</v>
          </cell>
          <cell r="M649">
            <v>0</v>
          </cell>
          <cell r="N649">
            <v>1171.71</v>
          </cell>
          <cell r="O649">
            <v>1171.71</v>
          </cell>
          <cell r="P649">
            <v>1171.71</v>
          </cell>
          <cell r="Q649">
            <v>1481.71</v>
          </cell>
          <cell r="R649">
            <v>2476.79</v>
          </cell>
          <cell r="S649">
            <v>2524.13</v>
          </cell>
          <cell r="T649">
            <v>8808.1</v>
          </cell>
          <cell r="U649">
            <v>8808.1</v>
          </cell>
          <cell r="V649">
            <v>8940.23</v>
          </cell>
          <cell r="W649">
            <v>9120.23</v>
          </cell>
          <cell r="X649">
            <v>11091.87</v>
          </cell>
          <cell r="Y649">
            <v>12180.87</v>
          </cell>
          <cell r="Z649">
            <v>3059.36</v>
          </cell>
          <cell r="AA649">
            <v>3059.36</v>
          </cell>
          <cell r="AB649">
            <v>4646.3599999999997</v>
          </cell>
          <cell r="AC649">
            <v>9739.36</v>
          </cell>
          <cell r="AD649">
            <v>11679.36</v>
          </cell>
          <cell r="AE649">
            <v>9739.36</v>
          </cell>
          <cell r="AF649">
            <v>13389.72</v>
          </cell>
          <cell r="AG649">
            <v>10204.719999999999</v>
          </cell>
          <cell r="AH649">
            <v>10204.719999999999</v>
          </cell>
          <cell r="AI649">
            <v>10839.35</v>
          </cell>
          <cell r="AJ649">
            <v>10695.35</v>
          </cell>
          <cell r="AK649">
            <v>11341.56</v>
          </cell>
          <cell r="AL649">
            <v>0</v>
          </cell>
          <cell r="AM649">
            <v>1</v>
          </cell>
          <cell r="AN649" t="str">
            <v/>
          </cell>
          <cell r="AO649">
            <v>0</v>
          </cell>
          <cell r="AP649">
            <v>0</v>
          </cell>
          <cell r="AQ649">
            <v>0</v>
          </cell>
          <cell r="AR649">
            <v>720</v>
          </cell>
          <cell r="AS649">
            <v>0</v>
          </cell>
          <cell r="AT649" t="str">
            <v/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 t="str">
            <v/>
          </cell>
          <cell r="BK649">
            <v>7000</v>
          </cell>
          <cell r="BL649" t="str">
            <v>0</v>
          </cell>
          <cell r="BM649" t="str">
            <v>1</v>
          </cell>
          <cell r="BN649" t="str">
            <v/>
          </cell>
          <cell r="BO649" t="str">
            <v/>
          </cell>
        </row>
        <row r="650">
          <cell r="A650">
            <v>2</v>
          </cell>
          <cell r="B650">
            <v>4472122</v>
          </cell>
          <cell r="C650" t="str">
            <v>ENTRETIEN ET REPARATIONS</v>
          </cell>
          <cell r="D650" t="str">
            <v>MACHINE 12</v>
          </cell>
          <cell r="E650" t="str">
            <v>O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2</v>
          </cell>
          <cell r="AN650" t="str">
            <v/>
          </cell>
          <cell r="AO650">
            <v>0</v>
          </cell>
          <cell r="AP650">
            <v>0</v>
          </cell>
          <cell r="AQ650">
            <v>0</v>
          </cell>
          <cell r="AR650">
            <v>720</v>
          </cell>
          <cell r="AS650">
            <v>0</v>
          </cell>
          <cell r="AT650" t="str">
            <v/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 t="str">
            <v/>
          </cell>
          <cell r="BK650">
            <v>7000</v>
          </cell>
          <cell r="BL650" t="str">
            <v>0</v>
          </cell>
          <cell r="BM650" t="str">
            <v>1</v>
          </cell>
          <cell r="BN650" t="str">
            <v/>
          </cell>
          <cell r="BO650" t="str">
            <v/>
          </cell>
        </row>
        <row r="651">
          <cell r="A651">
            <v>2</v>
          </cell>
          <cell r="B651">
            <v>4472132</v>
          </cell>
          <cell r="C651" t="str">
            <v>ENTRETIEN ET REPARATIONS</v>
          </cell>
          <cell r="D651" t="str">
            <v>MACHINE 13</v>
          </cell>
          <cell r="E651" t="str">
            <v>O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2</v>
          </cell>
          <cell r="AN651" t="str">
            <v/>
          </cell>
          <cell r="AO651">
            <v>0</v>
          </cell>
          <cell r="AP651">
            <v>0</v>
          </cell>
          <cell r="AQ651">
            <v>0</v>
          </cell>
          <cell r="AR651">
            <v>720</v>
          </cell>
          <cell r="AS651">
            <v>0</v>
          </cell>
          <cell r="AT651" t="str">
            <v/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 t="str">
            <v/>
          </cell>
          <cell r="BK651">
            <v>7000</v>
          </cell>
          <cell r="BL651" t="str">
            <v>0</v>
          </cell>
          <cell r="BM651" t="str">
            <v>1</v>
          </cell>
          <cell r="BN651" t="str">
            <v/>
          </cell>
          <cell r="BO651" t="str">
            <v/>
          </cell>
        </row>
        <row r="652">
          <cell r="A652">
            <v>2</v>
          </cell>
          <cell r="B652">
            <v>4472142</v>
          </cell>
          <cell r="C652" t="str">
            <v>ENTRETIEN ET REPARATIONS</v>
          </cell>
          <cell r="D652" t="str">
            <v>MACHINE 14</v>
          </cell>
          <cell r="E652" t="str">
            <v>O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2</v>
          </cell>
          <cell r="AN652" t="str">
            <v/>
          </cell>
          <cell r="AO652">
            <v>0</v>
          </cell>
          <cell r="AP652">
            <v>0</v>
          </cell>
          <cell r="AQ652">
            <v>0</v>
          </cell>
          <cell r="AR652">
            <v>720</v>
          </cell>
          <cell r="AS652">
            <v>0</v>
          </cell>
          <cell r="AT652" t="str">
            <v/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 t="str">
            <v/>
          </cell>
          <cell r="BK652">
            <v>7000</v>
          </cell>
          <cell r="BL652" t="str">
            <v>0</v>
          </cell>
          <cell r="BM652" t="str">
            <v>1</v>
          </cell>
          <cell r="BN652" t="str">
            <v/>
          </cell>
          <cell r="BO652" t="str">
            <v/>
          </cell>
        </row>
        <row r="653">
          <cell r="A653">
            <v>2</v>
          </cell>
          <cell r="B653">
            <v>4472152</v>
          </cell>
          <cell r="C653" t="str">
            <v>ENTRETIEN ET REPARATIONS</v>
          </cell>
          <cell r="D653" t="str">
            <v>MACHINE 15</v>
          </cell>
          <cell r="E653" t="str">
            <v>O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2</v>
          </cell>
          <cell r="AN653" t="str">
            <v/>
          </cell>
          <cell r="AO653">
            <v>0</v>
          </cell>
          <cell r="AP653">
            <v>0</v>
          </cell>
          <cell r="AQ653">
            <v>0</v>
          </cell>
          <cell r="AR653">
            <v>720</v>
          </cell>
          <cell r="AS653">
            <v>0</v>
          </cell>
          <cell r="AT653" t="str">
            <v/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 t="str">
            <v/>
          </cell>
          <cell r="BK653">
            <v>7000</v>
          </cell>
          <cell r="BL653" t="str">
            <v>0</v>
          </cell>
          <cell r="BM653" t="str">
            <v>1</v>
          </cell>
          <cell r="BN653" t="str">
            <v/>
          </cell>
          <cell r="BO653" t="str">
            <v/>
          </cell>
        </row>
        <row r="654">
          <cell r="A654">
            <v>2</v>
          </cell>
          <cell r="B654">
            <v>4472162</v>
          </cell>
          <cell r="C654" t="str">
            <v>ENTRETIEN ET REPARATIONS</v>
          </cell>
          <cell r="D654" t="str">
            <v>MACHINE 16</v>
          </cell>
          <cell r="E654" t="str">
            <v>O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2</v>
          </cell>
          <cell r="AN654" t="str">
            <v/>
          </cell>
          <cell r="AO654">
            <v>0</v>
          </cell>
          <cell r="AP654">
            <v>0</v>
          </cell>
          <cell r="AQ654">
            <v>0</v>
          </cell>
          <cell r="AR654">
            <v>720</v>
          </cell>
          <cell r="AS654">
            <v>0</v>
          </cell>
          <cell r="AT654" t="str">
            <v/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 t="str">
            <v/>
          </cell>
          <cell r="BK654">
            <v>7000</v>
          </cell>
          <cell r="BL654" t="str">
            <v>0</v>
          </cell>
          <cell r="BM654" t="str">
            <v>1</v>
          </cell>
          <cell r="BN654" t="str">
            <v/>
          </cell>
          <cell r="BO654" t="str">
            <v/>
          </cell>
        </row>
        <row r="655">
          <cell r="A655">
            <v>2</v>
          </cell>
          <cell r="B655">
            <v>4472172</v>
          </cell>
          <cell r="C655" t="str">
            <v>ENTRETIEN ET REPARATIONS</v>
          </cell>
          <cell r="D655" t="str">
            <v>MACHINE 17</v>
          </cell>
          <cell r="E655" t="str">
            <v>O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2</v>
          </cell>
          <cell r="AN655" t="str">
            <v/>
          </cell>
          <cell r="AO655">
            <v>0</v>
          </cell>
          <cell r="AP655">
            <v>0</v>
          </cell>
          <cell r="AQ655">
            <v>0</v>
          </cell>
          <cell r="AR655">
            <v>720</v>
          </cell>
          <cell r="AS655">
            <v>0</v>
          </cell>
          <cell r="AT655" t="str">
            <v/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 t="str">
            <v/>
          </cell>
          <cell r="BK655">
            <v>7000</v>
          </cell>
          <cell r="BL655" t="str">
            <v>0</v>
          </cell>
          <cell r="BM655" t="str">
            <v>1</v>
          </cell>
          <cell r="BN655" t="str">
            <v/>
          </cell>
          <cell r="BO655" t="str">
            <v/>
          </cell>
        </row>
        <row r="656">
          <cell r="A656">
            <v>2</v>
          </cell>
          <cell r="B656">
            <v>4472182</v>
          </cell>
          <cell r="C656" t="str">
            <v>ENTRETIEN ET REPARATIONS</v>
          </cell>
          <cell r="D656" t="str">
            <v>MACHINE 18</v>
          </cell>
          <cell r="E656" t="str">
            <v>O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2</v>
          </cell>
          <cell r="AN656" t="str">
            <v/>
          </cell>
          <cell r="AO656">
            <v>0</v>
          </cell>
          <cell r="AP656">
            <v>0</v>
          </cell>
          <cell r="AQ656">
            <v>0</v>
          </cell>
          <cell r="AR656">
            <v>720</v>
          </cell>
          <cell r="AS656">
            <v>0</v>
          </cell>
          <cell r="AT656" t="str">
            <v/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 t="str">
            <v/>
          </cell>
          <cell r="BK656">
            <v>7000</v>
          </cell>
          <cell r="BL656" t="str">
            <v>0</v>
          </cell>
          <cell r="BM656" t="str">
            <v>1</v>
          </cell>
          <cell r="BN656" t="str">
            <v/>
          </cell>
          <cell r="BO656" t="str">
            <v/>
          </cell>
        </row>
        <row r="657">
          <cell r="A657">
            <v>2</v>
          </cell>
          <cell r="B657">
            <v>4472222</v>
          </cell>
          <cell r="C657" t="str">
            <v>ENTRETIEN ET REPARATIONS</v>
          </cell>
          <cell r="D657" t="str">
            <v>MACHINE 22</v>
          </cell>
          <cell r="E657" t="str">
            <v>O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2</v>
          </cell>
          <cell r="AN657" t="str">
            <v/>
          </cell>
          <cell r="AO657">
            <v>0</v>
          </cell>
          <cell r="AP657">
            <v>0</v>
          </cell>
          <cell r="AQ657">
            <v>0</v>
          </cell>
          <cell r="AR657">
            <v>720</v>
          </cell>
          <cell r="AS657">
            <v>0</v>
          </cell>
          <cell r="AT657" t="str">
            <v/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 t="str">
            <v/>
          </cell>
          <cell r="BK657">
            <v>7000</v>
          </cell>
          <cell r="BL657" t="str">
            <v>0</v>
          </cell>
          <cell r="BM657" t="str">
            <v>1</v>
          </cell>
          <cell r="BN657" t="str">
            <v/>
          </cell>
          <cell r="BO657" t="str">
            <v/>
          </cell>
        </row>
        <row r="658">
          <cell r="A658">
            <v>1</v>
          </cell>
          <cell r="B658">
            <v>4479001</v>
          </cell>
          <cell r="C658" t="str">
            <v>ENTRETIEN MACHINERIE</v>
          </cell>
          <cell r="D658" t="str">
            <v>TRANSFERT DIVISION PAPIER</v>
          </cell>
          <cell r="E658" t="str">
            <v>O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178.5</v>
          </cell>
          <cell r="AD658">
            <v>178.5</v>
          </cell>
          <cell r="AE658">
            <v>178.5</v>
          </cell>
          <cell r="AF658">
            <v>178.5</v>
          </cell>
          <cell r="AG658">
            <v>178.5</v>
          </cell>
          <cell r="AH658">
            <v>178.5</v>
          </cell>
          <cell r="AI658">
            <v>178.5</v>
          </cell>
          <cell r="AJ658">
            <v>178.5</v>
          </cell>
          <cell r="AK658">
            <v>178.5</v>
          </cell>
          <cell r="AL658">
            <v>0</v>
          </cell>
          <cell r="AM658">
            <v>1</v>
          </cell>
          <cell r="AN658" t="str">
            <v/>
          </cell>
          <cell r="AO658">
            <v>0</v>
          </cell>
          <cell r="AP658">
            <v>0</v>
          </cell>
          <cell r="AQ658">
            <v>0</v>
          </cell>
          <cell r="AR658">
            <v>720</v>
          </cell>
          <cell r="AS658">
            <v>0</v>
          </cell>
          <cell r="AT658" t="str">
            <v/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 t="str">
            <v/>
          </cell>
          <cell r="BK658">
            <v>7000</v>
          </cell>
          <cell r="BL658" t="str">
            <v>0</v>
          </cell>
          <cell r="BM658" t="str">
            <v>1</v>
          </cell>
          <cell r="BN658" t="str">
            <v/>
          </cell>
          <cell r="BO658" t="str">
            <v/>
          </cell>
        </row>
        <row r="659">
          <cell r="A659">
            <v>1</v>
          </cell>
          <cell r="B659">
            <v>4479002</v>
          </cell>
          <cell r="C659" t="str">
            <v>ENTRETIEN MACHINERIE</v>
          </cell>
          <cell r="D659" t="str">
            <v>TRANSFERT DIV. SERVIETTES</v>
          </cell>
          <cell r="E659" t="str">
            <v>O</v>
          </cell>
          <cell r="F659">
            <v>0</v>
          </cell>
          <cell r="G659">
            <v>0</v>
          </cell>
          <cell r="H659">
            <v>26071.01</v>
          </cell>
          <cell r="I659">
            <v>27825.200000000001</v>
          </cell>
          <cell r="J659">
            <v>1754.19</v>
          </cell>
          <cell r="K659">
            <v>0</v>
          </cell>
          <cell r="L659">
            <v>1784</v>
          </cell>
          <cell r="M659">
            <v>0</v>
          </cell>
          <cell r="N659">
            <v>3024.82</v>
          </cell>
          <cell r="O659">
            <v>5758.82</v>
          </cell>
          <cell r="P659">
            <v>11188.82</v>
          </cell>
          <cell r="Q659">
            <v>13310.67</v>
          </cell>
          <cell r="R659">
            <v>14253.67</v>
          </cell>
          <cell r="S659">
            <v>16282.67</v>
          </cell>
          <cell r="T659">
            <v>17728.669999999998</v>
          </cell>
          <cell r="U659">
            <v>19355.009999999998</v>
          </cell>
          <cell r="V659">
            <v>21187.01</v>
          </cell>
          <cell r="W659">
            <v>23617.01</v>
          </cell>
          <cell r="X659">
            <v>26071.01</v>
          </cell>
          <cell r="Y659">
            <v>27855.01</v>
          </cell>
          <cell r="Z659">
            <v>24320.05</v>
          </cell>
          <cell r="AA659">
            <v>45588.17</v>
          </cell>
          <cell r="AB659">
            <v>66501.460000000006</v>
          </cell>
          <cell r="AC659">
            <v>69669.119999999995</v>
          </cell>
          <cell r="AD659">
            <v>79882.55</v>
          </cell>
          <cell r="AE659">
            <v>85223.13</v>
          </cell>
          <cell r="AF659">
            <v>92419.86</v>
          </cell>
          <cell r="AG659">
            <v>99557.14</v>
          </cell>
          <cell r="AH659">
            <v>103820.27</v>
          </cell>
          <cell r="AI659">
            <v>111703.85</v>
          </cell>
          <cell r="AJ659">
            <v>116927.22</v>
          </cell>
          <cell r="AK659">
            <v>120707.81</v>
          </cell>
          <cell r="AL659">
            <v>0</v>
          </cell>
          <cell r="AM659">
            <v>2</v>
          </cell>
          <cell r="AN659" t="str">
            <v/>
          </cell>
          <cell r="AO659">
            <v>0</v>
          </cell>
          <cell r="AP659">
            <v>0</v>
          </cell>
          <cell r="AQ659">
            <v>0</v>
          </cell>
          <cell r="AR659">
            <v>720</v>
          </cell>
          <cell r="AS659">
            <v>0</v>
          </cell>
          <cell r="AT659" t="str">
            <v/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 t="str">
            <v/>
          </cell>
          <cell r="BK659">
            <v>7000</v>
          </cell>
          <cell r="BL659" t="str">
            <v>0</v>
          </cell>
          <cell r="BM659" t="str">
            <v>1</v>
          </cell>
          <cell r="BN659" t="str">
            <v/>
          </cell>
          <cell r="BO659" t="str">
            <v/>
          </cell>
        </row>
        <row r="660">
          <cell r="A660">
            <v>1</v>
          </cell>
          <cell r="B660">
            <v>4479003</v>
          </cell>
          <cell r="C660" t="str">
            <v>ENTRETIEN MACHINERIE</v>
          </cell>
          <cell r="D660" t="str">
            <v>TRANSFERT DIVISION SACS</v>
          </cell>
          <cell r="E660" t="str">
            <v>O</v>
          </cell>
          <cell r="F660">
            <v>0</v>
          </cell>
          <cell r="G660">
            <v>0</v>
          </cell>
          <cell r="H660">
            <v>26163.4</v>
          </cell>
          <cell r="I660">
            <v>28896.98</v>
          </cell>
          <cell r="J660">
            <v>2733.58</v>
          </cell>
          <cell r="K660">
            <v>0</v>
          </cell>
          <cell r="L660">
            <v>2169.42</v>
          </cell>
          <cell r="M660">
            <v>111.5</v>
          </cell>
          <cell r="N660">
            <v>2416.04</v>
          </cell>
          <cell r="O660">
            <v>8274.6</v>
          </cell>
          <cell r="P660">
            <v>10648.58</v>
          </cell>
          <cell r="Q660">
            <v>12708.28</v>
          </cell>
          <cell r="R660">
            <v>13663.94</v>
          </cell>
          <cell r="S660">
            <v>15692.94</v>
          </cell>
          <cell r="T660">
            <v>17601.939999999999</v>
          </cell>
          <cell r="U660">
            <v>19163.89</v>
          </cell>
          <cell r="V660">
            <v>21167.9</v>
          </cell>
          <cell r="W660">
            <v>23597.9</v>
          </cell>
          <cell r="X660">
            <v>26163.4</v>
          </cell>
          <cell r="Y660">
            <v>28221.32</v>
          </cell>
          <cell r="Z660">
            <v>5615.63</v>
          </cell>
          <cell r="AA660">
            <v>11014.23</v>
          </cell>
          <cell r="AB660">
            <v>16271.72</v>
          </cell>
          <cell r="AC660">
            <v>17873.66</v>
          </cell>
          <cell r="AD660">
            <v>22493.9</v>
          </cell>
          <cell r="AE660">
            <v>25543.65</v>
          </cell>
          <cell r="AF660">
            <v>28355.73</v>
          </cell>
          <cell r="AG660">
            <v>37140.39</v>
          </cell>
          <cell r="AH660">
            <v>41203.99</v>
          </cell>
          <cell r="AI660">
            <v>47203.34</v>
          </cell>
          <cell r="AJ660">
            <v>49200.55</v>
          </cell>
          <cell r="AK660">
            <v>52241.91</v>
          </cell>
          <cell r="AL660">
            <v>0</v>
          </cell>
          <cell r="AM660">
            <v>3</v>
          </cell>
          <cell r="AN660" t="str">
            <v/>
          </cell>
          <cell r="AO660">
            <v>0</v>
          </cell>
          <cell r="AP660">
            <v>0</v>
          </cell>
          <cell r="AQ660">
            <v>0</v>
          </cell>
          <cell r="AR660">
            <v>720</v>
          </cell>
          <cell r="AS660">
            <v>0</v>
          </cell>
          <cell r="AT660" t="str">
            <v/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 t="str">
            <v/>
          </cell>
          <cell r="BK660">
            <v>7000</v>
          </cell>
          <cell r="BL660" t="str">
            <v>0</v>
          </cell>
          <cell r="BM660" t="str">
            <v>1</v>
          </cell>
          <cell r="BN660" t="str">
            <v/>
          </cell>
          <cell r="BO660" t="str">
            <v/>
          </cell>
        </row>
        <row r="661">
          <cell r="A661">
            <v>1</v>
          </cell>
          <cell r="B661">
            <v>4479004</v>
          </cell>
          <cell r="C661" t="str">
            <v>ENTRETIEN MACHINERIE</v>
          </cell>
          <cell r="D661" t="str">
            <v>TRANSFERT DIVISION BOITES</v>
          </cell>
          <cell r="E661" t="str">
            <v>O</v>
          </cell>
          <cell r="F661">
            <v>0</v>
          </cell>
          <cell r="G661">
            <v>0</v>
          </cell>
          <cell r="H661">
            <v>0</v>
          </cell>
          <cell r="I661">
            <v>192278.86</v>
          </cell>
          <cell r="J661">
            <v>192278.86</v>
          </cell>
          <cell r="K661">
            <v>0</v>
          </cell>
          <cell r="L661">
            <v>17676.259999999998</v>
          </cell>
          <cell r="M661">
            <v>17676.259999999998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59.5</v>
          </cell>
          <cell r="U661">
            <v>59.5</v>
          </cell>
          <cell r="V661">
            <v>59.5</v>
          </cell>
          <cell r="W661">
            <v>59.5</v>
          </cell>
          <cell r="X661">
            <v>0</v>
          </cell>
          <cell r="Y661">
            <v>0</v>
          </cell>
          <cell r="Z661">
            <v>10770.89</v>
          </cell>
          <cell r="AA661">
            <v>-3804.16</v>
          </cell>
          <cell r="AB661">
            <v>-4096.72</v>
          </cell>
          <cell r="AC661">
            <v>-4223.55</v>
          </cell>
          <cell r="AD661">
            <v>-4093.37</v>
          </cell>
          <cell r="AE661">
            <v>-4223.6499999999996</v>
          </cell>
          <cell r="AF661">
            <v>-4223.6499999999996</v>
          </cell>
          <cell r="AG661">
            <v>-4223.6499999999996</v>
          </cell>
          <cell r="AH661">
            <v>-4223.6499999999996</v>
          </cell>
          <cell r="AI661">
            <v>-4208.6499999999996</v>
          </cell>
          <cell r="AJ661">
            <v>-4208.6499999999996</v>
          </cell>
          <cell r="AK661">
            <v>-4208.6499999999996</v>
          </cell>
          <cell r="AL661">
            <v>0</v>
          </cell>
          <cell r="AM661">
            <v>4</v>
          </cell>
          <cell r="AN661" t="str">
            <v/>
          </cell>
          <cell r="AO661">
            <v>0</v>
          </cell>
          <cell r="AP661">
            <v>0</v>
          </cell>
          <cell r="AQ661">
            <v>0</v>
          </cell>
          <cell r="AR661">
            <v>720</v>
          </cell>
          <cell r="AS661">
            <v>0</v>
          </cell>
          <cell r="AT661" t="str">
            <v/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 t="str">
            <v/>
          </cell>
          <cell r="BK661">
            <v>7000</v>
          </cell>
          <cell r="BL661" t="str">
            <v>0</v>
          </cell>
          <cell r="BM661" t="str">
            <v>1</v>
          </cell>
          <cell r="BN661" t="str">
            <v/>
          </cell>
          <cell r="BO661" t="str">
            <v/>
          </cell>
        </row>
        <row r="662">
          <cell r="A662">
            <v>1</v>
          </cell>
          <cell r="B662">
            <v>4552011</v>
          </cell>
          <cell r="C662" t="str">
            <v>MATERIEL ROULANT</v>
          </cell>
          <cell r="D662" t="str">
            <v>CAMION ESSENCE</v>
          </cell>
          <cell r="E662" t="str">
            <v>O</v>
          </cell>
          <cell r="F662">
            <v>0</v>
          </cell>
          <cell r="G662">
            <v>0</v>
          </cell>
          <cell r="H662">
            <v>1662.76</v>
          </cell>
          <cell r="I662">
            <v>1803.36</v>
          </cell>
          <cell r="J662">
            <v>140.6</v>
          </cell>
          <cell r="K662">
            <v>0</v>
          </cell>
          <cell r="L662">
            <v>293.87</v>
          </cell>
          <cell r="M662">
            <v>0</v>
          </cell>
          <cell r="N662">
            <v>160.24</v>
          </cell>
          <cell r="O662">
            <v>300.83999999999997</v>
          </cell>
          <cell r="P662">
            <v>388.16</v>
          </cell>
          <cell r="Q662">
            <v>388.16</v>
          </cell>
          <cell r="R662">
            <v>422.27</v>
          </cell>
          <cell r="S662">
            <v>586.76</v>
          </cell>
          <cell r="T662">
            <v>663.76</v>
          </cell>
          <cell r="U662">
            <v>1039.8</v>
          </cell>
          <cell r="V662">
            <v>1381.97</v>
          </cell>
          <cell r="W662">
            <v>1482.83</v>
          </cell>
          <cell r="X662">
            <v>1662.76</v>
          </cell>
          <cell r="Y662">
            <v>1956.63</v>
          </cell>
          <cell r="Z662">
            <v>20.309999999999999</v>
          </cell>
          <cell r="AA662">
            <v>114.85</v>
          </cell>
          <cell r="AB662">
            <v>145.35</v>
          </cell>
          <cell r="AC662">
            <v>227.57</v>
          </cell>
          <cell r="AD662">
            <v>233.15</v>
          </cell>
          <cell r="AE662">
            <v>381.98</v>
          </cell>
          <cell r="AF662">
            <v>770.52</v>
          </cell>
          <cell r="AG662">
            <v>1190.26</v>
          </cell>
          <cell r="AH662">
            <v>1384.94</v>
          </cell>
          <cell r="AI662">
            <v>1564.59</v>
          </cell>
          <cell r="AJ662">
            <v>1925.4</v>
          </cell>
          <cell r="AK662">
            <v>2155.92</v>
          </cell>
          <cell r="AL662">
            <v>0</v>
          </cell>
          <cell r="AM662">
            <v>1</v>
          </cell>
          <cell r="AN662" t="str">
            <v/>
          </cell>
          <cell r="AO662">
            <v>0</v>
          </cell>
          <cell r="AP662">
            <v>0</v>
          </cell>
          <cell r="AQ662">
            <v>0</v>
          </cell>
          <cell r="AR662">
            <v>750</v>
          </cell>
          <cell r="AS662">
            <v>0</v>
          </cell>
          <cell r="AT662" t="str">
            <v/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 t="str">
            <v/>
          </cell>
          <cell r="BK662">
            <v>7000</v>
          </cell>
          <cell r="BL662" t="str">
            <v>0</v>
          </cell>
          <cell r="BM662" t="str">
            <v>1</v>
          </cell>
          <cell r="BN662" t="str">
            <v/>
          </cell>
          <cell r="BO662" t="str">
            <v/>
          </cell>
        </row>
        <row r="663">
          <cell r="A663">
            <v>1</v>
          </cell>
          <cell r="B663">
            <v>4552021</v>
          </cell>
          <cell r="C663" t="str">
            <v>MATERIEL ROULANT</v>
          </cell>
          <cell r="D663" t="str">
            <v>CAMION PLAQUES</v>
          </cell>
          <cell r="E663" t="str">
            <v>O</v>
          </cell>
          <cell r="F663">
            <v>0</v>
          </cell>
          <cell r="G663">
            <v>0</v>
          </cell>
          <cell r="H663">
            <v>1230.5</v>
          </cell>
          <cell r="I663">
            <v>1577</v>
          </cell>
          <cell r="J663">
            <v>346.5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1230.5</v>
          </cell>
          <cell r="Q663">
            <v>1230.5</v>
          </cell>
          <cell r="R663">
            <v>1230.5</v>
          </cell>
          <cell r="S663">
            <v>1230.5</v>
          </cell>
          <cell r="T663">
            <v>1230.5</v>
          </cell>
          <cell r="U663">
            <v>1230.5</v>
          </cell>
          <cell r="V663">
            <v>1230.5</v>
          </cell>
          <cell r="W663">
            <v>1230.5</v>
          </cell>
          <cell r="X663">
            <v>1230.5</v>
          </cell>
          <cell r="Y663">
            <v>1230.5</v>
          </cell>
          <cell r="Z663">
            <v>0</v>
          </cell>
          <cell r="AA663">
            <v>0</v>
          </cell>
          <cell r="AB663">
            <v>884</v>
          </cell>
          <cell r="AC663">
            <v>884</v>
          </cell>
          <cell r="AD663">
            <v>884</v>
          </cell>
          <cell r="AE663">
            <v>884</v>
          </cell>
          <cell r="AF663">
            <v>884</v>
          </cell>
          <cell r="AG663">
            <v>884</v>
          </cell>
          <cell r="AH663">
            <v>884</v>
          </cell>
          <cell r="AI663">
            <v>884</v>
          </cell>
          <cell r="AJ663">
            <v>884</v>
          </cell>
          <cell r="AK663">
            <v>884</v>
          </cell>
          <cell r="AL663">
            <v>0</v>
          </cell>
          <cell r="AM663">
            <v>1</v>
          </cell>
          <cell r="AN663" t="str">
            <v/>
          </cell>
          <cell r="AO663">
            <v>0</v>
          </cell>
          <cell r="AP663">
            <v>0</v>
          </cell>
          <cell r="AQ663">
            <v>0</v>
          </cell>
          <cell r="AR663">
            <v>750</v>
          </cell>
          <cell r="AS663">
            <v>0</v>
          </cell>
          <cell r="AT663" t="str">
            <v/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 t="str">
            <v/>
          </cell>
          <cell r="BK663">
            <v>7000</v>
          </cell>
          <cell r="BL663" t="str">
            <v>0</v>
          </cell>
          <cell r="BM663" t="str">
            <v>1</v>
          </cell>
          <cell r="BN663" t="str">
            <v/>
          </cell>
          <cell r="BO663" t="str">
            <v/>
          </cell>
        </row>
        <row r="664">
          <cell r="A664">
            <v>2</v>
          </cell>
          <cell r="B664">
            <v>4552031</v>
          </cell>
          <cell r="C664" t="str">
            <v>MATERIEL ROULANT</v>
          </cell>
          <cell r="D664" t="str">
            <v>CAMION 3 TONNES</v>
          </cell>
          <cell r="E664" t="str">
            <v>O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1</v>
          </cell>
          <cell r="AN664" t="str">
            <v/>
          </cell>
          <cell r="AO664">
            <v>0</v>
          </cell>
          <cell r="AP664">
            <v>0</v>
          </cell>
          <cell r="AQ664">
            <v>0</v>
          </cell>
          <cell r="AR664">
            <v>750</v>
          </cell>
          <cell r="AS664">
            <v>0</v>
          </cell>
          <cell r="AT664" t="str">
            <v/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 t="str">
            <v/>
          </cell>
          <cell r="BK664">
            <v>7000</v>
          </cell>
          <cell r="BL664" t="str">
            <v>0</v>
          </cell>
          <cell r="BM664" t="str">
            <v>1</v>
          </cell>
          <cell r="BN664" t="str">
            <v/>
          </cell>
          <cell r="BO664" t="str">
            <v/>
          </cell>
        </row>
        <row r="665">
          <cell r="A665">
            <v>2</v>
          </cell>
          <cell r="B665">
            <v>4552041</v>
          </cell>
          <cell r="C665" t="str">
            <v>MATERIEL ROULANT</v>
          </cell>
          <cell r="D665" t="str">
            <v>PICK UP TOYOTA 262</v>
          </cell>
          <cell r="E665" t="str">
            <v>O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1</v>
          </cell>
          <cell r="AN665" t="str">
            <v/>
          </cell>
          <cell r="AO665">
            <v>0</v>
          </cell>
          <cell r="AP665">
            <v>0</v>
          </cell>
          <cell r="AQ665">
            <v>0</v>
          </cell>
          <cell r="AR665">
            <v>750</v>
          </cell>
          <cell r="AS665">
            <v>0</v>
          </cell>
          <cell r="AT665" t="str">
            <v/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 t="str">
            <v/>
          </cell>
          <cell r="BK665">
            <v>7000</v>
          </cell>
          <cell r="BL665" t="str">
            <v>0</v>
          </cell>
          <cell r="BM665" t="str">
            <v>1</v>
          </cell>
          <cell r="BN665" t="str">
            <v/>
          </cell>
          <cell r="BO665" t="str">
            <v/>
          </cell>
        </row>
        <row r="666">
          <cell r="A666">
            <v>1</v>
          </cell>
          <cell r="B666">
            <v>4554001</v>
          </cell>
          <cell r="C666" t="str">
            <v>MATERIEL ROULANT</v>
          </cell>
          <cell r="D666" t="str">
            <v>CHARIOT ELEVATEUR PROPANE</v>
          </cell>
          <cell r="E666" t="str">
            <v>O</v>
          </cell>
          <cell r="F666">
            <v>0</v>
          </cell>
          <cell r="G666">
            <v>0</v>
          </cell>
          <cell r="H666">
            <v>41451.78</v>
          </cell>
          <cell r="I666">
            <v>79604.77</v>
          </cell>
          <cell r="J666">
            <v>38152.99</v>
          </cell>
          <cell r="K666">
            <v>0</v>
          </cell>
          <cell r="L666">
            <v>6574.78</v>
          </cell>
          <cell r="M666">
            <v>1928.34</v>
          </cell>
          <cell r="N666">
            <v>1215.6199999999999</v>
          </cell>
          <cell r="O666">
            <v>8862.77</v>
          </cell>
          <cell r="P666">
            <v>12568.76</v>
          </cell>
          <cell r="Q666">
            <v>16732.11</v>
          </cell>
          <cell r="R666">
            <v>20350.419999999998</v>
          </cell>
          <cell r="S666">
            <v>23582.86</v>
          </cell>
          <cell r="T666">
            <v>25368.73</v>
          </cell>
          <cell r="U666">
            <v>28878.74</v>
          </cell>
          <cell r="V666">
            <v>32467.3</v>
          </cell>
          <cell r="W666">
            <v>36948.9</v>
          </cell>
          <cell r="X666">
            <v>41451.78</v>
          </cell>
          <cell r="Y666">
            <v>46098.22</v>
          </cell>
          <cell r="Z666">
            <v>6904</v>
          </cell>
          <cell r="AA666">
            <v>8739.75</v>
          </cell>
          <cell r="AB666">
            <v>11254.64</v>
          </cell>
          <cell r="AC666">
            <v>12207.24</v>
          </cell>
          <cell r="AD666">
            <v>12207.24</v>
          </cell>
          <cell r="AE666">
            <v>15601.48</v>
          </cell>
          <cell r="AF666">
            <v>17781.64</v>
          </cell>
          <cell r="AG666">
            <v>23422.67</v>
          </cell>
          <cell r="AH666">
            <v>27338.639999999999</v>
          </cell>
          <cell r="AI666">
            <v>30353.83</v>
          </cell>
          <cell r="AJ666">
            <v>36324.629999999997</v>
          </cell>
          <cell r="AK666">
            <v>42308.05</v>
          </cell>
          <cell r="AL666">
            <v>0</v>
          </cell>
          <cell r="AM666">
            <v>1</v>
          </cell>
          <cell r="AN666" t="str">
            <v/>
          </cell>
          <cell r="AO666">
            <v>0</v>
          </cell>
          <cell r="AP666">
            <v>0</v>
          </cell>
          <cell r="AQ666">
            <v>0</v>
          </cell>
          <cell r="AR666">
            <v>750</v>
          </cell>
          <cell r="AS666">
            <v>0</v>
          </cell>
          <cell r="AT666" t="str">
            <v/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 t="str">
            <v/>
          </cell>
          <cell r="BK666">
            <v>7000</v>
          </cell>
          <cell r="BL666" t="str">
            <v>0</v>
          </cell>
          <cell r="BM666" t="str">
            <v>1</v>
          </cell>
          <cell r="BN666" t="str">
            <v/>
          </cell>
          <cell r="BO666" t="str">
            <v/>
          </cell>
        </row>
        <row r="667">
          <cell r="A667">
            <v>1</v>
          </cell>
          <cell r="B667">
            <v>4554011</v>
          </cell>
          <cell r="C667" t="str">
            <v>MATERIEL ROULANT</v>
          </cell>
          <cell r="D667" t="str">
            <v>LOCATION CHARIOT ELEVATEU</v>
          </cell>
          <cell r="E667" t="str">
            <v>O</v>
          </cell>
          <cell r="F667">
            <v>0</v>
          </cell>
          <cell r="G667">
            <v>0</v>
          </cell>
          <cell r="H667">
            <v>1015.75</v>
          </cell>
          <cell r="I667">
            <v>1015.75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1015.75</v>
          </cell>
          <cell r="X667">
            <v>1015.75</v>
          </cell>
          <cell r="Y667">
            <v>1015.75</v>
          </cell>
          <cell r="Z667">
            <v>6980.1</v>
          </cell>
          <cell r="AA667">
            <v>10011.34</v>
          </cell>
          <cell r="AB667">
            <v>15085.35</v>
          </cell>
          <cell r="AC667">
            <v>19255.82</v>
          </cell>
          <cell r="AD667">
            <v>25025.439999999999</v>
          </cell>
          <cell r="AE667">
            <v>31934.35</v>
          </cell>
          <cell r="AF667">
            <v>37882.449999999997</v>
          </cell>
          <cell r="AG667">
            <v>37882.449999999997</v>
          </cell>
          <cell r="AH667">
            <v>40634.449999999997</v>
          </cell>
          <cell r="AI667">
            <v>43188.65</v>
          </cell>
          <cell r="AJ667">
            <v>43188.65</v>
          </cell>
          <cell r="AK667">
            <v>43188.65</v>
          </cell>
          <cell r="AL667">
            <v>0</v>
          </cell>
          <cell r="AM667">
            <v>1</v>
          </cell>
          <cell r="AN667" t="str">
            <v/>
          </cell>
          <cell r="AO667">
            <v>0</v>
          </cell>
          <cell r="AP667">
            <v>0</v>
          </cell>
          <cell r="AQ667">
            <v>0</v>
          </cell>
          <cell r="AR667">
            <v>750</v>
          </cell>
          <cell r="AS667">
            <v>0</v>
          </cell>
          <cell r="AT667" t="str">
            <v/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 t="str">
            <v/>
          </cell>
          <cell r="BK667">
            <v>7000</v>
          </cell>
          <cell r="BL667" t="str">
            <v>0</v>
          </cell>
          <cell r="BM667" t="str">
            <v>1</v>
          </cell>
          <cell r="BN667" t="str">
            <v/>
          </cell>
          <cell r="BO667" t="str">
            <v/>
          </cell>
        </row>
        <row r="668">
          <cell r="A668">
            <v>1</v>
          </cell>
          <cell r="B668">
            <v>4555001</v>
          </cell>
          <cell r="C668" t="str">
            <v>MATERIEL ROULANT</v>
          </cell>
          <cell r="D668" t="str">
            <v>ENT.CHARIOT - BOB CAT 260</v>
          </cell>
          <cell r="E668" t="str">
            <v>O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8929.56</v>
          </cell>
          <cell r="AG668">
            <v>8929.56</v>
          </cell>
          <cell r="AH668">
            <v>8929.56</v>
          </cell>
          <cell r="AI668">
            <v>8929.56</v>
          </cell>
          <cell r="AJ668">
            <v>8929.56</v>
          </cell>
          <cell r="AK668">
            <v>10576.16</v>
          </cell>
          <cell r="AL668">
            <v>0</v>
          </cell>
          <cell r="AM668">
            <v>1</v>
          </cell>
          <cell r="AN668" t="str">
            <v/>
          </cell>
          <cell r="AO668">
            <v>0</v>
          </cell>
          <cell r="AP668">
            <v>0</v>
          </cell>
          <cell r="AQ668">
            <v>0</v>
          </cell>
          <cell r="AR668">
            <v>750</v>
          </cell>
          <cell r="AS668">
            <v>0</v>
          </cell>
          <cell r="AT668" t="str">
            <v/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 t="str">
            <v/>
          </cell>
          <cell r="BK668">
            <v>7000</v>
          </cell>
          <cell r="BL668" t="str">
            <v>0</v>
          </cell>
          <cell r="BM668" t="str">
            <v>1</v>
          </cell>
          <cell r="BN668" t="str">
            <v/>
          </cell>
          <cell r="BO668" t="str">
            <v/>
          </cell>
        </row>
        <row r="669">
          <cell r="A669">
            <v>2</v>
          </cell>
          <cell r="B669">
            <v>4555011</v>
          </cell>
          <cell r="C669" t="str">
            <v>MATERIEL ROULANT</v>
          </cell>
          <cell r="D669" t="str">
            <v>ENT. CHARIOTS - LIFTS 94</v>
          </cell>
          <cell r="E669" t="str">
            <v>O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1</v>
          </cell>
          <cell r="AN669" t="str">
            <v/>
          </cell>
          <cell r="AO669">
            <v>0</v>
          </cell>
          <cell r="AP669">
            <v>0</v>
          </cell>
          <cell r="AQ669">
            <v>0</v>
          </cell>
          <cell r="AR669">
            <v>750</v>
          </cell>
          <cell r="AS669">
            <v>0</v>
          </cell>
          <cell r="AT669" t="str">
            <v/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 t="str">
            <v/>
          </cell>
          <cell r="BK669">
            <v>7000</v>
          </cell>
          <cell r="BL669" t="str">
            <v>0</v>
          </cell>
          <cell r="BM669" t="str">
            <v>1</v>
          </cell>
          <cell r="BN669" t="str">
            <v/>
          </cell>
          <cell r="BO669" t="str">
            <v/>
          </cell>
        </row>
        <row r="670">
          <cell r="A670">
            <v>2</v>
          </cell>
          <cell r="B670">
            <v>4555021</v>
          </cell>
          <cell r="C670" t="str">
            <v>MATERIEL ROULANT</v>
          </cell>
          <cell r="D670" t="str">
            <v>ENT. CHARIOTS - LIFTS 94</v>
          </cell>
          <cell r="E670" t="str">
            <v>O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1</v>
          </cell>
          <cell r="AN670" t="str">
            <v/>
          </cell>
          <cell r="AO670">
            <v>0</v>
          </cell>
          <cell r="AP670">
            <v>0</v>
          </cell>
          <cell r="AQ670">
            <v>0</v>
          </cell>
          <cell r="AR670">
            <v>750</v>
          </cell>
          <cell r="AS670">
            <v>0</v>
          </cell>
          <cell r="AT670" t="str">
            <v/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 t="str">
            <v/>
          </cell>
          <cell r="BK670">
            <v>7000</v>
          </cell>
          <cell r="BL670" t="str">
            <v>0</v>
          </cell>
          <cell r="BM670" t="str">
            <v>1</v>
          </cell>
          <cell r="BN670" t="str">
            <v/>
          </cell>
          <cell r="BO670" t="str">
            <v/>
          </cell>
        </row>
        <row r="671">
          <cell r="A671">
            <v>2</v>
          </cell>
          <cell r="B671">
            <v>4555031</v>
          </cell>
          <cell r="C671" t="str">
            <v>MATERIEL ROULANT</v>
          </cell>
          <cell r="D671" t="str">
            <v>ENT. CHARIOTS - LIFT 266</v>
          </cell>
          <cell r="E671" t="str">
            <v>O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1</v>
          </cell>
          <cell r="AN671" t="str">
            <v/>
          </cell>
          <cell r="AO671">
            <v>0</v>
          </cell>
          <cell r="AP671">
            <v>0</v>
          </cell>
          <cell r="AQ671">
            <v>0</v>
          </cell>
          <cell r="AR671">
            <v>750</v>
          </cell>
          <cell r="AS671">
            <v>0</v>
          </cell>
          <cell r="AT671" t="str">
            <v/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 t="str">
            <v/>
          </cell>
          <cell r="BK671">
            <v>7000</v>
          </cell>
          <cell r="BL671" t="str">
            <v>0</v>
          </cell>
          <cell r="BM671" t="str">
            <v>1</v>
          </cell>
          <cell r="BN671" t="str">
            <v/>
          </cell>
          <cell r="BO671" t="str">
            <v/>
          </cell>
        </row>
        <row r="672">
          <cell r="A672">
            <v>2</v>
          </cell>
          <cell r="B672">
            <v>4555041</v>
          </cell>
          <cell r="C672" t="str">
            <v>MATERIEL ROULANT</v>
          </cell>
          <cell r="D672" t="str">
            <v>ENT. CHARIOTS - LIFT 267</v>
          </cell>
          <cell r="E672" t="str">
            <v>O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1</v>
          </cell>
          <cell r="AN672" t="str">
            <v/>
          </cell>
          <cell r="AO672">
            <v>0</v>
          </cell>
          <cell r="AP672">
            <v>0</v>
          </cell>
          <cell r="AQ672">
            <v>0</v>
          </cell>
          <cell r="AR672">
            <v>750</v>
          </cell>
          <cell r="AS672">
            <v>0</v>
          </cell>
          <cell r="AT672" t="str">
            <v/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 t="str">
            <v/>
          </cell>
          <cell r="BK672">
            <v>7000</v>
          </cell>
          <cell r="BL672" t="str">
            <v>0</v>
          </cell>
          <cell r="BM672" t="str">
            <v>1</v>
          </cell>
          <cell r="BN672" t="str">
            <v/>
          </cell>
          <cell r="BO672" t="str">
            <v/>
          </cell>
        </row>
        <row r="673">
          <cell r="A673">
            <v>2</v>
          </cell>
          <cell r="B673">
            <v>4555051</v>
          </cell>
          <cell r="C673" t="str">
            <v>MATERIEL ROULANT</v>
          </cell>
          <cell r="D673" t="str">
            <v>ENT. CHARIOTS - LIFT 268</v>
          </cell>
          <cell r="E673" t="str">
            <v>O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1</v>
          </cell>
          <cell r="AN673" t="str">
            <v/>
          </cell>
          <cell r="AO673">
            <v>0</v>
          </cell>
          <cell r="AP673">
            <v>0</v>
          </cell>
          <cell r="AQ673">
            <v>0</v>
          </cell>
          <cell r="AR673">
            <v>750</v>
          </cell>
          <cell r="AS673">
            <v>0</v>
          </cell>
          <cell r="AT673" t="str">
            <v/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 t="str">
            <v/>
          </cell>
          <cell r="BK673">
            <v>7000</v>
          </cell>
          <cell r="BL673" t="str">
            <v>0</v>
          </cell>
          <cell r="BM673" t="str">
            <v>1</v>
          </cell>
          <cell r="BN673" t="str">
            <v/>
          </cell>
          <cell r="BO673" t="str">
            <v/>
          </cell>
        </row>
        <row r="674">
          <cell r="A674">
            <v>2</v>
          </cell>
          <cell r="B674">
            <v>4555061</v>
          </cell>
          <cell r="C674" t="str">
            <v>MATERIEL ROULANT</v>
          </cell>
          <cell r="D674" t="str">
            <v>ENT. CHARIOT NOUVEAU LIFT</v>
          </cell>
          <cell r="E674" t="str">
            <v>O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1</v>
          </cell>
          <cell r="AN674" t="str">
            <v/>
          </cell>
          <cell r="AO674">
            <v>0</v>
          </cell>
          <cell r="AP674">
            <v>0</v>
          </cell>
          <cell r="AQ674">
            <v>0</v>
          </cell>
          <cell r="AR674">
            <v>750</v>
          </cell>
          <cell r="AS674">
            <v>0</v>
          </cell>
          <cell r="AT674" t="str">
            <v/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 t="str">
            <v/>
          </cell>
          <cell r="BK674">
            <v>7000</v>
          </cell>
          <cell r="BL674" t="str">
            <v>0</v>
          </cell>
          <cell r="BM674" t="str">
            <v>1</v>
          </cell>
          <cell r="BN674" t="str">
            <v/>
          </cell>
          <cell r="BO674" t="str">
            <v/>
          </cell>
        </row>
        <row r="675">
          <cell r="A675">
            <v>2</v>
          </cell>
          <cell r="B675">
            <v>4555071</v>
          </cell>
          <cell r="C675" t="str">
            <v>MATERIEL ROULANT</v>
          </cell>
          <cell r="D675" t="str">
            <v>ENT. CHARIOT-RAYMOND  276</v>
          </cell>
          <cell r="E675" t="str">
            <v>O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1</v>
          </cell>
          <cell r="AN675" t="str">
            <v/>
          </cell>
          <cell r="AO675">
            <v>0</v>
          </cell>
          <cell r="AP675">
            <v>0</v>
          </cell>
          <cell r="AQ675">
            <v>0</v>
          </cell>
          <cell r="AR675">
            <v>750</v>
          </cell>
          <cell r="AS675">
            <v>0</v>
          </cell>
          <cell r="AT675" t="str">
            <v/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 t="str">
            <v/>
          </cell>
          <cell r="BK675">
            <v>7000</v>
          </cell>
          <cell r="BL675" t="str">
            <v>0</v>
          </cell>
          <cell r="BM675" t="str">
            <v>1</v>
          </cell>
          <cell r="BN675" t="str">
            <v/>
          </cell>
          <cell r="BO675" t="str">
            <v/>
          </cell>
        </row>
        <row r="676">
          <cell r="A676">
            <v>2</v>
          </cell>
          <cell r="B676">
            <v>4555081</v>
          </cell>
          <cell r="C676" t="str">
            <v>MATERIEL ROULANT</v>
          </cell>
          <cell r="D676" t="str">
            <v>ENT. CHARIOT-RAYMOND  277</v>
          </cell>
          <cell r="E676" t="str">
            <v>O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1</v>
          </cell>
          <cell r="AN676" t="str">
            <v/>
          </cell>
          <cell r="AO676">
            <v>0</v>
          </cell>
          <cell r="AP676">
            <v>0</v>
          </cell>
          <cell r="AQ676">
            <v>0</v>
          </cell>
          <cell r="AR676">
            <v>750</v>
          </cell>
          <cell r="AS676">
            <v>0</v>
          </cell>
          <cell r="AT676" t="str">
            <v/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 t="str">
            <v/>
          </cell>
          <cell r="BK676">
            <v>7000</v>
          </cell>
          <cell r="BL676" t="str">
            <v>0</v>
          </cell>
          <cell r="BM676" t="str">
            <v>1</v>
          </cell>
          <cell r="BN676" t="str">
            <v/>
          </cell>
          <cell r="BO676" t="str">
            <v/>
          </cell>
        </row>
        <row r="677">
          <cell r="A677">
            <v>2</v>
          </cell>
          <cell r="B677">
            <v>4555091</v>
          </cell>
          <cell r="C677" t="str">
            <v>MATERIEL ROULANT</v>
          </cell>
          <cell r="D677" t="str">
            <v>ENT. CHARIOTS - CLARK 280</v>
          </cell>
          <cell r="E677" t="str">
            <v>O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1</v>
          </cell>
          <cell r="AN677" t="str">
            <v/>
          </cell>
          <cell r="AO677">
            <v>0</v>
          </cell>
          <cell r="AP677">
            <v>0</v>
          </cell>
          <cell r="AQ677">
            <v>0</v>
          </cell>
          <cell r="AR677">
            <v>750</v>
          </cell>
          <cell r="AS677">
            <v>0</v>
          </cell>
          <cell r="AT677" t="str">
            <v/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 t="str">
            <v/>
          </cell>
          <cell r="BK677">
            <v>7000</v>
          </cell>
          <cell r="BL677" t="str">
            <v>0</v>
          </cell>
          <cell r="BM677" t="str">
            <v>1</v>
          </cell>
          <cell r="BN677" t="str">
            <v/>
          </cell>
          <cell r="BO677" t="str">
            <v/>
          </cell>
        </row>
        <row r="678">
          <cell r="A678">
            <v>2</v>
          </cell>
          <cell r="B678">
            <v>4555101</v>
          </cell>
          <cell r="C678" t="str">
            <v>MATERIEL ROULANT</v>
          </cell>
          <cell r="D678" t="str">
            <v>ENT. CHARIOTS - CLARK 281</v>
          </cell>
          <cell r="E678" t="str">
            <v>O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1</v>
          </cell>
          <cell r="AN678" t="str">
            <v/>
          </cell>
          <cell r="AO678">
            <v>0</v>
          </cell>
          <cell r="AP678">
            <v>0</v>
          </cell>
          <cell r="AQ678">
            <v>0</v>
          </cell>
          <cell r="AR678">
            <v>750</v>
          </cell>
          <cell r="AS678">
            <v>0</v>
          </cell>
          <cell r="AT678" t="str">
            <v/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 t="str">
            <v/>
          </cell>
          <cell r="BK678">
            <v>7000</v>
          </cell>
          <cell r="BL678" t="str">
            <v>0</v>
          </cell>
          <cell r="BM678" t="str">
            <v>1</v>
          </cell>
          <cell r="BN678" t="str">
            <v/>
          </cell>
          <cell r="BO678" t="str">
            <v/>
          </cell>
        </row>
        <row r="679">
          <cell r="A679">
            <v>2</v>
          </cell>
          <cell r="B679">
            <v>4555111</v>
          </cell>
          <cell r="C679" t="str">
            <v>MATERIEL ROULANT</v>
          </cell>
          <cell r="D679" t="str">
            <v>ENT. CHARIOTS - CLARK 282</v>
          </cell>
          <cell r="E679" t="str">
            <v>O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1</v>
          </cell>
          <cell r="AN679" t="str">
            <v/>
          </cell>
          <cell r="AO679">
            <v>0</v>
          </cell>
          <cell r="AP679">
            <v>0</v>
          </cell>
          <cell r="AQ679">
            <v>0</v>
          </cell>
          <cell r="AR679">
            <v>750</v>
          </cell>
          <cell r="AS679">
            <v>0</v>
          </cell>
          <cell r="AT679" t="str">
            <v/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 t="str">
            <v/>
          </cell>
          <cell r="BK679">
            <v>7000</v>
          </cell>
          <cell r="BL679" t="str">
            <v>0</v>
          </cell>
          <cell r="BM679" t="str">
            <v>1</v>
          </cell>
          <cell r="BN679" t="str">
            <v/>
          </cell>
          <cell r="BO679" t="str">
            <v/>
          </cell>
        </row>
        <row r="680">
          <cell r="A680">
            <v>2</v>
          </cell>
          <cell r="B680">
            <v>4555121</v>
          </cell>
          <cell r="C680" t="str">
            <v>MATERIEL ROULANT</v>
          </cell>
          <cell r="D680" t="str">
            <v>ENT. CHARIOTS - CLARK 283</v>
          </cell>
          <cell r="E680" t="str">
            <v>O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1</v>
          </cell>
          <cell r="AN680" t="str">
            <v/>
          </cell>
          <cell r="AO680">
            <v>0</v>
          </cell>
          <cell r="AP680">
            <v>0</v>
          </cell>
          <cell r="AQ680">
            <v>0</v>
          </cell>
          <cell r="AR680">
            <v>750</v>
          </cell>
          <cell r="AS680">
            <v>0</v>
          </cell>
          <cell r="AT680" t="str">
            <v/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 t="str">
            <v/>
          </cell>
          <cell r="BK680">
            <v>7000</v>
          </cell>
          <cell r="BL680" t="str">
            <v>0</v>
          </cell>
          <cell r="BM680" t="str">
            <v>1</v>
          </cell>
          <cell r="BN680" t="str">
            <v/>
          </cell>
          <cell r="BO680" t="str">
            <v/>
          </cell>
        </row>
        <row r="681">
          <cell r="A681">
            <v>2</v>
          </cell>
          <cell r="B681">
            <v>4555131</v>
          </cell>
          <cell r="C681" t="str">
            <v>MATERIEL ROULANT</v>
          </cell>
          <cell r="D681" t="str">
            <v>ENT. CHARIOTS - CLARK 284</v>
          </cell>
          <cell r="E681" t="str">
            <v>O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1</v>
          </cell>
          <cell r="AN681" t="str">
            <v/>
          </cell>
          <cell r="AO681">
            <v>0</v>
          </cell>
          <cell r="AP681">
            <v>0</v>
          </cell>
          <cell r="AQ681">
            <v>0</v>
          </cell>
          <cell r="AR681">
            <v>750</v>
          </cell>
          <cell r="AS681">
            <v>0</v>
          </cell>
          <cell r="AT681" t="str">
            <v/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 t="str">
            <v/>
          </cell>
          <cell r="BK681">
            <v>7000</v>
          </cell>
          <cell r="BL681" t="str">
            <v>0</v>
          </cell>
          <cell r="BM681" t="str">
            <v>1</v>
          </cell>
          <cell r="BN681" t="str">
            <v/>
          </cell>
          <cell r="BO681" t="str">
            <v/>
          </cell>
        </row>
        <row r="682">
          <cell r="A682">
            <v>2</v>
          </cell>
          <cell r="B682">
            <v>4555141</v>
          </cell>
          <cell r="C682" t="str">
            <v>MATERIEL ROULANT</v>
          </cell>
          <cell r="D682" t="str">
            <v>ENT. CHARIOTS - CLARK 285</v>
          </cell>
          <cell r="E682" t="str">
            <v>O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1</v>
          </cell>
          <cell r="AN682" t="str">
            <v/>
          </cell>
          <cell r="AO682">
            <v>0</v>
          </cell>
          <cell r="AP682">
            <v>0</v>
          </cell>
          <cell r="AQ682">
            <v>0</v>
          </cell>
          <cell r="AR682">
            <v>750</v>
          </cell>
          <cell r="AS682">
            <v>0</v>
          </cell>
          <cell r="AT682" t="str">
            <v/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 t="str">
            <v/>
          </cell>
          <cell r="BK682">
            <v>7000</v>
          </cell>
          <cell r="BL682" t="str">
            <v>0</v>
          </cell>
          <cell r="BM682" t="str">
            <v>1</v>
          </cell>
          <cell r="BN682" t="str">
            <v/>
          </cell>
          <cell r="BO682" t="str">
            <v/>
          </cell>
        </row>
        <row r="683">
          <cell r="A683">
            <v>2</v>
          </cell>
          <cell r="B683">
            <v>4555151</v>
          </cell>
          <cell r="C683" t="str">
            <v>MATERIEL ROULANT</v>
          </cell>
          <cell r="D683" t="str">
            <v>ENT. CHARIOTS - CLARK 287</v>
          </cell>
          <cell r="E683" t="str">
            <v>O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1</v>
          </cell>
          <cell r="AN683" t="str">
            <v/>
          </cell>
          <cell r="AO683">
            <v>0</v>
          </cell>
          <cell r="AP683">
            <v>0</v>
          </cell>
          <cell r="AQ683">
            <v>0</v>
          </cell>
          <cell r="AR683">
            <v>750</v>
          </cell>
          <cell r="AS683">
            <v>0</v>
          </cell>
          <cell r="AT683" t="str">
            <v/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 t="str">
            <v/>
          </cell>
          <cell r="BK683">
            <v>7000</v>
          </cell>
          <cell r="BL683" t="str">
            <v>0</v>
          </cell>
          <cell r="BM683" t="str">
            <v>1</v>
          </cell>
          <cell r="BN683" t="str">
            <v/>
          </cell>
          <cell r="BO683" t="str">
            <v/>
          </cell>
        </row>
        <row r="684">
          <cell r="A684">
            <v>2</v>
          </cell>
          <cell r="B684">
            <v>4555161</v>
          </cell>
          <cell r="C684" t="str">
            <v>MATERIEL ROULANT</v>
          </cell>
          <cell r="D684" t="str">
            <v>ENT. CHARIOTS - CLARK 288</v>
          </cell>
          <cell r="E684" t="str">
            <v>O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1</v>
          </cell>
          <cell r="AN684" t="str">
            <v/>
          </cell>
          <cell r="AO684">
            <v>0</v>
          </cell>
          <cell r="AP684">
            <v>0</v>
          </cell>
          <cell r="AQ684">
            <v>0</v>
          </cell>
          <cell r="AR684">
            <v>750</v>
          </cell>
          <cell r="AS684">
            <v>0</v>
          </cell>
          <cell r="AT684" t="str">
            <v/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 t="str">
            <v/>
          </cell>
          <cell r="BK684">
            <v>7000</v>
          </cell>
          <cell r="BL684" t="str">
            <v>0</v>
          </cell>
          <cell r="BM684" t="str">
            <v>1</v>
          </cell>
          <cell r="BN684" t="str">
            <v/>
          </cell>
          <cell r="BO684" t="str">
            <v/>
          </cell>
        </row>
        <row r="685">
          <cell r="A685">
            <v>2</v>
          </cell>
          <cell r="B685">
            <v>4555171</v>
          </cell>
          <cell r="C685" t="str">
            <v>MATERIEL ROULANT</v>
          </cell>
          <cell r="D685" t="str">
            <v>ENT. CHARIOTS - CLARK 289</v>
          </cell>
          <cell r="E685" t="str">
            <v>O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1</v>
          </cell>
          <cell r="AN685" t="str">
            <v/>
          </cell>
          <cell r="AO685">
            <v>0</v>
          </cell>
          <cell r="AP685">
            <v>0</v>
          </cell>
          <cell r="AQ685">
            <v>0</v>
          </cell>
          <cell r="AR685">
            <v>750</v>
          </cell>
          <cell r="AS685">
            <v>0</v>
          </cell>
          <cell r="AT685" t="str">
            <v/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 t="str">
            <v/>
          </cell>
          <cell r="BK685">
            <v>7000</v>
          </cell>
          <cell r="BL685" t="str">
            <v>0</v>
          </cell>
          <cell r="BM685" t="str">
            <v>1</v>
          </cell>
          <cell r="BN685" t="str">
            <v/>
          </cell>
          <cell r="BO685" t="str">
            <v/>
          </cell>
        </row>
        <row r="686">
          <cell r="A686">
            <v>1</v>
          </cell>
          <cell r="B686">
            <v>4559001</v>
          </cell>
          <cell r="C686" t="str">
            <v>MATERIEL ROULANT</v>
          </cell>
          <cell r="D686" t="str">
            <v>TRANSFERT DIVISION PAPIER</v>
          </cell>
          <cell r="E686" t="str">
            <v>O</v>
          </cell>
          <cell r="F686">
            <v>0</v>
          </cell>
          <cell r="G686">
            <v>0</v>
          </cell>
          <cell r="H686">
            <v>23882.66</v>
          </cell>
          <cell r="I686">
            <v>28132.880000000001</v>
          </cell>
          <cell r="J686">
            <v>4250.22</v>
          </cell>
          <cell r="K686">
            <v>0</v>
          </cell>
          <cell r="L686">
            <v>7629.24</v>
          </cell>
          <cell r="M686">
            <v>1457.94</v>
          </cell>
          <cell r="N686">
            <v>438.48</v>
          </cell>
          <cell r="O686">
            <v>2633.56</v>
          </cell>
          <cell r="P686">
            <v>8616.32</v>
          </cell>
          <cell r="Q686">
            <v>8977.83</v>
          </cell>
          <cell r="R686">
            <v>10492.19</v>
          </cell>
          <cell r="S686">
            <v>12864.58</v>
          </cell>
          <cell r="T686">
            <v>14270.04</v>
          </cell>
          <cell r="U686">
            <v>15530.67</v>
          </cell>
          <cell r="V686">
            <v>20096.330000000002</v>
          </cell>
          <cell r="W686">
            <v>22883.86</v>
          </cell>
          <cell r="X686">
            <v>23882.66</v>
          </cell>
          <cell r="Y686">
            <v>30053.96</v>
          </cell>
          <cell r="Z686">
            <v>1589.8</v>
          </cell>
          <cell r="AA686">
            <v>4609.6400000000003</v>
          </cell>
          <cell r="AB686">
            <v>5400.87</v>
          </cell>
          <cell r="AC686">
            <v>6826.02</v>
          </cell>
          <cell r="AD686">
            <v>8707.11</v>
          </cell>
          <cell r="AE686">
            <v>12885.49</v>
          </cell>
          <cell r="AF686">
            <v>15533.78</v>
          </cell>
          <cell r="AG686">
            <v>16643.02</v>
          </cell>
          <cell r="AH686">
            <v>19172.21</v>
          </cell>
          <cell r="AI686">
            <v>20927.66</v>
          </cell>
          <cell r="AJ686">
            <v>23178.77</v>
          </cell>
          <cell r="AK686">
            <v>26677.59</v>
          </cell>
          <cell r="AL686">
            <v>0</v>
          </cell>
          <cell r="AM686">
            <v>1</v>
          </cell>
          <cell r="AN686" t="str">
            <v/>
          </cell>
          <cell r="AO686">
            <v>0</v>
          </cell>
          <cell r="AP686">
            <v>0</v>
          </cell>
          <cell r="AQ686">
            <v>0</v>
          </cell>
          <cell r="AR686">
            <v>750</v>
          </cell>
          <cell r="AS686">
            <v>0</v>
          </cell>
          <cell r="AT686" t="str">
            <v/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 t="str">
            <v/>
          </cell>
          <cell r="BK686">
            <v>7000</v>
          </cell>
          <cell r="BL686" t="str">
            <v>0</v>
          </cell>
          <cell r="BM686" t="str">
            <v>1</v>
          </cell>
          <cell r="BN686" t="str">
            <v/>
          </cell>
          <cell r="BO686" t="str">
            <v/>
          </cell>
        </row>
        <row r="687">
          <cell r="A687">
            <v>1</v>
          </cell>
          <cell r="B687">
            <v>4559002</v>
          </cell>
          <cell r="C687" t="str">
            <v>MATERIEL ROULANT</v>
          </cell>
          <cell r="D687" t="str">
            <v>TRANSFERT DIV. SERVIETTES</v>
          </cell>
          <cell r="E687" t="str">
            <v>O</v>
          </cell>
          <cell r="F687">
            <v>0</v>
          </cell>
          <cell r="G687">
            <v>0</v>
          </cell>
          <cell r="H687">
            <v>150046</v>
          </cell>
          <cell r="I687">
            <v>155961</v>
          </cell>
          <cell r="J687">
            <v>5915</v>
          </cell>
          <cell r="K687">
            <v>0</v>
          </cell>
          <cell r="L687">
            <v>30094</v>
          </cell>
          <cell r="M687">
            <v>0</v>
          </cell>
          <cell r="N687">
            <v>13239</v>
          </cell>
          <cell r="O687">
            <v>30586</v>
          </cell>
          <cell r="P687">
            <v>42566</v>
          </cell>
          <cell r="Q687">
            <v>48481</v>
          </cell>
          <cell r="R687">
            <v>58923</v>
          </cell>
          <cell r="S687">
            <v>67765</v>
          </cell>
          <cell r="T687">
            <v>82493</v>
          </cell>
          <cell r="U687">
            <v>96788</v>
          </cell>
          <cell r="V687">
            <v>112479</v>
          </cell>
          <cell r="W687">
            <v>133893</v>
          </cell>
          <cell r="X687">
            <v>150046</v>
          </cell>
          <cell r="Y687">
            <v>180140</v>
          </cell>
          <cell r="Z687">
            <v>10698</v>
          </cell>
          <cell r="AA687">
            <v>20203</v>
          </cell>
          <cell r="AB687">
            <v>27666</v>
          </cell>
          <cell r="AC687">
            <v>34042</v>
          </cell>
          <cell r="AD687">
            <v>40917</v>
          </cell>
          <cell r="AE687">
            <v>53721</v>
          </cell>
          <cell r="AF687">
            <v>75079</v>
          </cell>
          <cell r="AG687">
            <v>77818</v>
          </cell>
          <cell r="AH687">
            <v>85425</v>
          </cell>
          <cell r="AI687">
            <v>104122</v>
          </cell>
          <cell r="AJ687">
            <v>131339</v>
          </cell>
          <cell r="AK687">
            <v>153956</v>
          </cell>
          <cell r="AL687">
            <v>0</v>
          </cell>
          <cell r="AM687">
            <v>2</v>
          </cell>
          <cell r="AN687" t="str">
            <v/>
          </cell>
          <cell r="AO687">
            <v>0</v>
          </cell>
          <cell r="AP687">
            <v>0</v>
          </cell>
          <cell r="AQ687">
            <v>0</v>
          </cell>
          <cell r="AR687">
            <v>750</v>
          </cell>
          <cell r="AS687">
            <v>0</v>
          </cell>
          <cell r="AT687" t="str">
            <v/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 t="str">
            <v/>
          </cell>
          <cell r="BK687">
            <v>7000</v>
          </cell>
          <cell r="BL687" t="str">
            <v>0</v>
          </cell>
          <cell r="BM687" t="str">
            <v>1</v>
          </cell>
          <cell r="BN687" t="str">
            <v/>
          </cell>
          <cell r="BO687" t="str">
            <v/>
          </cell>
        </row>
        <row r="688">
          <cell r="A688">
            <v>1</v>
          </cell>
          <cell r="B688">
            <v>4559003</v>
          </cell>
          <cell r="C688" t="str">
            <v>MATERIEL ROULANT</v>
          </cell>
          <cell r="D688" t="str">
            <v>TRANSFERT DIVISION SACS</v>
          </cell>
          <cell r="E688" t="str">
            <v>O</v>
          </cell>
          <cell r="F688">
            <v>0</v>
          </cell>
          <cell r="G688">
            <v>0</v>
          </cell>
          <cell r="H688">
            <v>20462</v>
          </cell>
          <cell r="I688">
            <v>21269</v>
          </cell>
          <cell r="J688">
            <v>807</v>
          </cell>
          <cell r="K688">
            <v>0</v>
          </cell>
          <cell r="L688">
            <v>4104</v>
          </cell>
          <cell r="M688">
            <v>0</v>
          </cell>
          <cell r="N688">
            <v>1805</v>
          </cell>
          <cell r="O688">
            <v>4171</v>
          </cell>
          <cell r="P688">
            <v>5805</v>
          </cell>
          <cell r="Q688">
            <v>6612</v>
          </cell>
          <cell r="R688">
            <v>8036</v>
          </cell>
          <cell r="S688">
            <v>9242</v>
          </cell>
          <cell r="T688">
            <v>11250</v>
          </cell>
          <cell r="U688">
            <v>13199</v>
          </cell>
          <cell r="V688">
            <v>15339</v>
          </cell>
          <cell r="W688">
            <v>18259</v>
          </cell>
          <cell r="X688">
            <v>20462</v>
          </cell>
          <cell r="Y688">
            <v>24566</v>
          </cell>
          <cell r="Z688">
            <v>3120</v>
          </cell>
          <cell r="AA688">
            <v>5892</v>
          </cell>
          <cell r="AB688">
            <v>8069</v>
          </cell>
          <cell r="AC688">
            <v>13761</v>
          </cell>
          <cell r="AD688">
            <v>15766</v>
          </cell>
          <cell r="AE688">
            <v>19501</v>
          </cell>
          <cell r="AF688">
            <v>25730</v>
          </cell>
          <cell r="AG688">
            <v>26529</v>
          </cell>
          <cell r="AH688">
            <v>28748</v>
          </cell>
          <cell r="AI688">
            <v>34201</v>
          </cell>
          <cell r="AJ688">
            <v>42139</v>
          </cell>
          <cell r="AK688">
            <v>48736</v>
          </cell>
          <cell r="AL688">
            <v>0</v>
          </cell>
          <cell r="AM688">
            <v>3</v>
          </cell>
          <cell r="AN688" t="str">
            <v/>
          </cell>
          <cell r="AO688">
            <v>0</v>
          </cell>
          <cell r="AP688">
            <v>0</v>
          </cell>
          <cell r="AQ688">
            <v>0</v>
          </cell>
          <cell r="AR688">
            <v>750</v>
          </cell>
          <cell r="AS688">
            <v>0</v>
          </cell>
          <cell r="AT688" t="str">
            <v/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 t="str">
            <v/>
          </cell>
          <cell r="BK688">
            <v>7000</v>
          </cell>
          <cell r="BL688" t="str">
            <v>0</v>
          </cell>
          <cell r="BM688" t="str">
            <v>1</v>
          </cell>
          <cell r="BN688" t="str">
            <v/>
          </cell>
          <cell r="BO688" t="str">
            <v/>
          </cell>
        </row>
        <row r="689">
          <cell r="A689">
            <v>1</v>
          </cell>
          <cell r="B689">
            <v>4559004</v>
          </cell>
          <cell r="C689" t="str">
            <v>MATERIEL ROULANT</v>
          </cell>
          <cell r="D689" t="str">
            <v>TRANSFERT DIVISION BOITES</v>
          </cell>
          <cell r="E689" t="str">
            <v>O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4</v>
          </cell>
          <cell r="AN689" t="str">
            <v/>
          </cell>
          <cell r="AO689">
            <v>0</v>
          </cell>
          <cell r="AP689">
            <v>0</v>
          </cell>
          <cell r="AQ689">
            <v>0</v>
          </cell>
          <cell r="AR689">
            <v>750</v>
          </cell>
          <cell r="AS689">
            <v>0</v>
          </cell>
          <cell r="AT689" t="str">
            <v/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 t="str">
            <v/>
          </cell>
          <cell r="BK689">
            <v>7000</v>
          </cell>
          <cell r="BL689" t="str">
            <v>0</v>
          </cell>
          <cell r="BM689" t="str">
            <v>1</v>
          </cell>
          <cell r="BN689" t="str">
            <v/>
          </cell>
          <cell r="BO689" t="str">
            <v/>
          </cell>
        </row>
        <row r="690">
          <cell r="A690">
            <v>1</v>
          </cell>
          <cell r="B690">
            <v>4571001</v>
          </cell>
          <cell r="C690" t="str">
            <v>CHAUFAGE</v>
          </cell>
          <cell r="D690" t="str">
            <v>ELECTRICITÉ</v>
          </cell>
          <cell r="E690" t="str">
            <v>O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1</v>
          </cell>
          <cell r="AN690" t="str">
            <v/>
          </cell>
          <cell r="AO690">
            <v>0</v>
          </cell>
          <cell r="AP690">
            <v>0</v>
          </cell>
          <cell r="AQ690">
            <v>0</v>
          </cell>
          <cell r="AR690">
            <v>730</v>
          </cell>
          <cell r="AS690">
            <v>0</v>
          </cell>
          <cell r="AT690" t="str">
            <v/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 t="str">
            <v/>
          </cell>
          <cell r="BK690">
            <v>7000</v>
          </cell>
          <cell r="BL690" t="str">
            <v/>
          </cell>
          <cell r="BM690" t="str">
            <v>1</v>
          </cell>
          <cell r="BN690" t="str">
            <v/>
          </cell>
          <cell r="BO690" t="str">
            <v/>
          </cell>
        </row>
        <row r="691">
          <cell r="A691">
            <v>1</v>
          </cell>
          <cell r="B691">
            <v>4579001</v>
          </cell>
          <cell r="C691" t="str">
            <v>CHAUFFAGE</v>
          </cell>
          <cell r="D691" t="str">
            <v>TRANSFERT DIVISION PAPIER</v>
          </cell>
          <cell r="E691" t="str">
            <v>O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1</v>
          </cell>
          <cell r="AN691" t="str">
            <v/>
          </cell>
          <cell r="AO691">
            <v>0</v>
          </cell>
          <cell r="AP691">
            <v>0</v>
          </cell>
          <cell r="AQ691">
            <v>0</v>
          </cell>
          <cell r="AR691">
            <v>730</v>
          </cell>
          <cell r="AS691">
            <v>0</v>
          </cell>
          <cell r="AT691" t="str">
            <v/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 t="str">
            <v/>
          </cell>
          <cell r="BK691">
            <v>7000</v>
          </cell>
          <cell r="BL691" t="str">
            <v>0</v>
          </cell>
          <cell r="BM691" t="str">
            <v>1</v>
          </cell>
          <cell r="BN691" t="str">
            <v/>
          </cell>
          <cell r="BO691" t="str">
            <v/>
          </cell>
        </row>
        <row r="692">
          <cell r="A692">
            <v>1</v>
          </cell>
          <cell r="B692">
            <v>4579002</v>
          </cell>
          <cell r="C692" t="str">
            <v>CHAUFFAGE</v>
          </cell>
          <cell r="D692" t="str">
            <v>TRANSFERT DIV. SERVIETTES</v>
          </cell>
          <cell r="E692" t="str">
            <v>O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2</v>
          </cell>
          <cell r="AN692" t="str">
            <v/>
          </cell>
          <cell r="AO692">
            <v>0</v>
          </cell>
          <cell r="AP692">
            <v>0</v>
          </cell>
          <cell r="AQ692">
            <v>0</v>
          </cell>
          <cell r="AR692">
            <v>730</v>
          </cell>
          <cell r="AS692">
            <v>0</v>
          </cell>
          <cell r="AT692" t="str">
            <v/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 t="str">
            <v/>
          </cell>
          <cell r="BK692">
            <v>7000</v>
          </cell>
          <cell r="BL692" t="str">
            <v>0</v>
          </cell>
          <cell r="BM692" t="str">
            <v>1</v>
          </cell>
          <cell r="BN692" t="str">
            <v/>
          </cell>
          <cell r="BO692" t="str">
            <v/>
          </cell>
        </row>
        <row r="693">
          <cell r="A693">
            <v>1</v>
          </cell>
          <cell r="B693">
            <v>4579003</v>
          </cell>
          <cell r="C693" t="str">
            <v>CHAUFFAGE</v>
          </cell>
          <cell r="D693" t="str">
            <v>TRANSFERT DIVISION SACS</v>
          </cell>
          <cell r="E693" t="str">
            <v>O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3</v>
          </cell>
          <cell r="AN693" t="str">
            <v/>
          </cell>
          <cell r="AO693">
            <v>0</v>
          </cell>
          <cell r="AP693">
            <v>0</v>
          </cell>
          <cell r="AQ693">
            <v>0</v>
          </cell>
          <cell r="AR693">
            <v>730</v>
          </cell>
          <cell r="AS693">
            <v>0</v>
          </cell>
          <cell r="AT693" t="str">
            <v/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 t="str">
            <v/>
          </cell>
          <cell r="BK693">
            <v>7000</v>
          </cell>
          <cell r="BL693" t="str">
            <v>0</v>
          </cell>
          <cell r="BM693" t="str">
            <v>1</v>
          </cell>
          <cell r="BN693" t="str">
            <v/>
          </cell>
          <cell r="BO693" t="str">
            <v/>
          </cell>
        </row>
        <row r="694">
          <cell r="A694">
            <v>1</v>
          </cell>
          <cell r="B694">
            <v>4579004</v>
          </cell>
          <cell r="C694" t="str">
            <v>CHAUFFAGE</v>
          </cell>
          <cell r="D694" t="str">
            <v>TRANSFERT DIVISION BOITES</v>
          </cell>
          <cell r="E694" t="str">
            <v>O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4</v>
          </cell>
          <cell r="AN694" t="str">
            <v/>
          </cell>
          <cell r="AO694">
            <v>0</v>
          </cell>
          <cell r="AP694">
            <v>0</v>
          </cell>
          <cell r="AQ694">
            <v>0</v>
          </cell>
          <cell r="AR694">
            <v>730</v>
          </cell>
          <cell r="AS694">
            <v>0</v>
          </cell>
          <cell r="AT694" t="str">
            <v/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 t="str">
            <v/>
          </cell>
          <cell r="BK694">
            <v>7000</v>
          </cell>
          <cell r="BL694" t="str">
            <v>0</v>
          </cell>
          <cell r="BM694" t="str">
            <v>1</v>
          </cell>
          <cell r="BN694" t="str">
            <v/>
          </cell>
          <cell r="BO694" t="str">
            <v/>
          </cell>
        </row>
        <row r="695">
          <cell r="A695">
            <v>1</v>
          </cell>
          <cell r="B695">
            <v>4591001</v>
          </cell>
          <cell r="C695" t="str">
            <v>ENTRETIEN BATIMENT</v>
          </cell>
          <cell r="D695" t="str">
            <v>M.O.  PAYROLL</v>
          </cell>
          <cell r="E695" t="str">
            <v>N</v>
          </cell>
          <cell r="F695">
            <v>0</v>
          </cell>
          <cell r="G695">
            <v>0</v>
          </cell>
          <cell r="H695">
            <v>195784.9</v>
          </cell>
          <cell r="I695">
            <v>266505.77</v>
          </cell>
          <cell r="J695">
            <v>70720.87</v>
          </cell>
          <cell r="K695">
            <v>0</v>
          </cell>
          <cell r="L695">
            <v>36392.39</v>
          </cell>
          <cell r="M695">
            <v>22505.33</v>
          </cell>
          <cell r="N695">
            <v>13795.99</v>
          </cell>
          <cell r="O695">
            <v>30765.01</v>
          </cell>
          <cell r="P695">
            <v>42087.72</v>
          </cell>
          <cell r="Q695">
            <v>53787.59</v>
          </cell>
          <cell r="R695">
            <v>70191.210000000006</v>
          </cell>
          <cell r="S695">
            <v>88637.89</v>
          </cell>
          <cell r="T695">
            <v>108643.36</v>
          </cell>
          <cell r="U695">
            <v>130659.88</v>
          </cell>
          <cell r="V695">
            <v>149582.67000000001</v>
          </cell>
          <cell r="W695">
            <v>175174.12</v>
          </cell>
          <cell r="X695">
            <v>195784.9</v>
          </cell>
          <cell r="Y695">
            <v>209671.96</v>
          </cell>
          <cell r="Z695">
            <v>16100.14</v>
          </cell>
          <cell r="AA695">
            <v>31961.62</v>
          </cell>
          <cell r="AB695">
            <v>48240.72</v>
          </cell>
          <cell r="AC695">
            <v>61073.49</v>
          </cell>
          <cell r="AD695">
            <v>75100.39</v>
          </cell>
          <cell r="AE695">
            <v>95387.92</v>
          </cell>
          <cell r="AF695">
            <v>127291.09</v>
          </cell>
          <cell r="AG695">
            <v>147934.44</v>
          </cell>
          <cell r="AH695">
            <v>162966.26999999999</v>
          </cell>
          <cell r="AI695">
            <v>180055.16</v>
          </cell>
          <cell r="AJ695">
            <v>194784.61</v>
          </cell>
          <cell r="AK695">
            <v>207779.54</v>
          </cell>
          <cell r="AL695">
            <v>0</v>
          </cell>
          <cell r="AM695">
            <v>1</v>
          </cell>
          <cell r="AN695" t="str">
            <v/>
          </cell>
          <cell r="AO695">
            <v>0</v>
          </cell>
          <cell r="AP695">
            <v>0</v>
          </cell>
          <cell r="AQ695">
            <v>0</v>
          </cell>
          <cell r="AR695">
            <v>700</v>
          </cell>
          <cell r="AS695">
            <v>0</v>
          </cell>
          <cell r="AT695" t="str">
            <v/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 t="str">
            <v/>
          </cell>
          <cell r="BK695">
            <v>7000</v>
          </cell>
          <cell r="BL695" t="str">
            <v>0</v>
          </cell>
          <cell r="BM695" t="str">
            <v>1</v>
          </cell>
          <cell r="BN695" t="str">
            <v/>
          </cell>
          <cell r="BO695" t="str">
            <v/>
          </cell>
        </row>
        <row r="696">
          <cell r="A696">
            <v>1</v>
          </cell>
          <cell r="B696">
            <v>4592001</v>
          </cell>
          <cell r="C696" t="str">
            <v>ENTRETIEN BATIMENT</v>
          </cell>
          <cell r="D696" t="str">
            <v>FREIGHT ET DIVERS MAGASIN</v>
          </cell>
          <cell r="E696" t="str">
            <v>O</v>
          </cell>
          <cell r="F696">
            <v>0</v>
          </cell>
          <cell r="G696">
            <v>0</v>
          </cell>
          <cell r="H696">
            <v>26344.62</v>
          </cell>
          <cell r="I696">
            <v>31799.74</v>
          </cell>
          <cell r="J696">
            <v>5455.12</v>
          </cell>
          <cell r="K696">
            <v>0</v>
          </cell>
          <cell r="L696">
            <v>1957.1</v>
          </cell>
          <cell r="M696">
            <v>15.73</v>
          </cell>
          <cell r="N696">
            <v>1627.98</v>
          </cell>
          <cell r="O696">
            <v>3365.64</v>
          </cell>
          <cell r="P696">
            <v>4075.95</v>
          </cell>
          <cell r="Q696">
            <v>8278.49</v>
          </cell>
          <cell r="R696">
            <v>10473.85</v>
          </cell>
          <cell r="S696">
            <v>13213.54</v>
          </cell>
          <cell r="T696">
            <v>16632.66</v>
          </cell>
          <cell r="U696">
            <v>18894.759999999998</v>
          </cell>
          <cell r="V696">
            <v>21809.27</v>
          </cell>
          <cell r="W696">
            <v>23855.11</v>
          </cell>
          <cell r="X696">
            <v>26344.62</v>
          </cell>
          <cell r="Y696">
            <v>28285.99</v>
          </cell>
          <cell r="Z696">
            <v>8319.7999999999993</v>
          </cell>
          <cell r="AA696">
            <v>13920.68</v>
          </cell>
          <cell r="AB696">
            <v>31700.63</v>
          </cell>
          <cell r="AC696">
            <v>40439.21</v>
          </cell>
          <cell r="AD696">
            <v>49187.18</v>
          </cell>
          <cell r="AE696">
            <v>62739.4</v>
          </cell>
          <cell r="AF696">
            <v>73259.210000000006</v>
          </cell>
          <cell r="AG696">
            <v>84353.06</v>
          </cell>
          <cell r="AH696">
            <v>90014.87</v>
          </cell>
          <cell r="AI696">
            <v>96524.57</v>
          </cell>
          <cell r="AJ696">
            <v>99686.57</v>
          </cell>
          <cell r="AK696">
            <v>100347.67</v>
          </cell>
          <cell r="AL696">
            <v>0</v>
          </cell>
          <cell r="AM696">
            <v>1</v>
          </cell>
          <cell r="AN696" t="str">
            <v/>
          </cell>
          <cell r="AO696">
            <v>0</v>
          </cell>
          <cell r="AP696">
            <v>0</v>
          </cell>
          <cell r="AQ696">
            <v>0</v>
          </cell>
          <cell r="AR696">
            <v>710</v>
          </cell>
          <cell r="AS696">
            <v>0</v>
          </cell>
          <cell r="AT696" t="str">
            <v/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 t="str">
            <v/>
          </cell>
          <cell r="BK696">
            <v>7000</v>
          </cell>
          <cell r="BL696" t="str">
            <v>0</v>
          </cell>
          <cell r="BM696" t="str">
            <v>1</v>
          </cell>
          <cell r="BN696" t="str">
            <v/>
          </cell>
          <cell r="BO696" t="str">
            <v/>
          </cell>
        </row>
        <row r="697">
          <cell r="A697">
            <v>1</v>
          </cell>
          <cell r="B697">
            <v>4592011</v>
          </cell>
          <cell r="C697" t="str">
            <v>ENTRETIEN BATIMENT</v>
          </cell>
          <cell r="D697" t="str">
            <v>BATISSE</v>
          </cell>
          <cell r="E697" t="str">
            <v>O</v>
          </cell>
          <cell r="F697">
            <v>0</v>
          </cell>
          <cell r="G697">
            <v>0</v>
          </cell>
          <cell r="H697">
            <v>442712</v>
          </cell>
          <cell r="I697">
            <v>548135.82999999996</v>
          </cell>
          <cell r="J697">
            <v>105423.83</v>
          </cell>
          <cell r="K697">
            <v>0</v>
          </cell>
          <cell r="L697">
            <v>76898.929999999993</v>
          </cell>
          <cell r="M697">
            <v>55579.78</v>
          </cell>
          <cell r="N697">
            <v>53579.85</v>
          </cell>
          <cell r="O697">
            <v>71701.86</v>
          </cell>
          <cell r="P697">
            <v>119550.22</v>
          </cell>
          <cell r="Q697">
            <v>151769.15</v>
          </cell>
          <cell r="R697">
            <v>188728.26</v>
          </cell>
          <cell r="S697">
            <v>208533.9</v>
          </cell>
          <cell r="T697">
            <v>241835.86</v>
          </cell>
          <cell r="U697">
            <v>273332.07</v>
          </cell>
          <cell r="V697">
            <v>316851.20000000001</v>
          </cell>
          <cell r="W697">
            <v>363675.85</v>
          </cell>
          <cell r="X697">
            <v>442712</v>
          </cell>
          <cell r="Y697">
            <v>464031.15</v>
          </cell>
          <cell r="Z697">
            <v>7534.73</v>
          </cell>
          <cell r="AA697">
            <v>13478.61</v>
          </cell>
          <cell r="AB697">
            <v>16901.47</v>
          </cell>
          <cell r="AC697">
            <v>21527.38</v>
          </cell>
          <cell r="AD697">
            <v>32289.42</v>
          </cell>
          <cell r="AE697">
            <v>77190.38</v>
          </cell>
          <cell r="AF697">
            <v>111355.35</v>
          </cell>
          <cell r="AG697">
            <v>123647.35</v>
          </cell>
          <cell r="AH697">
            <v>153595.75</v>
          </cell>
          <cell r="AI697">
            <v>221509.29</v>
          </cell>
          <cell r="AJ697">
            <v>262724.47999999998</v>
          </cell>
          <cell r="AK697">
            <v>334784.42</v>
          </cell>
          <cell r="AL697">
            <v>0</v>
          </cell>
          <cell r="AM697">
            <v>1</v>
          </cell>
          <cell r="AN697" t="str">
            <v/>
          </cell>
          <cell r="AO697">
            <v>0</v>
          </cell>
          <cell r="AP697">
            <v>0</v>
          </cell>
          <cell r="AQ697">
            <v>0</v>
          </cell>
          <cell r="AR697">
            <v>710</v>
          </cell>
          <cell r="AS697">
            <v>0</v>
          </cell>
          <cell r="AT697" t="str">
            <v/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 t="str">
            <v/>
          </cell>
          <cell r="BK697">
            <v>7000</v>
          </cell>
          <cell r="BL697" t="str">
            <v>0</v>
          </cell>
          <cell r="BM697" t="str">
            <v>1</v>
          </cell>
          <cell r="BN697" t="str">
            <v/>
          </cell>
          <cell r="BO697" t="str">
            <v/>
          </cell>
        </row>
        <row r="698">
          <cell r="A698">
            <v>1</v>
          </cell>
          <cell r="B698">
            <v>4593001</v>
          </cell>
          <cell r="C698" t="str">
            <v>ENTRETIEN BATIMENT</v>
          </cell>
          <cell r="D698" t="str">
            <v>ENTRETIEN EXTERIEUR</v>
          </cell>
          <cell r="E698" t="str">
            <v>O</v>
          </cell>
          <cell r="F698">
            <v>0</v>
          </cell>
          <cell r="G698">
            <v>0</v>
          </cell>
          <cell r="H698">
            <v>22793.759999999998</v>
          </cell>
          <cell r="I698">
            <v>32703.48</v>
          </cell>
          <cell r="J698">
            <v>9909.7199999999993</v>
          </cell>
          <cell r="K698">
            <v>0</v>
          </cell>
          <cell r="L698">
            <v>5590.34</v>
          </cell>
          <cell r="M698">
            <v>2130.38</v>
          </cell>
          <cell r="N698">
            <v>2479.29</v>
          </cell>
          <cell r="O698">
            <v>4996.09</v>
          </cell>
          <cell r="P698">
            <v>6711.09</v>
          </cell>
          <cell r="Q698">
            <v>6744.49</v>
          </cell>
          <cell r="R698">
            <v>9924.17</v>
          </cell>
          <cell r="S698">
            <v>11968.4</v>
          </cell>
          <cell r="T698">
            <v>15385.37</v>
          </cell>
          <cell r="U698">
            <v>23060.16</v>
          </cell>
          <cell r="V698">
            <v>20720.27</v>
          </cell>
          <cell r="W698">
            <v>22423.24</v>
          </cell>
          <cell r="X698">
            <v>22793.759999999998</v>
          </cell>
          <cell r="Y698">
            <v>26253.72</v>
          </cell>
          <cell r="Z698">
            <v>204.95</v>
          </cell>
          <cell r="AA698">
            <v>319.95</v>
          </cell>
          <cell r="AB698">
            <v>679.4</v>
          </cell>
          <cell r="AC698">
            <v>2284.4</v>
          </cell>
          <cell r="AD698">
            <v>4022.37</v>
          </cell>
          <cell r="AE698">
            <v>5739.78</v>
          </cell>
          <cell r="AF698">
            <v>6762.75</v>
          </cell>
          <cell r="AG698">
            <v>7833.52</v>
          </cell>
          <cell r="AH698">
            <v>9181.48</v>
          </cell>
          <cell r="AI698">
            <v>10204.450000000001</v>
          </cell>
          <cell r="AJ698">
            <v>10559.45</v>
          </cell>
          <cell r="AK698">
            <v>11974.45</v>
          </cell>
          <cell r="AL698">
            <v>0</v>
          </cell>
          <cell r="AM698">
            <v>1</v>
          </cell>
          <cell r="AN698" t="str">
            <v/>
          </cell>
          <cell r="AO698">
            <v>0</v>
          </cell>
          <cell r="AP698">
            <v>0</v>
          </cell>
          <cell r="AQ698">
            <v>0</v>
          </cell>
          <cell r="AR698">
            <v>750</v>
          </cell>
          <cell r="AS698">
            <v>0</v>
          </cell>
          <cell r="AT698" t="str">
            <v/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 t="str">
            <v/>
          </cell>
          <cell r="BK698">
            <v>7000</v>
          </cell>
          <cell r="BL698" t="str">
            <v>0</v>
          </cell>
          <cell r="BM698" t="str">
            <v>1</v>
          </cell>
          <cell r="BN698" t="str">
            <v/>
          </cell>
          <cell r="BO698" t="str">
            <v/>
          </cell>
        </row>
        <row r="699">
          <cell r="A699">
            <v>1</v>
          </cell>
          <cell r="B699">
            <v>4594001</v>
          </cell>
          <cell r="C699" t="str">
            <v>ENTRETIEN BATIMENT</v>
          </cell>
          <cell r="D699" t="str">
            <v>NETTOYAGE</v>
          </cell>
          <cell r="E699" t="str">
            <v>O</v>
          </cell>
          <cell r="F699">
            <v>0</v>
          </cell>
          <cell r="G699">
            <v>0</v>
          </cell>
          <cell r="H699">
            <v>12512.18</v>
          </cell>
          <cell r="I699">
            <v>12988.58</v>
          </cell>
          <cell r="J699">
            <v>476.4</v>
          </cell>
          <cell r="K699">
            <v>0</v>
          </cell>
          <cell r="L699">
            <v>2450.48</v>
          </cell>
          <cell r="M699">
            <v>468.55</v>
          </cell>
          <cell r="N699">
            <v>0</v>
          </cell>
          <cell r="O699">
            <v>0</v>
          </cell>
          <cell r="P699">
            <v>1496.87</v>
          </cell>
          <cell r="Q699">
            <v>2037.88</v>
          </cell>
          <cell r="R699">
            <v>2219.7800000000002</v>
          </cell>
          <cell r="S699">
            <v>3711.52</v>
          </cell>
          <cell r="T699">
            <v>4227</v>
          </cell>
          <cell r="U699">
            <v>5167.26</v>
          </cell>
          <cell r="V699">
            <v>7280.25</v>
          </cell>
          <cell r="W699">
            <v>9884.4699999999993</v>
          </cell>
          <cell r="X699">
            <v>12512.18</v>
          </cell>
          <cell r="Y699">
            <v>14494.11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259</v>
          </cell>
          <cell r="AI699">
            <v>3834</v>
          </cell>
          <cell r="AJ699">
            <v>3834</v>
          </cell>
          <cell r="AK699">
            <v>3834</v>
          </cell>
          <cell r="AL699">
            <v>0</v>
          </cell>
          <cell r="AM699">
            <v>1</v>
          </cell>
          <cell r="AN699" t="str">
            <v/>
          </cell>
          <cell r="AO699">
            <v>0</v>
          </cell>
          <cell r="AP699">
            <v>0</v>
          </cell>
          <cell r="AQ699">
            <v>0</v>
          </cell>
          <cell r="AR699">
            <v>710</v>
          </cell>
          <cell r="AS699">
            <v>0</v>
          </cell>
          <cell r="AT699" t="str">
            <v/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 t="str">
            <v/>
          </cell>
          <cell r="BK699">
            <v>7000</v>
          </cell>
          <cell r="BL699" t="str">
            <v>0</v>
          </cell>
          <cell r="BM699" t="str">
            <v>1</v>
          </cell>
          <cell r="BN699" t="str">
            <v/>
          </cell>
          <cell r="BO699" t="str">
            <v/>
          </cell>
        </row>
        <row r="700">
          <cell r="A700">
            <v>1</v>
          </cell>
          <cell r="B700">
            <v>4594011</v>
          </cell>
          <cell r="C700" t="str">
            <v>ENTRETIEN BATIMENT</v>
          </cell>
          <cell r="D700" t="str">
            <v>CONCIERGERIE</v>
          </cell>
          <cell r="E700" t="str">
            <v>O</v>
          </cell>
          <cell r="F700">
            <v>0</v>
          </cell>
          <cell r="G700">
            <v>0</v>
          </cell>
          <cell r="H700">
            <v>22165.53</v>
          </cell>
          <cell r="I700">
            <v>24789.59</v>
          </cell>
          <cell r="J700">
            <v>2624.06</v>
          </cell>
          <cell r="K700">
            <v>0</v>
          </cell>
          <cell r="L700">
            <v>2601.2199999999998</v>
          </cell>
          <cell r="M700">
            <v>809.34</v>
          </cell>
          <cell r="N700">
            <v>1835.77</v>
          </cell>
          <cell r="O700">
            <v>3829.19</v>
          </cell>
          <cell r="P700">
            <v>5770.06</v>
          </cell>
          <cell r="Q700">
            <v>7632.1</v>
          </cell>
          <cell r="R700">
            <v>10672.96</v>
          </cell>
          <cell r="S700">
            <v>12640.11</v>
          </cell>
          <cell r="T700">
            <v>14502.15</v>
          </cell>
          <cell r="U700">
            <v>16390.46</v>
          </cell>
          <cell r="V700">
            <v>18308.48</v>
          </cell>
          <cell r="W700">
            <v>20226.490000000002</v>
          </cell>
          <cell r="X700">
            <v>22165.53</v>
          </cell>
          <cell r="Y700">
            <v>23957.41</v>
          </cell>
          <cell r="Z700">
            <v>1100</v>
          </cell>
          <cell r="AA700">
            <v>2200</v>
          </cell>
          <cell r="AB700">
            <v>3300</v>
          </cell>
          <cell r="AC700">
            <v>4400</v>
          </cell>
          <cell r="AD700">
            <v>5813.54</v>
          </cell>
          <cell r="AE700">
            <v>7780.65</v>
          </cell>
          <cell r="AF700">
            <v>9721.77</v>
          </cell>
          <cell r="AG700">
            <v>11583.03</v>
          </cell>
          <cell r="AH700">
            <v>13878.51</v>
          </cell>
          <cell r="AI700">
            <v>15727.33</v>
          </cell>
          <cell r="AJ700">
            <v>16541.830000000002</v>
          </cell>
          <cell r="AK700">
            <v>18377.509999999998</v>
          </cell>
          <cell r="AL700">
            <v>0</v>
          </cell>
          <cell r="AM700">
            <v>1</v>
          </cell>
          <cell r="AN700" t="str">
            <v/>
          </cell>
          <cell r="AO700">
            <v>0</v>
          </cell>
          <cell r="AP700">
            <v>0</v>
          </cell>
          <cell r="AQ700">
            <v>0</v>
          </cell>
          <cell r="AR700">
            <v>710</v>
          </cell>
          <cell r="AS700">
            <v>0</v>
          </cell>
          <cell r="AT700" t="str">
            <v/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 t="str">
            <v/>
          </cell>
          <cell r="BK700">
            <v>7000</v>
          </cell>
          <cell r="BL700" t="str">
            <v>0</v>
          </cell>
          <cell r="BM700" t="str">
            <v>1</v>
          </cell>
          <cell r="BN700" t="str">
            <v/>
          </cell>
          <cell r="BO700" t="str">
            <v/>
          </cell>
        </row>
        <row r="701">
          <cell r="A701">
            <v>1</v>
          </cell>
          <cell r="B701">
            <v>4595001</v>
          </cell>
          <cell r="C701" t="str">
            <v>ENTRETIEN BATIMENT</v>
          </cell>
          <cell r="D701" t="str">
            <v>EQUIPEMENT SECURITÉ</v>
          </cell>
          <cell r="E701" t="str">
            <v>O</v>
          </cell>
          <cell r="F701">
            <v>0</v>
          </cell>
          <cell r="G701">
            <v>0</v>
          </cell>
          <cell r="H701">
            <v>29891.439999999999</v>
          </cell>
          <cell r="I701">
            <v>31637.74</v>
          </cell>
          <cell r="J701">
            <v>1746.3</v>
          </cell>
          <cell r="K701">
            <v>0</v>
          </cell>
          <cell r="L701">
            <v>683.92</v>
          </cell>
          <cell r="M701">
            <v>0</v>
          </cell>
          <cell r="N701">
            <v>6286.39</v>
          </cell>
          <cell r="O701">
            <v>6289.99</v>
          </cell>
          <cell r="P701">
            <v>11043.53</v>
          </cell>
          <cell r="Q701">
            <v>11474.39</v>
          </cell>
          <cell r="R701">
            <v>12337.52</v>
          </cell>
          <cell r="S701">
            <v>17950.560000000001</v>
          </cell>
          <cell r="T701">
            <v>19212.41</v>
          </cell>
          <cell r="U701">
            <v>19418.259999999998</v>
          </cell>
          <cell r="V701">
            <v>21410.86</v>
          </cell>
          <cell r="W701">
            <v>29420.84</v>
          </cell>
          <cell r="X701">
            <v>29891.439999999999</v>
          </cell>
          <cell r="Y701">
            <v>30575.360000000001</v>
          </cell>
          <cell r="Z701">
            <v>0</v>
          </cell>
          <cell r="AA701">
            <v>195.45</v>
          </cell>
          <cell r="AB701">
            <v>1147.6500000000001</v>
          </cell>
          <cell r="AC701">
            <v>1188.0999999999999</v>
          </cell>
          <cell r="AD701">
            <v>1188.0999999999999</v>
          </cell>
          <cell r="AE701">
            <v>4628.55</v>
          </cell>
          <cell r="AF701">
            <v>5008.05</v>
          </cell>
          <cell r="AG701">
            <v>5133.05</v>
          </cell>
          <cell r="AH701">
            <v>16801.05</v>
          </cell>
          <cell r="AI701">
            <v>19210.88</v>
          </cell>
          <cell r="AJ701">
            <v>21216.240000000002</v>
          </cell>
          <cell r="AK701">
            <v>21306.19</v>
          </cell>
          <cell r="AL701">
            <v>0</v>
          </cell>
          <cell r="AM701">
            <v>1</v>
          </cell>
          <cell r="AN701" t="str">
            <v/>
          </cell>
          <cell r="AO701">
            <v>0</v>
          </cell>
          <cell r="AP701">
            <v>0</v>
          </cell>
          <cell r="AQ701">
            <v>0</v>
          </cell>
          <cell r="AR701">
            <v>740</v>
          </cell>
          <cell r="AS701">
            <v>0</v>
          </cell>
          <cell r="AT701" t="str">
            <v/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 t="str">
            <v/>
          </cell>
          <cell r="BK701">
            <v>7000</v>
          </cell>
          <cell r="BL701" t="str">
            <v>0</v>
          </cell>
          <cell r="BM701" t="str">
            <v>1</v>
          </cell>
          <cell r="BN701" t="str">
            <v/>
          </cell>
          <cell r="BO701" t="str">
            <v/>
          </cell>
        </row>
        <row r="702">
          <cell r="A702">
            <v>1</v>
          </cell>
          <cell r="B702">
            <v>4595011</v>
          </cell>
          <cell r="C702" t="str">
            <v>ENTRETIEN BATIMENT</v>
          </cell>
          <cell r="D702" t="str">
            <v>GARDIEN SECURITÉ</v>
          </cell>
          <cell r="E702" t="str">
            <v>O</v>
          </cell>
          <cell r="F702">
            <v>0</v>
          </cell>
          <cell r="G702">
            <v>0</v>
          </cell>
          <cell r="H702">
            <v>52010.9</v>
          </cell>
          <cell r="I702">
            <v>359104.75</v>
          </cell>
          <cell r="J702">
            <v>307093.84999999998</v>
          </cell>
          <cell r="K702">
            <v>0</v>
          </cell>
          <cell r="L702">
            <v>12916.8</v>
          </cell>
          <cell r="M702">
            <v>7104.24</v>
          </cell>
          <cell r="N702">
            <v>9978.98</v>
          </cell>
          <cell r="O702">
            <v>20629.43</v>
          </cell>
          <cell r="P702">
            <v>32207.07</v>
          </cell>
          <cell r="Q702">
            <v>38715.129999999997</v>
          </cell>
          <cell r="R702">
            <v>42734.69</v>
          </cell>
          <cell r="S702">
            <v>17458.46</v>
          </cell>
          <cell r="T702">
            <v>24147.52</v>
          </cell>
          <cell r="U702">
            <v>31067.23</v>
          </cell>
          <cell r="V702">
            <v>37986.949999999997</v>
          </cell>
          <cell r="W702">
            <v>44906.66</v>
          </cell>
          <cell r="X702">
            <v>52010.9</v>
          </cell>
          <cell r="Y702">
            <v>57823.46</v>
          </cell>
          <cell r="Z702">
            <v>13045.61</v>
          </cell>
          <cell r="AA702">
            <v>25097.84</v>
          </cell>
          <cell r="AB702">
            <v>38080.69</v>
          </cell>
          <cell r="AC702">
            <v>49382.77</v>
          </cell>
          <cell r="AD702">
            <v>65535.09</v>
          </cell>
          <cell r="AE702">
            <v>84428.43</v>
          </cell>
          <cell r="AF702">
            <v>102544.78</v>
          </cell>
          <cell r="AG702">
            <v>122737.54</v>
          </cell>
          <cell r="AH702">
            <v>132169.65</v>
          </cell>
          <cell r="AI702">
            <v>144038.48000000001</v>
          </cell>
          <cell r="AJ702">
            <v>154189.62</v>
          </cell>
          <cell r="AK702">
            <v>204140.2</v>
          </cell>
          <cell r="AL702">
            <v>0</v>
          </cell>
          <cell r="AM702">
            <v>1</v>
          </cell>
          <cell r="AN702" t="str">
            <v/>
          </cell>
          <cell r="AO702">
            <v>0</v>
          </cell>
          <cell r="AP702">
            <v>0</v>
          </cell>
          <cell r="AQ702">
            <v>0</v>
          </cell>
          <cell r="AR702">
            <v>700</v>
          </cell>
          <cell r="AS702">
            <v>0</v>
          </cell>
          <cell r="AT702" t="str">
            <v/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 t="str">
            <v/>
          </cell>
          <cell r="BK702">
            <v>7000</v>
          </cell>
          <cell r="BL702" t="str">
            <v>0</v>
          </cell>
          <cell r="BM702" t="str">
            <v>1</v>
          </cell>
          <cell r="BN702" t="str">
            <v/>
          </cell>
          <cell r="BO702" t="str">
            <v/>
          </cell>
        </row>
        <row r="703">
          <cell r="A703">
            <v>1</v>
          </cell>
          <cell r="B703">
            <v>4596001</v>
          </cell>
          <cell r="C703" t="str">
            <v>ENTRETIEN BATIMENT</v>
          </cell>
          <cell r="D703" t="str">
            <v>MOD EXT</v>
          </cell>
          <cell r="E703" t="str">
            <v>O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1</v>
          </cell>
          <cell r="AN703" t="str">
            <v/>
          </cell>
          <cell r="AO703">
            <v>0</v>
          </cell>
          <cell r="AP703">
            <v>0</v>
          </cell>
          <cell r="AQ703">
            <v>0</v>
          </cell>
          <cell r="AR703">
            <v>810</v>
          </cell>
          <cell r="AS703">
            <v>0</v>
          </cell>
          <cell r="AT703" t="str">
            <v/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 t="str">
            <v/>
          </cell>
          <cell r="BK703">
            <v>7000</v>
          </cell>
          <cell r="BL703" t="str">
            <v>0</v>
          </cell>
          <cell r="BM703" t="str">
            <v>1</v>
          </cell>
          <cell r="BN703" t="str">
            <v/>
          </cell>
          <cell r="BO703" t="str">
            <v/>
          </cell>
        </row>
        <row r="704">
          <cell r="A704">
            <v>1</v>
          </cell>
          <cell r="B704">
            <v>4599001</v>
          </cell>
          <cell r="C704" t="str">
            <v>ENTRETIEN BATIMENT</v>
          </cell>
          <cell r="D704" t="str">
            <v>TRANSFERT DIVISION PAPIER</v>
          </cell>
          <cell r="E704" t="str">
            <v>O</v>
          </cell>
          <cell r="F704">
            <v>0</v>
          </cell>
          <cell r="G704">
            <v>0</v>
          </cell>
          <cell r="H704">
            <v>152</v>
          </cell>
          <cell r="I704">
            <v>152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152</v>
          </cell>
          <cell r="O704">
            <v>152</v>
          </cell>
          <cell r="P704">
            <v>152</v>
          </cell>
          <cell r="Q704">
            <v>152</v>
          </cell>
          <cell r="R704">
            <v>152</v>
          </cell>
          <cell r="S704">
            <v>152</v>
          </cell>
          <cell r="T704">
            <v>152</v>
          </cell>
          <cell r="U704">
            <v>152</v>
          </cell>
          <cell r="V704">
            <v>152</v>
          </cell>
          <cell r="W704">
            <v>152</v>
          </cell>
          <cell r="X704">
            <v>152</v>
          </cell>
          <cell r="Y704">
            <v>152</v>
          </cell>
          <cell r="Z704">
            <v>14615.76</v>
          </cell>
          <cell r="AA704">
            <v>27140.53</v>
          </cell>
          <cell r="AB704">
            <v>35997.85</v>
          </cell>
          <cell r="AC704">
            <v>43851.17</v>
          </cell>
          <cell r="AD704">
            <v>48017.19</v>
          </cell>
          <cell r="AE704">
            <v>48146.37</v>
          </cell>
          <cell r="AF704">
            <v>48146.37</v>
          </cell>
          <cell r="AG704">
            <v>48146.37</v>
          </cell>
          <cell r="AH704">
            <v>48146.37</v>
          </cell>
          <cell r="AI704">
            <v>48146.37</v>
          </cell>
          <cell r="AJ704">
            <v>48146.37</v>
          </cell>
          <cell r="AK704">
            <v>48146.37</v>
          </cell>
          <cell r="AL704">
            <v>0</v>
          </cell>
          <cell r="AM704">
            <v>1</v>
          </cell>
          <cell r="AN704" t="str">
            <v/>
          </cell>
          <cell r="AO704">
            <v>0</v>
          </cell>
          <cell r="AP704">
            <v>0</v>
          </cell>
          <cell r="AQ704">
            <v>0</v>
          </cell>
          <cell r="AR704">
            <v>710</v>
          </cell>
          <cell r="AS704">
            <v>0</v>
          </cell>
          <cell r="AT704" t="str">
            <v/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 t="str">
            <v/>
          </cell>
          <cell r="BK704">
            <v>7000</v>
          </cell>
          <cell r="BL704" t="str">
            <v>0</v>
          </cell>
          <cell r="BM704" t="str">
            <v>1</v>
          </cell>
          <cell r="BN704" t="str">
            <v/>
          </cell>
          <cell r="BO704" t="str">
            <v/>
          </cell>
        </row>
        <row r="705">
          <cell r="A705">
            <v>1</v>
          </cell>
          <cell r="B705">
            <v>4599002</v>
          </cell>
          <cell r="C705" t="str">
            <v>ENTRETIEN BATIMENT</v>
          </cell>
          <cell r="D705" t="str">
            <v>TRANSFERT DIV. SERVIETTES</v>
          </cell>
          <cell r="E705" t="str">
            <v>O</v>
          </cell>
          <cell r="F705">
            <v>0</v>
          </cell>
          <cell r="G705">
            <v>0</v>
          </cell>
          <cell r="H705">
            <v>465608</v>
          </cell>
          <cell r="I705">
            <v>523416</v>
          </cell>
          <cell r="J705">
            <v>57808</v>
          </cell>
          <cell r="K705">
            <v>0</v>
          </cell>
          <cell r="L705">
            <v>22650</v>
          </cell>
          <cell r="M705">
            <v>0</v>
          </cell>
          <cell r="N705">
            <v>44869</v>
          </cell>
          <cell r="O705">
            <v>86784</v>
          </cell>
          <cell r="P705">
            <v>123378</v>
          </cell>
          <cell r="Q705">
            <v>146074</v>
          </cell>
          <cell r="R705">
            <v>177303</v>
          </cell>
          <cell r="S705">
            <v>195459</v>
          </cell>
          <cell r="T705">
            <v>227237</v>
          </cell>
          <cell r="U705">
            <v>322224</v>
          </cell>
          <cell r="V705">
            <v>360280</v>
          </cell>
          <cell r="W705">
            <v>412265</v>
          </cell>
          <cell r="X705">
            <v>465608</v>
          </cell>
          <cell r="Y705">
            <v>488258</v>
          </cell>
          <cell r="Z705">
            <v>23494</v>
          </cell>
          <cell r="AA705">
            <v>44192</v>
          </cell>
          <cell r="AB705">
            <v>78958</v>
          </cell>
          <cell r="AC705">
            <v>97162</v>
          </cell>
          <cell r="AD705">
            <v>121546</v>
          </cell>
          <cell r="AE705">
            <v>162623</v>
          </cell>
          <cell r="AF705">
            <v>212158</v>
          </cell>
          <cell r="AG705">
            <v>247956</v>
          </cell>
          <cell r="AH705">
            <v>270450</v>
          </cell>
          <cell r="AI705">
            <v>404912</v>
          </cell>
          <cell r="AJ705">
            <v>449992</v>
          </cell>
          <cell r="AK705">
            <v>507656</v>
          </cell>
          <cell r="AL705">
            <v>0</v>
          </cell>
          <cell r="AM705">
            <v>2</v>
          </cell>
          <cell r="AN705" t="str">
            <v/>
          </cell>
          <cell r="AO705">
            <v>0</v>
          </cell>
          <cell r="AP705">
            <v>0</v>
          </cell>
          <cell r="AQ705">
            <v>0</v>
          </cell>
          <cell r="AR705">
            <v>710</v>
          </cell>
          <cell r="AS705">
            <v>0</v>
          </cell>
          <cell r="AT705" t="str">
            <v/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 t="str">
            <v/>
          </cell>
          <cell r="BK705">
            <v>7000</v>
          </cell>
          <cell r="BL705" t="str">
            <v>0</v>
          </cell>
          <cell r="BM705" t="str">
            <v>1</v>
          </cell>
          <cell r="BN705" t="str">
            <v/>
          </cell>
          <cell r="BO705" t="str">
            <v/>
          </cell>
        </row>
        <row r="706">
          <cell r="A706">
            <v>1</v>
          </cell>
          <cell r="B706">
            <v>4599003</v>
          </cell>
          <cell r="C706" t="str">
            <v>ENTRETIEN BATIMENT</v>
          </cell>
          <cell r="D706" t="str">
            <v>TRANSFERT DIVISION SACS</v>
          </cell>
          <cell r="E706" t="str">
            <v>O</v>
          </cell>
          <cell r="F706">
            <v>0</v>
          </cell>
          <cell r="G706">
            <v>0</v>
          </cell>
          <cell r="H706">
            <v>98022</v>
          </cell>
          <cell r="I706">
            <v>110192</v>
          </cell>
          <cell r="J706">
            <v>12170</v>
          </cell>
          <cell r="K706">
            <v>0</v>
          </cell>
          <cell r="L706">
            <v>4768</v>
          </cell>
          <cell r="M706">
            <v>0</v>
          </cell>
          <cell r="N706">
            <v>9446</v>
          </cell>
          <cell r="O706">
            <v>18270</v>
          </cell>
          <cell r="P706">
            <v>25974</v>
          </cell>
          <cell r="Q706">
            <v>30752</v>
          </cell>
          <cell r="R706">
            <v>37327</v>
          </cell>
          <cell r="S706">
            <v>41149</v>
          </cell>
          <cell r="T706">
            <v>47839</v>
          </cell>
          <cell r="U706">
            <v>67836</v>
          </cell>
          <cell r="V706">
            <v>75848</v>
          </cell>
          <cell r="W706">
            <v>86792</v>
          </cell>
          <cell r="X706">
            <v>98022</v>
          </cell>
          <cell r="Y706">
            <v>102790</v>
          </cell>
          <cell r="Z706">
            <v>4946</v>
          </cell>
          <cell r="AA706">
            <v>9304</v>
          </cell>
          <cell r="AB706">
            <v>16623</v>
          </cell>
          <cell r="AC706">
            <v>16623</v>
          </cell>
          <cell r="AD706">
            <v>21756</v>
          </cell>
          <cell r="AE706">
            <v>30404</v>
          </cell>
          <cell r="AF706">
            <v>40706</v>
          </cell>
          <cell r="AG706">
            <v>48242</v>
          </cell>
          <cell r="AH706">
            <v>52914</v>
          </cell>
          <cell r="AI706">
            <v>81222</v>
          </cell>
          <cell r="AJ706">
            <v>90713</v>
          </cell>
          <cell r="AK706">
            <v>102853</v>
          </cell>
          <cell r="AL706">
            <v>0</v>
          </cell>
          <cell r="AM706">
            <v>3</v>
          </cell>
          <cell r="AN706" t="str">
            <v/>
          </cell>
          <cell r="AO706">
            <v>0</v>
          </cell>
          <cell r="AP706">
            <v>0</v>
          </cell>
          <cell r="AQ706">
            <v>0</v>
          </cell>
          <cell r="AR706">
            <v>710</v>
          </cell>
          <cell r="AS706">
            <v>0</v>
          </cell>
          <cell r="AT706" t="str">
            <v/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 t="str">
            <v/>
          </cell>
          <cell r="BK706">
            <v>7000</v>
          </cell>
          <cell r="BL706" t="str">
            <v>0</v>
          </cell>
          <cell r="BM706" t="str">
            <v>1</v>
          </cell>
          <cell r="BN706" t="str">
            <v/>
          </cell>
          <cell r="BO706" t="str">
            <v/>
          </cell>
        </row>
        <row r="707">
          <cell r="A707">
            <v>1</v>
          </cell>
          <cell r="B707">
            <v>4599004</v>
          </cell>
          <cell r="C707" t="str">
            <v>ENTRETIEN BATIMENT</v>
          </cell>
          <cell r="D707" t="str">
            <v>TRANSFERT DIVISION BOITES</v>
          </cell>
          <cell r="E707" t="str">
            <v>O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4</v>
          </cell>
          <cell r="AN707" t="str">
            <v/>
          </cell>
          <cell r="AO707">
            <v>0</v>
          </cell>
          <cell r="AP707">
            <v>0</v>
          </cell>
          <cell r="AQ707">
            <v>0</v>
          </cell>
          <cell r="AR707">
            <v>710</v>
          </cell>
          <cell r="AS707">
            <v>0</v>
          </cell>
          <cell r="AT707" t="str">
            <v/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 t="str">
            <v/>
          </cell>
          <cell r="BK707">
            <v>7000</v>
          </cell>
          <cell r="BL707" t="str">
            <v>0</v>
          </cell>
          <cell r="BM707" t="str">
            <v>1</v>
          </cell>
          <cell r="BN707" t="str">
            <v/>
          </cell>
          <cell r="BO707" t="str">
            <v/>
          </cell>
        </row>
        <row r="708">
          <cell r="A708">
            <v>1</v>
          </cell>
          <cell r="B708">
            <v>4611001</v>
          </cell>
          <cell r="C708" t="str">
            <v>TAXES ET ASSURANCES</v>
          </cell>
          <cell r="D708" t="str">
            <v>TAXES MUNICIPALE</v>
          </cell>
          <cell r="E708" t="str">
            <v>O</v>
          </cell>
          <cell r="F708">
            <v>0</v>
          </cell>
          <cell r="G708">
            <v>0</v>
          </cell>
          <cell r="H708">
            <v>167061.51</v>
          </cell>
          <cell r="I708">
            <v>167061.51</v>
          </cell>
          <cell r="J708">
            <v>0</v>
          </cell>
          <cell r="K708">
            <v>0</v>
          </cell>
          <cell r="L708">
            <v>15770.69</v>
          </cell>
          <cell r="M708">
            <v>0</v>
          </cell>
          <cell r="N708">
            <v>15770.69</v>
          </cell>
          <cell r="O708">
            <v>31541.38</v>
          </cell>
          <cell r="P708">
            <v>47312.07</v>
          </cell>
          <cell r="Q708">
            <v>63082.76</v>
          </cell>
          <cell r="R708">
            <v>78853.45</v>
          </cell>
          <cell r="S708">
            <v>93020.12</v>
          </cell>
          <cell r="T708">
            <v>107186.79</v>
          </cell>
          <cell r="U708">
            <v>121353.46</v>
          </cell>
          <cell r="V708">
            <v>135520.13</v>
          </cell>
          <cell r="W708">
            <v>151290.82</v>
          </cell>
          <cell r="X708">
            <v>167061.51</v>
          </cell>
          <cell r="Y708">
            <v>182832.2</v>
          </cell>
          <cell r="Z708">
            <v>16368.2</v>
          </cell>
          <cell r="AA708">
            <v>32798.76</v>
          </cell>
          <cell r="AB708">
            <v>49229.32</v>
          </cell>
          <cell r="AC708">
            <v>65659.88</v>
          </cell>
          <cell r="AD708">
            <v>82090.44</v>
          </cell>
          <cell r="AE708">
            <v>98521</v>
          </cell>
          <cell r="AF708">
            <v>113312.11</v>
          </cell>
          <cell r="AG708">
            <v>129742.67</v>
          </cell>
          <cell r="AH708">
            <v>146137.79999999999</v>
          </cell>
          <cell r="AI708">
            <v>162532.93</v>
          </cell>
          <cell r="AJ708">
            <v>178928.06</v>
          </cell>
          <cell r="AK708">
            <v>196755.09</v>
          </cell>
          <cell r="AL708">
            <v>0</v>
          </cell>
          <cell r="AM708">
            <v>1</v>
          </cell>
          <cell r="AN708" t="str">
            <v/>
          </cell>
          <cell r="AO708">
            <v>0</v>
          </cell>
          <cell r="AP708">
            <v>0</v>
          </cell>
          <cell r="AQ708">
            <v>0</v>
          </cell>
          <cell r="AR708">
            <v>760</v>
          </cell>
          <cell r="AS708">
            <v>0</v>
          </cell>
          <cell r="AT708" t="str">
            <v/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 t="str">
            <v/>
          </cell>
          <cell r="BK708">
            <v>7000</v>
          </cell>
          <cell r="BL708" t="str">
            <v>0</v>
          </cell>
          <cell r="BM708" t="str">
            <v>1</v>
          </cell>
          <cell r="BN708" t="str">
            <v/>
          </cell>
          <cell r="BO708" t="str">
            <v/>
          </cell>
        </row>
        <row r="709">
          <cell r="A709">
            <v>1</v>
          </cell>
          <cell r="B709">
            <v>4611011</v>
          </cell>
          <cell r="C709" t="str">
            <v>TAXES ET ASSURANCES</v>
          </cell>
          <cell r="D709" t="str">
            <v>TAXES SCOLAIRES</v>
          </cell>
          <cell r="E709" t="str">
            <v>O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1</v>
          </cell>
          <cell r="AN709" t="str">
            <v/>
          </cell>
          <cell r="AO709">
            <v>0</v>
          </cell>
          <cell r="AP709">
            <v>0</v>
          </cell>
          <cell r="AQ709">
            <v>0</v>
          </cell>
          <cell r="AR709">
            <v>760</v>
          </cell>
          <cell r="AS709">
            <v>0</v>
          </cell>
          <cell r="AT709" t="str">
            <v/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 t="str">
            <v/>
          </cell>
          <cell r="BK709">
            <v>7000</v>
          </cell>
          <cell r="BL709" t="str">
            <v>0</v>
          </cell>
          <cell r="BM709" t="str">
            <v>1</v>
          </cell>
          <cell r="BN709" t="str">
            <v/>
          </cell>
          <cell r="BO709" t="str">
            <v/>
          </cell>
        </row>
        <row r="710">
          <cell r="A710">
            <v>1</v>
          </cell>
          <cell r="B710">
            <v>4611021</v>
          </cell>
          <cell r="C710" t="str">
            <v>TAXES ET ASSURANCES</v>
          </cell>
          <cell r="D710" t="str">
            <v>TAXES AFFAIRES</v>
          </cell>
          <cell r="E710" t="str">
            <v>O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1</v>
          </cell>
          <cell r="AN710" t="str">
            <v/>
          </cell>
          <cell r="AO710">
            <v>0</v>
          </cell>
          <cell r="AP710">
            <v>0</v>
          </cell>
          <cell r="AQ710">
            <v>0</v>
          </cell>
          <cell r="AR710">
            <v>810</v>
          </cell>
          <cell r="AS710">
            <v>0</v>
          </cell>
          <cell r="AT710" t="str">
            <v/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 t="str">
            <v/>
          </cell>
          <cell r="BK710">
            <v>7000</v>
          </cell>
          <cell r="BL710" t="str">
            <v>0</v>
          </cell>
          <cell r="BM710" t="str">
            <v>1</v>
          </cell>
          <cell r="BN710" t="str">
            <v/>
          </cell>
          <cell r="BO710" t="str">
            <v/>
          </cell>
        </row>
        <row r="711">
          <cell r="A711">
            <v>1</v>
          </cell>
          <cell r="B711">
            <v>4611031</v>
          </cell>
          <cell r="C711" t="str">
            <v>TAXES ET ASSURANCES</v>
          </cell>
          <cell r="D711" t="str">
            <v>TAXES D'EAU</v>
          </cell>
          <cell r="E711" t="str">
            <v>O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1</v>
          </cell>
          <cell r="AN711" t="str">
            <v/>
          </cell>
          <cell r="AO711">
            <v>0</v>
          </cell>
          <cell r="AP711">
            <v>0</v>
          </cell>
          <cell r="AQ711">
            <v>0</v>
          </cell>
          <cell r="AR711">
            <v>760</v>
          </cell>
          <cell r="AS711">
            <v>0</v>
          </cell>
          <cell r="AT711" t="str">
            <v/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 t="str">
            <v/>
          </cell>
          <cell r="BK711">
            <v>7000</v>
          </cell>
          <cell r="BL711" t="str">
            <v>0</v>
          </cell>
          <cell r="BM711" t="str">
            <v>1</v>
          </cell>
          <cell r="BN711" t="str">
            <v/>
          </cell>
          <cell r="BO711" t="str">
            <v/>
          </cell>
        </row>
        <row r="712">
          <cell r="A712">
            <v>1</v>
          </cell>
          <cell r="B712">
            <v>4612001</v>
          </cell>
          <cell r="C712" t="str">
            <v>TAXES ET ASSURANCES</v>
          </cell>
          <cell r="D712" t="str">
            <v>ASSURANCES</v>
          </cell>
          <cell r="E712" t="str">
            <v>O</v>
          </cell>
          <cell r="F712">
            <v>0</v>
          </cell>
          <cell r="G712">
            <v>0</v>
          </cell>
          <cell r="H712">
            <v>79948.17</v>
          </cell>
          <cell r="I712">
            <v>79948.17</v>
          </cell>
          <cell r="J712">
            <v>0</v>
          </cell>
          <cell r="K712">
            <v>0</v>
          </cell>
          <cell r="L712">
            <v>6496</v>
          </cell>
          <cell r="M712">
            <v>0</v>
          </cell>
          <cell r="N712">
            <v>6833.33</v>
          </cell>
          <cell r="O712">
            <v>13666.66</v>
          </cell>
          <cell r="P712">
            <v>22213.41</v>
          </cell>
          <cell r="Q712">
            <v>29617.88</v>
          </cell>
          <cell r="R712">
            <v>36451.21</v>
          </cell>
          <cell r="S712">
            <v>43284.54</v>
          </cell>
          <cell r="T712">
            <v>50117.87</v>
          </cell>
          <cell r="U712">
            <v>56951.199999999997</v>
          </cell>
          <cell r="V712">
            <v>66956.17</v>
          </cell>
          <cell r="W712">
            <v>73452.17</v>
          </cell>
          <cell r="X712">
            <v>79948.17</v>
          </cell>
          <cell r="Y712">
            <v>86444.17</v>
          </cell>
          <cell r="Z712">
            <v>7819.03</v>
          </cell>
          <cell r="AA712">
            <v>15638.06</v>
          </cell>
          <cell r="AB712">
            <v>23457.09</v>
          </cell>
          <cell r="AC712">
            <v>31276.12</v>
          </cell>
          <cell r="AD712">
            <v>39095.15</v>
          </cell>
          <cell r="AE712">
            <v>46914.18</v>
          </cell>
          <cell r="AF712">
            <v>47747.51</v>
          </cell>
          <cell r="AG712">
            <v>62580.84</v>
          </cell>
          <cell r="AH712">
            <v>77414.17</v>
          </cell>
          <cell r="AI712">
            <v>92247.5</v>
          </cell>
          <cell r="AJ712">
            <v>107080.83</v>
          </cell>
          <cell r="AK712">
            <v>82523.98</v>
          </cell>
          <cell r="AL712">
            <v>0</v>
          </cell>
          <cell r="AM712">
            <v>1</v>
          </cell>
          <cell r="AN712" t="str">
            <v/>
          </cell>
          <cell r="AO712">
            <v>0</v>
          </cell>
          <cell r="AP712">
            <v>0</v>
          </cell>
          <cell r="AQ712">
            <v>0</v>
          </cell>
          <cell r="AR712">
            <v>760</v>
          </cell>
          <cell r="AS712">
            <v>0</v>
          </cell>
          <cell r="AT712" t="str">
            <v/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 t="str">
            <v/>
          </cell>
          <cell r="BK712">
            <v>7000</v>
          </cell>
          <cell r="BL712" t="str">
            <v>0</v>
          </cell>
          <cell r="BM712" t="str">
            <v>1</v>
          </cell>
          <cell r="BN712" t="str">
            <v/>
          </cell>
          <cell r="BO712" t="str">
            <v/>
          </cell>
        </row>
        <row r="713">
          <cell r="A713">
            <v>1</v>
          </cell>
          <cell r="B713">
            <v>4619001</v>
          </cell>
          <cell r="C713" t="str">
            <v>TAXES ET ASSURANCES</v>
          </cell>
          <cell r="D713" t="str">
            <v>TRANSFERT DIVISION PAPIER</v>
          </cell>
          <cell r="E713" t="str">
            <v>O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1</v>
          </cell>
          <cell r="AN713" t="str">
            <v/>
          </cell>
          <cell r="AO713">
            <v>0</v>
          </cell>
          <cell r="AP713">
            <v>0</v>
          </cell>
          <cell r="AQ713">
            <v>0</v>
          </cell>
          <cell r="AR713">
            <v>760</v>
          </cell>
          <cell r="AS713">
            <v>0</v>
          </cell>
          <cell r="AT713" t="str">
            <v/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 t="str">
            <v/>
          </cell>
          <cell r="BK713">
            <v>7000</v>
          </cell>
          <cell r="BL713" t="str">
            <v>0</v>
          </cell>
          <cell r="BM713" t="str">
            <v>1</v>
          </cell>
          <cell r="BN713" t="str">
            <v/>
          </cell>
          <cell r="BO713" t="str">
            <v/>
          </cell>
        </row>
        <row r="714">
          <cell r="A714">
            <v>1</v>
          </cell>
          <cell r="B714">
            <v>4619002</v>
          </cell>
          <cell r="C714" t="str">
            <v>TAXES ET ASSURANCES</v>
          </cell>
          <cell r="D714" t="str">
            <v>TRANSFERT DIV. SERVIETTES</v>
          </cell>
          <cell r="E714" t="str">
            <v>O</v>
          </cell>
          <cell r="F714">
            <v>0</v>
          </cell>
          <cell r="G714">
            <v>0</v>
          </cell>
          <cell r="H714">
            <v>98806</v>
          </cell>
          <cell r="I714">
            <v>108076</v>
          </cell>
          <cell r="J714">
            <v>9270</v>
          </cell>
          <cell r="K714">
            <v>0</v>
          </cell>
          <cell r="L714">
            <v>8907</v>
          </cell>
          <cell r="M714">
            <v>0</v>
          </cell>
          <cell r="N714">
            <v>9042</v>
          </cell>
          <cell r="O714">
            <v>18084</v>
          </cell>
          <cell r="P714">
            <v>27811</v>
          </cell>
          <cell r="Q714">
            <v>37081</v>
          </cell>
          <cell r="R714">
            <v>46123</v>
          </cell>
          <cell r="S714">
            <v>54523</v>
          </cell>
          <cell r="T714">
            <v>62923</v>
          </cell>
          <cell r="U714">
            <v>71323</v>
          </cell>
          <cell r="V714">
            <v>80992</v>
          </cell>
          <cell r="W714">
            <v>89899</v>
          </cell>
          <cell r="X714">
            <v>98806</v>
          </cell>
          <cell r="Y714">
            <v>107713</v>
          </cell>
          <cell r="Z714">
            <v>7062</v>
          </cell>
          <cell r="AA714">
            <v>14143</v>
          </cell>
          <cell r="AB714">
            <v>21224</v>
          </cell>
          <cell r="AC714">
            <v>28305</v>
          </cell>
          <cell r="AD714">
            <v>35386</v>
          </cell>
          <cell r="AE714">
            <v>42467</v>
          </cell>
          <cell r="AF714">
            <v>47029</v>
          </cell>
          <cell r="AG714">
            <v>56158</v>
          </cell>
          <cell r="AH714">
            <v>65276</v>
          </cell>
          <cell r="AI714">
            <v>77767</v>
          </cell>
          <cell r="AJ714">
            <v>90258</v>
          </cell>
          <cell r="AK714">
            <v>87566</v>
          </cell>
          <cell r="AL714">
            <v>0</v>
          </cell>
          <cell r="AM714">
            <v>2</v>
          </cell>
          <cell r="AN714" t="str">
            <v/>
          </cell>
          <cell r="AO714">
            <v>0</v>
          </cell>
          <cell r="AP714">
            <v>0</v>
          </cell>
          <cell r="AQ714">
            <v>0</v>
          </cell>
          <cell r="AR714">
            <v>760</v>
          </cell>
          <cell r="AS714">
            <v>0</v>
          </cell>
          <cell r="AT714" t="str">
            <v/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 t="str">
            <v/>
          </cell>
          <cell r="BK714">
            <v>7000</v>
          </cell>
          <cell r="BL714" t="str">
            <v>0</v>
          </cell>
          <cell r="BM714" t="str">
            <v>1</v>
          </cell>
          <cell r="BN714" t="str">
            <v/>
          </cell>
          <cell r="BO714" t="str">
            <v/>
          </cell>
        </row>
        <row r="715">
          <cell r="A715">
            <v>1</v>
          </cell>
          <cell r="B715">
            <v>4619003</v>
          </cell>
          <cell r="C715" t="str">
            <v>TAXES ET ASSURANCES</v>
          </cell>
          <cell r="D715" t="str">
            <v>TRANSFERT DIVISION SACS</v>
          </cell>
          <cell r="E715" t="str">
            <v>O</v>
          </cell>
          <cell r="F715">
            <v>0</v>
          </cell>
          <cell r="G715">
            <v>0</v>
          </cell>
          <cell r="H715">
            <v>24701</v>
          </cell>
          <cell r="I715">
            <v>27019</v>
          </cell>
          <cell r="J715">
            <v>2318</v>
          </cell>
          <cell r="K715">
            <v>0</v>
          </cell>
          <cell r="L715">
            <v>2227</v>
          </cell>
          <cell r="M715">
            <v>0</v>
          </cell>
          <cell r="N715">
            <v>2260</v>
          </cell>
          <cell r="O715">
            <v>4520</v>
          </cell>
          <cell r="P715">
            <v>6952</v>
          </cell>
          <cell r="Q715">
            <v>9270</v>
          </cell>
          <cell r="R715">
            <v>11530</v>
          </cell>
          <cell r="S715">
            <v>13630</v>
          </cell>
          <cell r="T715">
            <v>15730</v>
          </cell>
          <cell r="U715">
            <v>17830</v>
          </cell>
          <cell r="V715">
            <v>20247</v>
          </cell>
          <cell r="W715">
            <v>22474</v>
          </cell>
          <cell r="X715">
            <v>24701</v>
          </cell>
          <cell r="Y715">
            <v>26928</v>
          </cell>
          <cell r="Z715">
            <v>1766</v>
          </cell>
          <cell r="AA715">
            <v>3536</v>
          </cell>
          <cell r="AB715">
            <v>5306</v>
          </cell>
          <cell r="AC715">
            <v>7076</v>
          </cell>
          <cell r="AD715">
            <v>8846</v>
          </cell>
          <cell r="AE715">
            <v>10616</v>
          </cell>
          <cell r="AF715">
            <v>11757</v>
          </cell>
          <cell r="AG715">
            <v>14039</v>
          </cell>
          <cell r="AH715">
            <v>16319</v>
          </cell>
          <cell r="AI715">
            <v>19442</v>
          </cell>
          <cell r="AJ715">
            <v>22565</v>
          </cell>
          <cell r="AK715">
            <v>21892</v>
          </cell>
          <cell r="AL715">
            <v>0</v>
          </cell>
          <cell r="AM715">
            <v>3</v>
          </cell>
          <cell r="AN715" t="str">
            <v/>
          </cell>
          <cell r="AO715">
            <v>0</v>
          </cell>
          <cell r="AP715">
            <v>0</v>
          </cell>
          <cell r="AQ715">
            <v>0</v>
          </cell>
          <cell r="AR715">
            <v>760</v>
          </cell>
          <cell r="AS715">
            <v>0</v>
          </cell>
          <cell r="AT715" t="str">
            <v/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 t="str">
            <v/>
          </cell>
          <cell r="BK715">
            <v>7000</v>
          </cell>
          <cell r="BL715" t="str">
            <v>0</v>
          </cell>
          <cell r="BM715" t="str">
            <v>1</v>
          </cell>
          <cell r="BN715" t="str">
            <v/>
          </cell>
          <cell r="BO715" t="str">
            <v/>
          </cell>
        </row>
        <row r="716">
          <cell r="A716">
            <v>1</v>
          </cell>
          <cell r="B716">
            <v>4619004</v>
          </cell>
          <cell r="C716" t="str">
            <v>TAXES ET ASSURANCES</v>
          </cell>
          <cell r="D716" t="str">
            <v>TRANSFERT DIVISION BOITES</v>
          </cell>
          <cell r="E716" t="str">
            <v>O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4</v>
          </cell>
          <cell r="AN716" t="str">
            <v/>
          </cell>
          <cell r="AO716">
            <v>0</v>
          </cell>
          <cell r="AP716">
            <v>0</v>
          </cell>
          <cell r="AQ716">
            <v>0</v>
          </cell>
          <cell r="AR716">
            <v>760</v>
          </cell>
          <cell r="AS716">
            <v>0</v>
          </cell>
          <cell r="AT716" t="str">
            <v/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 t="str">
            <v/>
          </cell>
          <cell r="BK716">
            <v>7000</v>
          </cell>
          <cell r="BL716" t="str">
            <v>0</v>
          </cell>
          <cell r="BM716" t="str">
            <v>1</v>
          </cell>
          <cell r="BN716" t="str">
            <v/>
          </cell>
          <cell r="BO716" t="str">
            <v/>
          </cell>
        </row>
        <row r="717">
          <cell r="A717">
            <v>1</v>
          </cell>
          <cell r="B717">
            <v>4631001</v>
          </cell>
          <cell r="C717" t="str">
            <v>ENTREPOSAGE</v>
          </cell>
          <cell r="D717" t="str">
            <v>EXTERIEUR</v>
          </cell>
          <cell r="E717" t="str">
            <v>O</v>
          </cell>
          <cell r="F717">
            <v>0</v>
          </cell>
          <cell r="G717">
            <v>0</v>
          </cell>
          <cell r="H717">
            <v>86601.41</v>
          </cell>
          <cell r="I717">
            <v>86791.41</v>
          </cell>
          <cell r="J717">
            <v>190</v>
          </cell>
          <cell r="K717">
            <v>0</v>
          </cell>
          <cell r="L717">
            <v>28553.84</v>
          </cell>
          <cell r="M717">
            <v>0</v>
          </cell>
          <cell r="N717">
            <v>7256.35</v>
          </cell>
          <cell r="O717">
            <v>14671.44</v>
          </cell>
          <cell r="P717">
            <v>21927.8</v>
          </cell>
          <cell r="Q717">
            <v>29230.51</v>
          </cell>
          <cell r="R717">
            <v>36486.870000000003</v>
          </cell>
          <cell r="S717">
            <v>43792.29</v>
          </cell>
          <cell r="T717">
            <v>51098.71</v>
          </cell>
          <cell r="U717">
            <v>59065.07</v>
          </cell>
          <cell r="V717">
            <v>66562.16</v>
          </cell>
          <cell r="W717">
            <v>75343.899999999994</v>
          </cell>
          <cell r="X717">
            <v>86601.41</v>
          </cell>
          <cell r="Y717">
            <v>115155.25</v>
          </cell>
          <cell r="Z717">
            <v>4463.34</v>
          </cell>
          <cell r="AA717">
            <v>9515.67</v>
          </cell>
          <cell r="AB717">
            <v>12379.01</v>
          </cell>
          <cell r="AC717">
            <v>16842.349999999999</v>
          </cell>
          <cell r="AD717">
            <v>21305.69</v>
          </cell>
          <cell r="AE717">
            <v>25769.02</v>
          </cell>
          <cell r="AF717">
            <v>35917.71</v>
          </cell>
          <cell r="AG717">
            <v>43174.07</v>
          </cell>
          <cell r="AH717">
            <v>50430.43</v>
          </cell>
          <cell r="AI717">
            <v>57736.19</v>
          </cell>
          <cell r="AJ717">
            <v>65041.5</v>
          </cell>
          <cell r="AK717">
            <v>72344.929999999993</v>
          </cell>
          <cell r="AL717">
            <v>0</v>
          </cell>
          <cell r="AM717">
            <v>1</v>
          </cell>
          <cell r="AN717" t="str">
            <v/>
          </cell>
          <cell r="AO717">
            <v>0</v>
          </cell>
          <cell r="AP717">
            <v>0</v>
          </cell>
          <cell r="AQ717">
            <v>0</v>
          </cell>
          <cell r="AR717">
            <v>710</v>
          </cell>
          <cell r="AS717">
            <v>0</v>
          </cell>
          <cell r="AT717" t="str">
            <v/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 t="str">
            <v/>
          </cell>
          <cell r="BK717">
            <v>7000</v>
          </cell>
          <cell r="BL717" t="str">
            <v/>
          </cell>
          <cell r="BM717" t="str">
            <v>1</v>
          </cell>
          <cell r="BN717" t="str">
            <v/>
          </cell>
          <cell r="BO717" t="str">
            <v/>
          </cell>
        </row>
        <row r="718">
          <cell r="A718">
            <v>1</v>
          </cell>
          <cell r="B718">
            <v>4639001</v>
          </cell>
          <cell r="C718" t="str">
            <v>ENTREPOSAGE</v>
          </cell>
          <cell r="D718" t="str">
            <v>TRANSFERT DIVISION PAPIER</v>
          </cell>
          <cell r="E718" t="str">
            <v>O</v>
          </cell>
          <cell r="F718">
            <v>0</v>
          </cell>
          <cell r="G718">
            <v>0</v>
          </cell>
          <cell r="H718">
            <v>12887.56</v>
          </cell>
          <cell r="I718">
            <v>16492.560000000001</v>
          </cell>
          <cell r="J718">
            <v>3605</v>
          </cell>
          <cell r="K718">
            <v>0</v>
          </cell>
          <cell r="L718">
            <v>285</v>
          </cell>
          <cell r="M718">
            <v>75</v>
          </cell>
          <cell r="N718">
            <v>1480</v>
          </cell>
          <cell r="O718">
            <v>1580</v>
          </cell>
          <cell r="P718">
            <v>6430</v>
          </cell>
          <cell r="Q718">
            <v>7300</v>
          </cell>
          <cell r="R718">
            <v>7500</v>
          </cell>
          <cell r="S718">
            <v>8137.56</v>
          </cell>
          <cell r="T718">
            <v>9537.56</v>
          </cell>
          <cell r="U718">
            <v>9837.56</v>
          </cell>
          <cell r="V718">
            <v>12162.56</v>
          </cell>
          <cell r="W718">
            <v>12437.56</v>
          </cell>
          <cell r="X718">
            <v>12887.56</v>
          </cell>
          <cell r="Y718">
            <v>13097.56</v>
          </cell>
          <cell r="Z718">
            <v>0</v>
          </cell>
          <cell r="AA718">
            <v>0</v>
          </cell>
          <cell r="AB718">
            <v>3485</v>
          </cell>
          <cell r="AC718">
            <v>4165</v>
          </cell>
          <cell r="AD718">
            <v>4880</v>
          </cell>
          <cell r="AE718">
            <v>5715</v>
          </cell>
          <cell r="AF718">
            <v>9195</v>
          </cell>
          <cell r="AG718">
            <v>9965</v>
          </cell>
          <cell r="AH718">
            <v>10770</v>
          </cell>
          <cell r="AI718">
            <v>11615</v>
          </cell>
          <cell r="AJ718">
            <v>13528.42</v>
          </cell>
          <cell r="AK718">
            <v>15003.42</v>
          </cell>
          <cell r="AL718">
            <v>0</v>
          </cell>
          <cell r="AM718">
            <v>1</v>
          </cell>
          <cell r="AN718" t="str">
            <v/>
          </cell>
          <cell r="AO718">
            <v>0</v>
          </cell>
          <cell r="AP718">
            <v>0</v>
          </cell>
          <cell r="AQ718">
            <v>0</v>
          </cell>
          <cell r="AR718">
            <v>710</v>
          </cell>
          <cell r="AS718">
            <v>0</v>
          </cell>
          <cell r="AT718" t="str">
            <v/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 t="str">
            <v/>
          </cell>
          <cell r="BK718">
            <v>7000</v>
          </cell>
          <cell r="BL718" t="str">
            <v>0</v>
          </cell>
          <cell r="BM718" t="str">
            <v>1</v>
          </cell>
          <cell r="BN718" t="str">
            <v/>
          </cell>
          <cell r="BO718" t="str">
            <v/>
          </cell>
        </row>
        <row r="719">
          <cell r="A719">
            <v>1</v>
          </cell>
          <cell r="B719">
            <v>4639002</v>
          </cell>
          <cell r="C719" t="str">
            <v>ENTREPOSAGE</v>
          </cell>
          <cell r="D719" t="str">
            <v>TRANSFERT DIV. SERVIETTES</v>
          </cell>
          <cell r="E719" t="str">
            <v>O</v>
          </cell>
          <cell r="F719">
            <v>0</v>
          </cell>
          <cell r="G719">
            <v>0</v>
          </cell>
          <cell r="H719">
            <v>156195.79</v>
          </cell>
          <cell r="I719">
            <v>190017.39</v>
          </cell>
          <cell r="J719">
            <v>33821.599999999999</v>
          </cell>
          <cell r="K719">
            <v>0</v>
          </cell>
          <cell r="L719">
            <v>36135</v>
          </cell>
          <cell r="M719">
            <v>15500</v>
          </cell>
          <cell r="N719">
            <v>25243.35</v>
          </cell>
          <cell r="O719">
            <v>57584.74</v>
          </cell>
          <cell r="P719">
            <v>65460.42</v>
          </cell>
          <cell r="Q719">
            <v>87224.25</v>
          </cell>
          <cell r="R719">
            <v>99340.3</v>
          </cell>
          <cell r="S719">
            <v>132503.51</v>
          </cell>
          <cell r="T719">
            <v>142960.64000000001</v>
          </cell>
          <cell r="U719">
            <v>147450.9</v>
          </cell>
          <cell r="V719">
            <v>154695.79</v>
          </cell>
          <cell r="W719">
            <v>156195.79</v>
          </cell>
          <cell r="X719">
            <v>156195.79</v>
          </cell>
          <cell r="Y719">
            <v>176830.79</v>
          </cell>
          <cell r="Z719">
            <v>15188.63</v>
          </cell>
          <cell r="AA719">
            <v>50508.88</v>
          </cell>
          <cell r="AB719">
            <v>73268.850000000006</v>
          </cell>
          <cell r="AC719">
            <v>111876.92</v>
          </cell>
          <cell r="AD719">
            <v>143121.04999999999</v>
          </cell>
          <cell r="AE719">
            <v>205883.35</v>
          </cell>
          <cell r="AF719">
            <v>225459.4</v>
          </cell>
          <cell r="AG719">
            <v>247235.66</v>
          </cell>
          <cell r="AH719">
            <v>305876.90000000002</v>
          </cell>
          <cell r="AI719">
            <v>97693.13</v>
          </cell>
          <cell r="AJ719">
            <v>114735.76</v>
          </cell>
          <cell r="AK719">
            <v>131443.74</v>
          </cell>
          <cell r="AL719">
            <v>0</v>
          </cell>
          <cell r="AM719">
            <v>2</v>
          </cell>
          <cell r="AN719" t="str">
            <v/>
          </cell>
          <cell r="AO719">
            <v>0</v>
          </cell>
          <cell r="AP719">
            <v>0</v>
          </cell>
          <cell r="AQ719">
            <v>0</v>
          </cell>
          <cell r="AR719">
            <v>710</v>
          </cell>
          <cell r="AS719">
            <v>0</v>
          </cell>
          <cell r="AT719" t="str">
            <v/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 t="str">
            <v/>
          </cell>
          <cell r="BK719">
            <v>7000</v>
          </cell>
          <cell r="BL719" t="str">
            <v>0</v>
          </cell>
          <cell r="BM719" t="str">
            <v>1</v>
          </cell>
          <cell r="BN719" t="str">
            <v/>
          </cell>
          <cell r="BO719" t="str">
            <v/>
          </cell>
        </row>
        <row r="720">
          <cell r="A720">
            <v>1</v>
          </cell>
          <cell r="B720">
            <v>4639003</v>
          </cell>
          <cell r="C720" t="str">
            <v>ENTREPOSAGE</v>
          </cell>
          <cell r="D720" t="str">
            <v>TRANSFERT DIVISION SACS</v>
          </cell>
          <cell r="E720" t="str">
            <v>O</v>
          </cell>
          <cell r="F720">
            <v>0</v>
          </cell>
          <cell r="G720">
            <v>0</v>
          </cell>
          <cell r="H720">
            <v>8075.83</v>
          </cell>
          <cell r="I720">
            <v>8075.83</v>
          </cell>
          <cell r="J720">
            <v>0</v>
          </cell>
          <cell r="K720">
            <v>0</v>
          </cell>
          <cell r="L720">
            <v>4927</v>
          </cell>
          <cell r="M720">
            <v>0</v>
          </cell>
          <cell r="N720">
            <v>2011.44</v>
          </cell>
          <cell r="O720">
            <v>8075.83</v>
          </cell>
          <cell r="P720">
            <v>8075.83</v>
          </cell>
          <cell r="Q720">
            <v>8075.83</v>
          </cell>
          <cell r="R720">
            <v>8075.83</v>
          </cell>
          <cell r="S720">
            <v>8075.83</v>
          </cell>
          <cell r="T720">
            <v>8075.83</v>
          </cell>
          <cell r="U720">
            <v>8075.83</v>
          </cell>
          <cell r="V720">
            <v>8075.83</v>
          </cell>
          <cell r="W720">
            <v>8075.83</v>
          </cell>
          <cell r="X720">
            <v>8075.83</v>
          </cell>
          <cell r="Y720">
            <v>13002.83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128.63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3</v>
          </cell>
          <cell r="AN720" t="str">
            <v/>
          </cell>
          <cell r="AO720">
            <v>0</v>
          </cell>
          <cell r="AP720">
            <v>0</v>
          </cell>
          <cell r="AQ720">
            <v>0</v>
          </cell>
          <cell r="AR720">
            <v>710</v>
          </cell>
          <cell r="AS720">
            <v>0</v>
          </cell>
          <cell r="AT720" t="str">
            <v/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 t="str">
            <v/>
          </cell>
          <cell r="BK720">
            <v>7000</v>
          </cell>
          <cell r="BL720" t="str">
            <v>0</v>
          </cell>
          <cell r="BM720" t="str">
            <v>1</v>
          </cell>
          <cell r="BN720" t="str">
            <v/>
          </cell>
          <cell r="BO720" t="str">
            <v/>
          </cell>
        </row>
        <row r="721">
          <cell r="A721">
            <v>1</v>
          </cell>
          <cell r="B721">
            <v>4639004</v>
          </cell>
          <cell r="C721" t="str">
            <v>ENTREPOSAGE</v>
          </cell>
          <cell r="D721" t="str">
            <v>TRANSFERT DIVISION BOITES</v>
          </cell>
          <cell r="E721" t="str">
            <v>O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97</v>
          </cell>
          <cell r="AA721">
            <v>97</v>
          </cell>
          <cell r="AB721">
            <v>97</v>
          </cell>
          <cell r="AC721">
            <v>97</v>
          </cell>
          <cell r="AD721">
            <v>97</v>
          </cell>
          <cell r="AE721">
            <v>97</v>
          </cell>
          <cell r="AF721">
            <v>97</v>
          </cell>
          <cell r="AG721">
            <v>97</v>
          </cell>
          <cell r="AH721">
            <v>97</v>
          </cell>
          <cell r="AI721">
            <v>97</v>
          </cell>
          <cell r="AJ721">
            <v>97</v>
          </cell>
          <cell r="AK721">
            <v>97</v>
          </cell>
          <cell r="AL721">
            <v>0</v>
          </cell>
          <cell r="AM721">
            <v>4</v>
          </cell>
          <cell r="AN721" t="str">
            <v/>
          </cell>
          <cell r="AO721">
            <v>0</v>
          </cell>
          <cell r="AP721">
            <v>0</v>
          </cell>
          <cell r="AQ721">
            <v>0</v>
          </cell>
          <cell r="AR721">
            <v>710</v>
          </cell>
          <cell r="AS721">
            <v>0</v>
          </cell>
          <cell r="AT721" t="str">
            <v/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 t="str">
            <v/>
          </cell>
          <cell r="BK721">
            <v>7000</v>
          </cell>
          <cell r="BL721" t="str">
            <v>0</v>
          </cell>
          <cell r="BM721" t="str">
            <v>1</v>
          </cell>
          <cell r="BN721" t="str">
            <v/>
          </cell>
          <cell r="BO721" t="str">
            <v/>
          </cell>
        </row>
        <row r="722">
          <cell r="A722">
            <v>1</v>
          </cell>
          <cell r="B722">
            <v>4701221</v>
          </cell>
          <cell r="C722" t="str">
            <v>VENTE ENTRE DIVISION</v>
          </cell>
          <cell r="D722" t="str">
            <v>BRUN 22</v>
          </cell>
          <cell r="E722" t="str">
            <v>N</v>
          </cell>
          <cell r="F722">
            <v>0</v>
          </cell>
          <cell r="G722">
            <v>0</v>
          </cell>
          <cell r="H722">
            <v>10428472.51</v>
          </cell>
          <cell r="I722">
            <v>4637392.07</v>
          </cell>
          <cell r="J722">
            <v>15065864.58</v>
          </cell>
          <cell r="K722">
            <v>0</v>
          </cell>
          <cell r="L722">
            <v>0</v>
          </cell>
          <cell r="M722">
            <v>741410</v>
          </cell>
          <cell r="N722">
            <v>833125</v>
          </cell>
          <cell r="O722">
            <v>1714090.98</v>
          </cell>
          <cell r="P722">
            <v>2582778.2799999998</v>
          </cell>
          <cell r="Q722">
            <v>3192086.18</v>
          </cell>
          <cell r="R722">
            <v>4316321.93</v>
          </cell>
          <cell r="S722">
            <v>5237859.33</v>
          </cell>
          <cell r="T722">
            <v>6176473.5800000001</v>
          </cell>
          <cell r="U722">
            <v>7085748.0300000003</v>
          </cell>
          <cell r="V722">
            <v>8151211.0300000003</v>
          </cell>
          <cell r="W722">
            <v>9290823.0299999993</v>
          </cell>
          <cell r="X722">
            <v>10428472.51</v>
          </cell>
          <cell r="Y722">
            <v>11169882.51</v>
          </cell>
          <cell r="Z722">
            <v>622150</v>
          </cell>
          <cell r="AA722">
            <v>1242575</v>
          </cell>
          <cell r="AB722">
            <v>2083681.88</v>
          </cell>
          <cell r="AC722">
            <v>2953206.88</v>
          </cell>
          <cell r="AD722">
            <v>3755080.32</v>
          </cell>
          <cell r="AE722">
            <v>4657119.07</v>
          </cell>
          <cell r="AF722">
            <v>5414619.0700000003</v>
          </cell>
          <cell r="AG722">
            <v>6228850.3200000003</v>
          </cell>
          <cell r="AH722">
            <v>7131044.0700000003</v>
          </cell>
          <cell r="AI722">
            <v>8050731.5700000003</v>
          </cell>
          <cell r="AJ722">
            <v>8989481.5700000003</v>
          </cell>
          <cell r="AK722">
            <v>9708231.5700000003</v>
          </cell>
          <cell r="AL722">
            <v>0</v>
          </cell>
          <cell r="AM722">
            <v>1</v>
          </cell>
          <cell r="AN722" t="str">
            <v/>
          </cell>
          <cell r="AO722">
            <v>0</v>
          </cell>
          <cell r="AP722">
            <v>0</v>
          </cell>
          <cell r="AQ722">
            <v>0</v>
          </cell>
          <cell r="AR722">
            <v>660</v>
          </cell>
          <cell r="AS722">
            <v>0</v>
          </cell>
          <cell r="AT722" t="str">
            <v/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30020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 t="str">
            <v/>
          </cell>
          <cell r="BK722">
            <v>5000</v>
          </cell>
          <cell r="BL722" t="str">
            <v>0</v>
          </cell>
          <cell r="BM722" t="str">
            <v>1</v>
          </cell>
          <cell r="BN722" t="str">
            <v/>
          </cell>
          <cell r="BO722" t="str">
            <v/>
          </cell>
        </row>
        <row r="723">
          <cell r="A723">
            <v>1</v>
          </cell>
          <cell r="B723">
            <v>4701271</v>
          </cell>
          <cell r="C723" t="str">
            <v>VENTE ENTRE DIVISION</v>
          </cell>
          <cell r="D723" t="str">
            <v>BRUN 27</v>
          </cell>
          <cell r="E723" t="str">
            <v>N</v>
          </cell>
          <cell r="F723">
            <v>0</v>
          </cell>
          <cell r="G723">
            <v>0</v>
          </cell>
          <cell r="H723">
            <v>2251350.36</v>
          </cell>
          <cell r="I723">
            <v>1291395.94</v>
          </cell>
          <cell r="J723">
            <v>3542746.3</v>
          </cell>
          <cell r="K723">
            <v>0</v>
          </cell>
          <cell r="L723">
            <v>0</v>
          </cell>
          <cell r="M723">
            <v>228328</v>
          </cell>
          <cell r="N723">
            <v>300000</v>
          </cell>
          <cell r="O723">
            <v>625663.24</v>
          </cell>
          <cell r="P723">
            <v>889547.97</v>
          </cell>
          <cell r="Q723">
            <v>1024174.32</v>
          </cell>
          <cell r="R723">
            <v>1276010.56</v>
          </cell>
          <cell r="S723">
            <v>1495790.41</v>
          </cell>
          <cell r="T723">
            <v>1654667.41</v>
          </cell>
          <cell r="U723">
            <v>1800388.86</v>
          </cell>
          <cell r="V723">
            <v>1894087.36</v>
          </cell>
          <cell r="W723">
            <v>2041928.36</v>
          </cell>
          <cell r="X723">
            <v>2251350.36</v>
          </cell>
          <cell r="Y723">
            <v>2479678.36</v>
          </cell>
          <cell r="Z723">
            <v>210450</v>
          </cell>
          <cell r="AA723">
            <v>473800</v>
          </cell>
          <cell r="AB723">
            <v>641926.25</v>
          </cell>
          <cell r="AC723">
            <v>903289.25</v>
          </cell>
          <cell r="AD723">
            <v>1099345.5</v>
          </cell>
          <cell r="AE723">
            <v>1317650</v>
          </cell>
          <cell r="AF723">
            <v>1480375</v>
          </cell>
          <cell r="AG723">
            <v>1738408.69</v>
          </cell>
          <cell r="AH723">
            <v>1988857.13</v>
          </cell>
          <cell r="AI723">
            <v>2270107.13</v>
          </cell>
          <cell r="AJ723">
            <v>2556982.13</v>
          </cell>
          <cell r="AK723">
            <v>2841982.13</v>
          </cell>
          <cell r="AL723">
            <v>0</v>
          </cell>
          <cell r="AM723">
            <v>1</v>
          </cell>
          <cell r="AN723" t="str">
            <v/>
          </cell>
          <cell r="AO723">
            <v>0</v>
          </cell>
          <cell r="AP723">
            <v>0</v>
          </cell>
          <cell r="AQ723">
            <v>0</v>
          </cell>
          <cell r="AR723">
            <v>660</v>
          </cell>
          <cell r="AS723">
            <v>0</v>
          </cell>
          <cell r="AT723" t="str">
            <v/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30062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 t="str">
            <v/>
          </cell>
          <cell r="BK723">
            <v>5000</v>
          </cell>
          <cell r="BL723" t="str">
            <v>0</v>
          </cell>
          <cell r="BM723" t="str">
            <v>1</v>
          </cell>
          <cell r="BN723" t="str">
            <v/>
          </cell>
          <cell r="BO723" t="str">
            <v/>
          </cell>
        </row>
        <row r="724">
          <cell r="A724">
            <v>1</v>
          </cell>
          <cell r="B724">
            <v>4702271</v>
          </cell>
          <cell r="C724" t="str">
            <v>VENTE ENTRE DIVISION</v>
          </cell>
          <cell r="D724" t="str">
            <v>BRUN 27 HWS</v>
          </cell>
          <cell r="E724" t="str">
            <v>N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1</v>
          </cell>
          <cell r="AN724" t="str">
            <v/>
          </cell>
          <cell r="AO724">
            <v>0</v>
          </cell>
          <cell r="AP724">
            <v>0</v>
          </cell>
          <cell r="AQ724">
            <v>0</v>
          </cell>
          <cell r="AR724">
            <v>660</v>
          </cell>
          <cell r="AS724">
            <v>0</v>
          </cell>
          <cell r="AT724" t="str">
            <v/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 t="str">
            <v/>
          </cell>
          <cell r="BK724">
            <v>5000</v>
          </cell>
          <cell r="BL724" t="str">
            <v>0</v>
          </cell>
          <cell r="BM724" t="str">
            <v>1</v>
          </cell>
          <cell r="BN724" t="str">
            <v/>
          </cell>
          <cell r="BO724" t="str">
            <v/>
          </cell>
        </row>
        <row r="725">
          <cell r="A725">
            <v>1</v>
          </cell>
          <cell r="B725">
            <v>4702301</v>
          </cell>
          <cell r="C725" t="str">
            <v>VENTE ENTRE DIVISION</v>
          </cell>
          <cell r="D725" t="str">
            <v>BRUN 30 HWS</v>
          </cell>
          <cell r="E725" t="str">
            <v>N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1</v>
          </cell>
          <cell r="AN725" t="str">
            <v/>
          </cell>
          <cell r="AO725">
            <v>0</v>
          </cell>
          <cell r="AP725">
            <v>0</v>
          </cell>
          <cell r="AQ725">
            <v>0</v>
          </cell>
          <cell r="AR725">
            <v>660</v>
          </cell>
          <cell r="AS725">
            <v>0</v>
          </cell>
          <cell r="AT725" t="str">
            <v/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 t="str">
            <v/>
          </cell>
          <cell r="BK725">
            <v>5000</v>
          </cell>
          <cell r="BL725" t="str">
            <v>0</v>
          </cell>
          <cell r="BM725" t="str">
            <v>1</v>
          </cell>
          <cell r="BN725" t="str">
            <v/>
          </cell>
          <cell r="BO725" t="str">
            <v/>
          </cell>
        </row>
        <row r="726">
          <cell r="A726">
            <v>1</v>
          </cell>
          <cell r="B726">
            <v>4702311</v>
          </cell>
          <cell r="C726" t="str">
            <v>VENTE ENTRE DIVISION</v>
          </cell>
          <cell r="D726" t="str">
            <v>BRUN 31 HWS</v>
          </cell>
          <cell r="E726" t="str">
            <v>N</v>
          </cell>
          <cell r="F726">
            <v>0</v>
          </cell>
          <cell r="G726">
            <v>0</v>
          </cell>
          <cell r="H726">
            <v>713708.48</v>
          </cell>
          <cell r="I726">
            <v>774635.7</v>
          </cell>
          <cell r="J726">
            <v>1488344.18</v>
          </cell>
          <cell r="K726">
            <v>0</v>
          </cell>
          <cell r="L726">
            <v>0</v>
          </cell>
          <cell r="M726">
            <v>51638</v>
          </cell>
          <cell r="N726">
            <v>60750</v>
          </cell>
          <cell r="O726">
            <v>144275.63</v>
          </cell>
          <cell r="P726">
            <v>209617.88</v>
          </cell>
          <cell r="Q726">
            <v>247635.38</v>
          </cell>
          <cell r="R726">
            <v>298102.88</v>
          </cell>
          <cell r="S726">
            <v>392152.88</v>
          </cell>
          <cell r="T726">
            <v>430702.88</v>
          </cell>
          <cell r="U726">
            <v>500333.48</v>
          </cell>
          <cell r="V726">
            <v>548810.48</v>
          </cell>
          <cell r="W726">
            <v>638034.48</v>
          </cell>
          <cell r="X726">
            <v>713708.48</v>
          </cell>
          <cell r="Y726">
            <v>765346.48</v>
          </cell>
          <cell r="Z726">
            <v>43170</v>
          </cell>
          <cell r="AA726">
            <v>110611.88</v>
          </cell>
          <cell r="AB726">
            <v>166216.88</v>
          </cell>
          <cell r="AC726">
            <v>255309.38</v>
          </cell>
          <cell r="AD726">
            <v>358231.88</v>
          </cell>
          <cell r="AE726">
            <v>499644.38</v>
          </cell>
          <cell r="AF726">
            <v>629596.88</v>
          </cell>
          <cell r="AG726">
            <v>672881.26</v>
          </cell>
          <cell r="AH726">
            <v>684416.26</v>
          </cell>
          <cell r="AI726">
            <v>706916.26</v>
          </cell>
          <cell r="AJ726">
            <v>744416.26</v>
          </cell>
          <cell r="AK726">
            <v>802916.26</v>
          </cell>
          <cell r="AL726">
            <v>0</v>
          </cell>
          <cell r="AM726">
            <v>1</v>
          </cell>
          <cell r="AN726" t="str">
            <v/>
          </cell>
          <cell r="AO726">
            <v>0</v>
          </cell>
          <cell r="AP726">
            <v>0</v>
          </cell>
          <cell r="AQ726">
            <v>0</v>
          </cell>
          <cell r="AR726">
            <v>660</v>
          </cell>
          <cell r="AS726">
            <v>0</v>
          </cell>
          <cell r="AT726" t="str">
            <v/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30085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 t="str">
            <v/>
          </cell>
          <cell r="BK726">
            <v>5000</v>
          </cell>
          <cell r="BL726" t="str">
            <v>0</v>
          </cell>
          <cell r="BM726" t="str">
            <v>1</v>
          </cell>
          <cell r="BN726" t="str">
            <v/>
          </cell>
          <cell r="BO726" t="str">
            <v/>
          </cell>
        </row>
        <row r="727">
          <cell r="A727">
            <v>1</v>
          </cell>
          <cell r="B727">
            <v>4703201</v>
          </cell>
          <cell r="C727" t="str">
            <v>VENTE ENTRE DIVISION</v>
          </cell>
          <cell r="D727" t="str">
            <v>BLANC 20</v>
          </cell>
          <cell r="E727" t="str">
            <v>N</v>
          </cell>
          <cell r="F727">
            <v>0</v>
          </cell>
          <cell r="G727">
            <v>0</v>
          </cell>
          <cell r="H727">
            <v>4434206.33</v>
          </cell>
          <cell r="I727">
            <v>1898650.36</v>
          </cell>
          <cell r="J727">
            <v>6332856.6900000004</v>
          </cell>
          <cell r="K727">
            <v>0</v>
          </cell>
          <cell r="L727">
            <v>0</v>
          </cell>
          <cell r="M727">
            <v>293461</v>
          </cell>
          <cell r="N727">
            <v>266280</v>
          </cell>
          <cell r="O727">
            <v>651246.16</v>
          </cell>
          <cell r="P727">
            <v>978543.82</v>
          </cell>
          <cell r="Q727">
            <v>1330197.82</v>
          </cell>
          <cell r="R727">
            <v>1783353.02</v>
          </cell>
          <cell r="S727">
            <v>2190166.2200000002</v>
          </cell>
          <cell r="T727">
            <v>2660351.5299999998</v>
          </cell>
          <cell r="U727">
            <v>3105745.02</v>
          </cell>
          <cell r="V727">
            <v>3568222.33</v>
          </cell>
          <cell r="W727">
            <v>4043926.33</v>
          </cell>
          <cell r="X727">
            <v>4434206.33</v>
          </cell>
          <cell r="Y727">
            <v>4727667.33</v>
          </cell>
          <cell r="Z727">
            <v>233600</v>
          </cell>
          <cell r="AA727">
            <v>489600</v>
          </cell>
          <cell r="AB727">
            <v>783350</v>
          </cell>
          <cell r="AC727">
            <v>1036942</v>
          </cell>
          <cell r="AD727">
            <v>1341166</v>
          </cell>
          <cell r="AE727">
            <v>1698622</v>
          </cell>
          <cell r="AF727">
            <v>2016374</v>
          </cell>
          <cell r="AG727">
            <v>2351440</v>
          </cell>
          <cell r="AH727">
            <v>2648622</v>
          </cell>
          <cell r="AI727">
            <v>2963022</v>
          </cell>
          <cell r="AJ727">
            <v>3187822</v>
          </cell>
          <cell r="AK727">
            <v>3410422</v>
          </cell>
          <cell r="AL727">
            <v>0</v>
          </cell>
          <cell r="AM727">
            <v>1</v>
          </cell>
          <cell r="AN727" t="str">
            <v/>
          </cell>
          <cell r="AO727">
            <v>0</v>
          </cell>
          <cell r="AP727">
            <v>0</v>
          </cell>
          <cell r="AQ727">
            <v>0</v>
          </cell>
          <cell r="AR727">
            <v>660</v>
          </cell>
          <cell r="AS727">
            <v>0</v>
          </cell>
          <cell r="AT727" t="str">
            <v/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31001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 t="str">
            <v/>
          </cell>
          <cell r="BK727">
            <v>5000</v>
          </cell>
          <cell r="BL727" t="str">
            <v>0</v>
          </cell>
          <cell r="BM727" t="str">
            <v>1</v>
          </cell>
          <cell r="BN727" t="str">
            <v/>
          </cell>
          <cell r="BO727" t="str">
            <v/>
          </cell>
        </row>
        <row r="728">
          <cell r="A728">
            <v>1</v>
          </cell>
          <cell r="B728">
            <v>4703261</v>
          </cell>
          <cell r="C728" t="str">
            <v>VENTE ENTRE DIVISION</v>
          </cell>
          <cell r="D728" t="str">
            <v>BLANC 26</v>
          </cell>
          <cell r="E728" t="str">
            <v>N</v>
          </cell>
          <cell r="F728">
            <v>0</v>
          </cell>
          <cell r="G728">
            <v>0</v>
          </cell>
          <cell r="H728">
            <v>1884435.2</v>
          </cell>
          <cell r="I728">
            <v>983732.4</v>
          </cell>
          <cell r="J728">
            <v>2868167.6</v>
          </cell>
          <cell r="K728">
            <v>0</v>
          </cell>
          <cell r="L728">
            <v>0</v>
          </cell>
          <cell r="M728">
            <v>169335</v>
          </cell>
          <cell r="N728">
            <v>153720</v>
          </cell>
          <cell r="O728">
            <v>349806.35</v>
          </cell>
          <cell r="P728">
            <v>498794</v>
          </cell>
          <cell r="Q728">
            <v>677732.4</v>
          </cell>
          <cell r="R728">
            <v>950370</v>
          </cell>
          <cell r="S728">
            <v>1152197.3999999999</v>
          </cell>
          <cell r="T728">
            <v>1320542</v>
          </cell>
          <cell r="U728">
            <v>1468526.2</v>
          </cell>
          <cell r="V728">
            <v>1601254.2</v>
          </cell>
          <cell r="W728">
            <v>1733134.2</v>
          </cell>
          <cell r="X728">
            <v>1884435.2</v>
          </cell>
          <cell r="Y728">
            <v>2053770.2</v>
          </cell>
          <cell r="Z728">
            <v>82400</v>
          </cell>
          <cell r="AA728">
            <v>204000</v>
          </cell>
          <cell r="AB728">
            <v>298758</v>
          </cell>
          <cell r="AC728">
            <v>372934</v>
          </cell>
          <cell r="AD728">
            <v>497028</v>
          </cell>
          <cell r="AE728">
            <v>643316</v>
          </cell>
          <cell r="AF728">
            <v>776116</v>
          </cell>
          <cell r="AG728">
            <v>933090</v>
          </cell>
          <cell r="AH728">
            <v>1081540</v>
          </cell>
          <cell r="AI728">
            <v>1203940</v>
          </cell>
          <cell r="AJ728">
            <v>1339140</v>
          </cell>
          <cell r="AK728">
            <v>1458420</v>
          </cell>
          <cell r="AL728">
            <v>0</v>
          </cell>
          <cell r="AM728">
            <v>1</v>
          </cell>
          <cell r="AN728" t="str">
            <v/>
          </cell>
          <cell r="AO728">
            <v>0</v>
          </cell>
          <cell r="AP728">
            <v>0</v>
          </cell>
          <cell r="AQ728">
            <v>0</v>
          </cell>
          <cell r="AR728">
            <v>660</v>
          </cell>
          <cell r="AS728">
            <v>0</v>
          </cell>
          <cell r="AT728" t="str">
            <v/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31047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 t="str">
            <v/>
          </cell>
          <cell r="BK728">
            <v>5000</v>
          </cell>
          <cell r="BL728" t="str">
            <v>0</v>
          </cell>
          <cell r="BM728" t="str">
            <v>1</v>
          </cell>
          <cell r="BN728" t="str">
            <v/>
          </cell>
          <cell r="BO728" t="str">
            <v/>
          </cell>
        </row>
        <row r="729">
          <cell r="A729">
            <v>1</v>
          </cell>
          <cell r="B729">
            <v>4704271</v>
          </cell>
          <cell r="C729" t="str">
            <v>VENTE ENTRE DIVISION</v>
          </cell>
          <cell r="D729" t="str">
            <v>PERLE 27</v>
          </cell>
          <cell r="E729" t="str">
            <v>N</v>
          </cell>
          <cell r="F729">
            <v>0</v>
          </cell>
          <cell r="G729">
            <v>0</v>
          </cell>
          <cell r="H729">
            <v>380060.2</v>
          </cell>
          <cell r="I729">
            <v>162946</v>
          </cell>
          <cell r="J729">
            <v>543006.19999999995</v>
          </cell>
          <cell r="K729">
            <v>0</v>
          </cell>
          <cell r="L729">
            <v>0</v>
          </cell>
          <cell r="M729">
            <v>10189</v>
          </cell>
          <cell r="N729">
            <v>28700</v>
          </cell>
          <cell r="O729">
            <v>81363.45</v>
          </cell>
          <cell r="P729">
            <v>128300.2</v>
          </cell>
          <cell r="Q729">
            <v>172456.2</v>
          </cell>
          <cell r="R729">
            <v>213560.2</v>
          </cell>
          <cell r="S729">
            <v>245781.2</v>
          </cell>
          <cell r="T729">
            <v>273459.20000000001</v>
          </cell>
          <cell r="U729">
            <v>302040.2</v>
          </cell>
          <cell r="V729">
            <v>319022.2</v>
          </cell>
          <cell r="W729">
            <v>347217.2</v>
          </cell>
          <cell r="X729">
            <v>380060.2</v>
          </cell>
          <cell r="Y729">
            <v>390249.2</v>
          </cell>
          <cell r="Z729">
            <v>38844</v>
          </cell>
          <cell r="AA729">
            <v>81744</v>
          </cell>
          <cell r="AB729">
            <v>131531.07999999999</v>
          </cell>
          <cell r="AC729">
            <v>185182.07999999999</v>
          </cell>
          <cell r="AD729">
            <v>220395.83</v>
          </cell>
          <cell r="AE729">
            <v>280202.33</v>
          </cell>
          <cell r="AF729">
            <v>313592.83</v>
          </cell>
          <cell r="AG729">
            <v>360614.83</v>
          </cell>
          <cell r="AH729">
            <v>397662.83</v>
          </cell>
          <cell r="AI729">
            <v>446412.83</v>
          </cell>
          <cell r="AJ729">
            <v>482162.83</v>
          </cell>
          <cell r="AK729">
            <v>545862.82999999996</v>
          </cell>
          <cell r="AL729">
            <v>0</v>
          </cell>
          <cell r="AM729">
            <v>1</v>
          </cell>
          <cell r="AN729" t="str">
            <v/>
          </cell>
          <cell r="AO729">
            <v>0</v>
          </cell>
          <cell r="AP729">
            <v>0</v>
          </cell>
          <cell r="AQ729">
            <v>0</v>
          </cell>
          <cell r="AR729">
            <v>660</v>
          </cell>
          <cell r="AS729">
            <v>0</v>
          </cell>
          <cell r="AT729" t="str">
            <v/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31050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 t="str">
            <v/>
          </cell>
          <cell r="BK729">
            <v>5000</v>
          </cell>
          <cell r="BL729" t="str">
            <v>0</v>
          </cell>
          <cell r="BM729" t="str">
            <v>1</v>
          </cell>
          <cell r="BN729" t="str">
            <v/>
          </cell>
          <cell r="BO729" t="str">
            <v/>
          </cell>
        </row>
        <row r="730">
          <cell r="A730">
            <v>1</v>
          </cell>
          <cell r="B730">
            <v>4781001</v>
          </cell>
          <cell r="C730" t="str">
            <v>HONORAIRES A L'AGENT</v>
          </cell>
          <cell r="D730" t="str">
            <v>GLOBAL</v>
          </cell>
          <cell r="E730" t="str">
            <v>O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1</v>
          </cell>
          <cell r="AN730" t="str">
            <v/>
          </cell>
          <cell r="AO730">
            <v>0</v>
          </cell>
          <cell r="AP730">
            <v>0</v>
          </cell>
          <cell r="AQ730">
            <v>0</v>
          </cell>
          <cell r="AR730">
            <v>800</v>
          </cell>
          <cell r="AS730">
            <v>0</v>
          </cell>
          <cell r="AT730" t="str">
            <v/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 t="str">
            <v/>
          </cell>
          <cell r="BK730">
            <v>4100</v>
          </cell>
          <cell r="BL730" t="str">
            <v/>
          </cell>
          <cell r="BM730" t="str">
            <v>1</v>
          </cell>
          <cell r="BN730" t="str">
            <v/>
          </cell>
          <cell r="BO730" t="str">
            <v/>
          </cell>
        </row>
        <row r="731">
          <cell r="A731">
            <v>1</v>
          </cell>
          <cell r="B731">
            <v>4787001</v>
          </cell>
          <cell r="C731" t="str">
            <v>HONORAIRES A L'AGENT</v>
          </cell>
          <cell r="D731" t="str">
            <v>AGENTS</v>
          </cell>
          <cell r="E731" t="str">
            <v>O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1</v>
          </cell>
          <cell r="AN731" t="str">
            <v/>
          </cell>
          <cell r="AO731">
            <v>0</v>
          </cell>
          <cell r="AP731">
            <v>0</v>
          </cell>
          <cell r="AQ731">
            <v>0</v>
          </cell>
          <cell r="AR731">
            <v>800</v>
          </cell>
          <cell r="AS731">
            <v>0</v>
          </cell>
          <cell r="AT731" t="str">
            <v/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 t="str">
            <v/>
          </cell>
          <cell r="BK731">
            <v>4100</v>
          </cell>
          <cell r="BL731" t="str">
            <v/>
          </cell>
          <cell r="BM731" t="str">
            <v>1</v>
          </cell>
          <cell r="BN731" t="str">
            <v/>
          </cell>
          <cell r="BO731" t="str">
            <v/>
          </cell>
        </row>
        <row r="732">
          <cell r="A732">
            <v>1</v>
          </cell>
          <cell r="B732">
            <v>4787002</v>
          </cell>
          <cell r="C732" t="str">
            <v>HONORAIRES A L'AGENT</v>
          </cell>
          <cell r="D732" t="str">
            <v>AGENTS</v>
          </cell>
          <cell r="E732" t="str">
            <v>O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2</v>
          </cell>
          <cell r="AN732" t="str">
            <v/>
          </cell>
          <cell r="AO732">
            <v>0</v>
          </cell>
          <cell r="AP732">
            <v>0</v>
          </cell>
          <cell r="AQ732">
            <v>0</v>
          </cell>
          <cell r="AR732">
            <v>800</v>
          </cell>
          <cell r="AS732">
            <v>0</v>
          </cell>
          <cell r="AT732" t="str">
            <v/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 t="str">
            <v/>
          </cell>
          <cell r="BK732">
            <v>4100</v>
          </cell>
          <cell r="BL732" t="str">
            <v/>
          </cell>
          <cell r="BM732" t="str">
            <v>1</v>
          </cell>
          <cell r="BN732" t="str">
            <v/>
          </cell>
          <cell r="BO732" t="str">
            <v/>
          </cell>
        </row>
        <row r="733">
          <cell r="A733">
            <v>1</v>
          </cell>
          <cell r="B733">
            <v>4787012</v>
          </cell>
          <cell r="C733" t="str">
            <v>HONORAIRES A L'AGENT</v>
          </cell>
          <cell r="D733" t="str">
            <v>MUNN &amp; CO</v>
          </cell>
          <cell r="E733" t="str">
            <v>O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2</v>
          </cell>
          <cell r="AN733" t="str">
            <v/>
          </cell>
          <cell r="AO733">
            <v>0</v>
          </cell>
          <cell r="AP733">
            <v>0</v>
          </cell>
          <cell r="AQ733">
            <v>0</v>
          </cell>
          <cell r="AR733">
            <v>800</v>
          </cell>
          <cell r="AS733">
            <v>0</v>
          </cell>
          <cell r="AT733" t="str">
            <v/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 t="str">
            <v/>
          </cell>
          <cell r="BK733">
            <v>4100</v>
          </cell>
          <cell r="BL733" t="str">
            <v/>
          </cell>
          <cell r="BM733" t="str">
            <v>1</v>
          </cell>
          <cell r="BN733" t="str">
            <v/>
          </cell>
          <cell r="BO733" t="str">
            <v/>
          </cell>
        </row>
        <row r="734">
          <cell r="A734">
            <v>1</v>
          </cell>
          <cell r="B734">
            <v>4787022</v>
          </cell>
          <cell r="C734" t="str">
            <v>HONORAIRES A L'AGENT</v>
          </cell>
          <cell r="D734" t="str">
            <v>GAUDET LEONARD</v>
          </cell>
          <cell r="E734" t="str">
            <v>O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 t="str">
            <v/>
          </cell>
          <cell r="AO734">
            <v>0</v>
          </cell>
          <cell r="AP734">
            <v>0</v>
          </cell>
          <cell r="AQ734">
            <v>0</v>
          </cell>
          <cell r="AR734">
            <v>800</v>
          </cell>
          <cell r="AS734">
            <v>0</v>
          </cell>
          <cell r="AT734" t="str">
            <v/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 t="str">
            <v/>
          </cell>
          <cell r="BK734">
            <v>4100</v>
          </cell>
          <cell r="BL734" t="str">
            <v/>
          </cell>
          <cell r="BM734" t="str">
            <v>1</v>
          </cell>
          <cell r="BN734" t="str">
            <v/>
          </cell>
          <cell r="BO734" t="str">
            <v/>
          </cell>
        </row>
        <row r="735">
          <cell r="A735">
            <v>1</v>
          </cell>
          <cell r="B735">
            <v>4787032</v>
          </cell>
          <cell r="C735" t="str">
            <v>HONORAIRES A L'AGENT</v>
          </cell>
          <cell r="D735" t="str">
            <v>NARAGANSET</v>
          </cell>
          <cell r="E735" t="str">
            <v>O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2</v>
          </cell>
          <cell r="AN735" t="str">
            <v/>
          </cell>
          <cell r="AO735">
            <v>0</v>
          </cell>
          <cell r="AP735">
            <v>0</v>
          </cell>
          <cell r="AQ735">
            <v>0</v>
          </cell>
          <cell r="AR735">
            <v>800</v>
          </cell>
          <cell r="AS735">
            <v>0</v>
          </cell>
          <cell r="AT735" t="str">
            <v/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 t="str">
            <v/>
          </cell>
          <cell r="BK735">
            <v>4100</v>
          </cell>
          <cell r="BL735" t="str">
            <v/>
          </cell>
          <cell r="BM735" t="str">
            <v>1</v>
          </cell>
          <cell r="BN735" t="str">
            <v/>
          </cell>
          <cell r="BO735" t="str">
            <v/>
          </cell>
        </row>
        <row r="736">
          <cell r="A736">
            <v>1</v>
          </cell>
          <cell r="B736">
            <v>4787042</v>
          </cell>
          <cell r="C736" t="str">
            <v>HONORAIRES A L'AGENT</v>
          </cell>
          <cell r="D736" t="str">
            <v>AGENTS</v>
          </cell>
          <cell r="E736" t="str">
            <v>O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2</v>
          </cell>
          <cell r="AN736" t="str">
            <v/>
          </cell>
          <cell r="AO736">
            <v>0</v>
          </cell>
          <cell r="AP736">
            <v>0</v>
          </cell>
          <cell r="AQ736">
            <v>0</v>
          </cell>
          <cell r="AR736">
            <v>800</v>
          </cell>
          <cell r="AS736">
            <v>0</v>
          </cell>
          <cell r="AT736" t="str">
            <v/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 t="str">
            <v/>
          </cell>
          <cell r="BK736">
            <v>4100</v>
          </cell>
          <cell r="BL736" t="str">
            <v/>
          </cell>
          <cell r="BM736" t="str">
            <v>1</v>
          </cell>
          <cell r="BN736" t="str">
            <v/>
          </cell>
          <cell r="BO736" t="str">
            <v/>
          </cell>
        </row>
        <row r="737">
          <cell r="A737">
            <v>1</v>
          </cell>
          <cell r="B737">
            <v>4787052</v>
          </cell>
          <cell r="C737" t="str">
            <v>HONORAIRES A L'AGENT</v>
          </cell>
          <cell r="D737" t="str">
            <v>FITZGERALD</v>
          </cell>
          <cell r="E737" t="str">
            <v>O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2</v>
          </cell>
          <cell r="AN737" t="str">
            <v/>
          </cell>
          <cell r="AO737">
            <v>0</v>
          </cell>
          <cell r="AP737">
            <v>0</v>
          </cell>
          <cell r="AQ737">
            <v>0</v>
          </cell>
          <cell r="AR737">
            <v>800</v>
          </cell>
          <cell r="AS737">
            <v>0</v>
          </cell>
          <cell r="AT737" t="str">
            <v/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 t="str">
            <v/>
          </cell>
          <cell r="BK737">
            <v>4100</v>
          </cell>
          <cell r="BL737" t="str">
            <v/>
          </cell>
          <cell r="BM737" t="str">
            <v>1</v>
          </cell>
          <cell r="BN737" t="str">
            <v/>
          </cell>
          <cell r="BO737" t="str">
            <v/>
          </cell>
        </row>
        <row r="738">
          <cell r="A738">
            <v>1</v>
          </cell>
          <cell r="B738">
            <v>4787062</v>
          </cell>
          <cell r="C738" t="str">
            <v>HONORAIRES A L'AGENT</v>
          </cell>
          <cell r="D738" t="str">
            <v>LION</v>
          </cell>
          <cell r="E738" t="str">
            <v>O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2</v>
          </cell>
          <cell r="AN738" t="str">
            <v/>
          </cell>
          <cell r="AO738">
            <v>0</v>
          </cell>
          <cell r="AP738">
            <v>0</v>
          </cell>
          <cell r="AQ738">
            <v>0</v>
          </cell>
          <cell r="AR738">
            <v>800</v>
          </cell>
          <cell r="AS738">
            <v>0</v>
          </cell>
          <cell r="AT738" t="str">
            <v/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 t="str">
            <v/>
          </cell>
          <cell r="BK738">
            <v>4100</v>
          </cell>
          <cell r="BL738" t="str">
            <v/>
          </cell>
          <cell r="BM738" t="str">
            <v>1</v>
          </cell>
          <cell r="BN738" t="str">
            <v/>
          </cell>
          <cell r="BO738" t="str">
            <v/>
          </cell>
        </row>
        <row r="739">
          <cell r="A739">
            <v>1</v>
          </cell>
          <cell r="B739">
            <v>4787072</v>
          </cell>
          <cell r="C739" t="str">
            <v>HONORAIRES A L'AGENT</v>
          </cell>
          <cell r="D739" t="str">
            <v>RIVERWOOD</v>
          </cell>
          <cell r="E739" t="str">
            <v>O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2</v>
          </cell>
          <cell r="AN739" t="str">
            <v/>
          </cell>
          <cell r="AO739">
            <v>0</v>
          </cell>
          <cell r="AP739">
            <v>0</v>
          </cell>
          <cell r="AQ739">
            <v>0</v>
          </cell>
          <cell r="AR739">
            <v>800</v>
          </cell>
          <cell r="AS739">
            <v>0</v>
          </cell>
          <cell r="AT739" t="str">
            <v/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 t="str">
            <v/>
          </cell>
          <cell r="BK739">
            <v>4100</v>
          </cell>
          <cell r="BL739" t="str">
            <v/>
          </cell>
          <cell r="BM739" t="str">
            <v>1</v>
          </cell>
          <cell r="BN739" t="str">
            <v/>
          </cell>
          <cell r="BO739" t="str">
            <v/>
          </cell>
        </row>
        <row r="740">
          <cell r="A740">
            <v>1</v>
          </cell>
          <cell r="B740">
            <v>4789001</v>
          </cell>
          <cell r="C740" t="str">
            <v>HONORAIRES A L'AGENT</v>
          </cell>
          <cell r="D740" t="str">
            <v>TRANSFERT DIVISION PAPIER</v>
          </cell>
          <cell r="E740" t="str">
            <v>O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</v>
          </cell>
          <cell r="AN740" t="str">
            <v/>
          </cell>
          <cell r="AO740">
            <v>0</v>
          </cell>
          <cell r="AP740">
            <v>0</v>
          </cell>
          <cell r="AQ740">
            <v>0</v>
          </cell>
          <cell r="AR740">
            <v>800</v>
          </cell>
          <cell r="AS740">
            <v>0</v>
          </cell>
          <cell r="AT740" t="str">
            <v/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 t="str">
            <v/>
          </cell>
          <cell r="BK740">
            <v>4100</v>
          </cell>
          <cell r="BL740" t="str">
            <v>0</v>
          </cell>
          <cell r="BM740" t="str">
            <v>1</v>
          </cell>
          <cell r="BN740" t="str">
            <v/>
          </cell>
          <cell r="BO740" t="str">
            <v/>
          </cell>
        </row>
        <row r="741">
          <cell r="A741">
            <v>1</v>
          </cell>
          <cell r="B741">
            <v>4789002</v>
          </cell>
          <cell r="C741" t="str">
            <v>HONORAIRES A L'AGENT</v>
          </cell>
          <cell r="D741" t="str">
            <v>TRANSFERT DIV. SERVIETTES</v>
          </cell>
          <cell r="E741" t="str">
            <v>O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2</v>
          </cell>
          <cell r="AN741" t="str">
            <v/>
          </cell>
          <cell r="AO741">
            <v>0</v>
          </cell>
          <cell r="AP741">
            <v>0</v>
          </cell>
          <cell r="AQ741">
            <v>0</v>
          </cell>
          <cell r="AR741">
            <v>800</v>
          </cell>
          <cell r="AS741">
            <v>0</v>
          </cell>
          <cell r="AT741" t="str">
            <v/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 t="str">
            <v/>
          </cell>
          <cell r="BK741">
            <v>4100</v>
          </cell>
          <cell r="BL741" t="str">
            <v>0</v>
          </cell>
          <cell r="BM741" t="str">
            <v>1</v>
          </cell>
          <cell r="BN741" t="str">
            <v/>
          </cell>
          <cell r="BO741" t="str">
            <v/>
          </cell>
        </row>
        <row r="742">
          <cell r="A742">
            <v>1</v>
          </cell>
          <cell r="B742">
            <v>4789003</v>
          </cell>
          <cell r="C742" t="str">
            <v>HONORAIRES A L'AGENT</v>
          </cell>
          <cell r="D742" t="str">
            <v>TRANSFERT DIVISI0N SACS</v>
          </cell>
          <cell r="E742" t="str">
            <v>O</v>
          </cell>
          <cell r="F742">
            <v>0</v>
          </cell>
          <cell r="G742">
            <v>0</v>
          </cell>
          <cell r="H742">
            <v>35172.85</v>
          </cell>
          <cell r="I742">
            <v>66935.22</v>
          </cell>
          <cell r="J742">
            <v>31762.37</v>
          </cell>
          <cell r="K742">
            <v>0</v>
          </cell>
          <cell r="L742">
            <v>8876.68</v>
          </cell>
          <cell r="M742">
            <v>3410.48</v>
          </cell>
          <cell r="N742">
            <v>2172.5300000000002</v>
          </cell>
          <cell r="O742">
            <v>3959.56</v>
          </cell>
          <cell r="P742">
            <v>5284.1</v>
          </cell>
          <cell r="Q742">
            <v>7515.65</v>
          </cell>
          <cell r="R742">
            <v>8727.82</v>
          </cell>
          <cell r="S742">
            <v>10528.1</v>
          </cell>
          <cell r="T742">
            <v>15044.33</v>
          </cell>
          <cell r="U742">
            <v>20103.03</v>
          </cell>
          <cell r="V742">
            <v>26048.44</v>
          </cell>
          <cell r="W742">
            <v>31762.37</v>
          </cell>
          <cell r="X742">
            <v>35172.85</v>
          </cell>
          <cell r="Y742">
            <v>40639.050000000003</v>
          </cell>
          <cell r="Z742">
            <v>5157.34</v>
          </cell>
          <cell r="AA742">
            <v>9426.2900000000009</v>
          </cell>
          <cell r="AB742">
            <v>21211</v>
          </cell>
          <cell r="AC742">
            <v>24639.17</v>
          </cell>
          <cell r="AD742">
            <v>30281.97</v>
          </cell>
          <cell r="AE742">
            <v>30281.97</v>
          </cell>
          <cell r="AF742">
            <v>41180.53</v>
          </cell>
          <cell r="AG742">
            <v>41180.53</v>
          </cell>
          <cell r="AH742">
            <v>46677.53</v>
          </cell>
          <cell r="AI742">
            <v>50792.05</v>
          </cell>
          <cell r="AJ742">
            <v>53906.46</v>
          </cell>
          <cell r="AK742">
            <v>56468.79</v>
          </cell>
          <cell r="AL742">
            <v>0</v>
          </cell>
          <cell r="AM742">
            <v>3</v>
          </cell>
          <cell r="AN742" t="str">
            <v/>
          </cell>
          <cell r="AO742">
            <v>0</v>
          </cell>
          <cell r="AP742">
            <v>0</v>
          </cell>
          <cell r="AQ742">
            <v>0</v>
          </cell>
          <cell r="AR742">
            <v>800</v>
          </cell>
          <cell r="AS742">
            <v>0</v>
          </cell>
          <cell r="AT742" t="str">
            <v/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 t="str">
            <v/>
          </cell>
          <cell r="BK742">
            <v>4100</v>
          </cell>
          <cell r="BL742" t="str">
            <v>0</v>
          </cell>
          <cell r="BM742" t="str">
            <v>1</v>
          </cell>
          <cell r="BN742" t="str">
            <v/>
          </cell>
          <cell r="BO742" t="str">
            <v/>
          </cell>
        </row>
        <row r="743">
          <cell r="A743">
            <v>1</v>
          </cell>
          <cell r="B743">
            <v>4789004</v>
          </cell>
          <cell r="C743" t="str">
            <v>HONORAIRES A L'AGENT</v>
          </cell>
          <cell r="D743" t="str">
            <v>TRANSFERT DIVISION BOITES</v>
          </cell>
          <cell r="E743" t="str">
            <v>O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4</v>
          </cell>
          <cell r="AN743" t="str">
            <v/>
          </cell>
          <cell r="AO743">
            <v>0</v>
          </cell>
          <cell r="AP743">
            <v>0</v>
          </cell>
          <cell r="AQ743">
            <v>0</v>
          </cell>
          <cell r="AR743">
            <v>800</v>
          </cell>
          <cell r="AS743">
            <v>0</v>
          </cell>
          <cell r="AT743" t="str">
            <v/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 t="str">
            <v/>
          </cell>
          <cell r="BK743">
            <v>4100</v>
          </cell>
          <cell r="BL743" t="str">
            <v>0</v>
          </cell>
          <cell r="BM743" t="str">
            <v>1</v>
          </cell>
          <cell r="BN743" t="str">
            <v/>
          </cell>
          <cell r="BO743" t="str">
            <v/>
          </cell>
        </row>
        <row r="744">
          <cell r="A744">
            <v>1</v>
          </cell>
          <cell r="B744">
            <v>4801001</v>
          </cell>
          <cell r="C744" t="str">
            <v>EXPEDITIONS</v>
          </cell>
          <cell r="D744" t="str">
            <v>M.O.I.  SUPERVISION</v>
          </cell>
          <cell r="E744" t="str">
            <v>O</v>
          </cell>
          <cell r="F744">
            <v>0</v>
          </cell>
          <cell r="G744">
            <v>0</v>
          </cell>
          <cell r="H744">
            <v>152514.63</v>
          </cell>
          <cell r="I744">
            <v>203345.6</v>
          </cell>
          <cell r="J744">
            <v>50830.97</v>
          </cell>
          <cell r="K744">
            <v>0</v>
          </cell>
          <cell r="L744">
            <v>24705.47</v>
          </cell>
          <cell r="M744">
            <v>15022.58</v>
          </cell>
          <cell r="N744">
            <v>14447.75</v>
          </cell>
          <cell r="O744">
            <v>30036.21</v>
          </cell>
          <cell r="P744">
            <v>41844.339999999997</v>
          </cell>
          <cell r="Q744">
            <v>54540.77</v>
          </cell>
          <cell r="R744">
            <v>68425.17</v>
          </cell>
          <cell r="S744">
            <v>86050.55</v>
          </cell>
          <cell r="T744">
            <v>95899.32</v>
          </cell>
          <cell r="U744">
            <v>109480</v>
          </cell>
          <cell r="V744">
            <v>122115.21</v>
          </cell>
          <cell r="W744">
            <v>135642.4</v>
          </cell>
          <cell r="X744">
            <v>152514.63</v>
          </cell>
          <cell r="Y744">
            <v>162197.51999999999</v>
          </cell>
          <cell r="Z744">
            <v>8723.51</v>
          </cell>
          <cell r="AA744">
            <v>13570.52</v>
          </cell>
          <cell r="AB744">
            <v>22602.86</v>
          </cell>
          <cell r="AC744">
            <v>34322.379999999997</v>
          </cell>
          <cell r="AD744">
            <v>44855.16</v>
          </cell>
          <cell r="AE744">
            <v>64996.63</v>
          </cell>
          <cell r="AF744">
            <v>83487.03</v>
          </cell>
          <cell r="AG744">
            <v>97051.06</v>
          </cell>
          <cell r="AH744">
            <v>107809.83</v>
          </cell>
          <cell r="AI744">
            <v>118925.47</v>
          </cell>
          <cell r="AJ744">
            <v>128563.23</v>
          </cell>
          <cell r="AK744">
            <v>137428.19</v>
          </cell>
          <cell r="AL744">
            <v>0</v>
          </cell>
          <cell r="AM744">
            <v>1</v>
          </cell>
          <cell r="AN744" t="str">
            <v/>
          </cell>
          <cell r="AO744">
            <v>0</v>
          </cell>
          <cell r="AP744">
            <v>0</v>
          </cell>
          <cell r="AQ744">
            <v>0</v>
          </cell>
          <cell r="AR744">
            <v>800</v>
          </cell>
          <cell r="AS744">
            <v>0</v>
          </cell>
          <cell r="AT744" t="str">
            <v/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 t="str">
            <v/>
          </cell>
          <cell r="BK744">
            <v>4100</v>
          </cell>
          <cell r="BL744" t="str">
            <v>0</v>
          </cell>
          <cell r="BM744" t="str">
            <v>1</v>
          </cell>
          <cell r="BN744" t="str">
            <v/>
          </cell>
          <cell r="BO744" t="str">
            <v/>
          </cell>
        </row>
        <row r="745">
          <cell r="A745">
            <v>1</v>
          </cell>
          <cell r="B745">
            <v>4801011</v>
          </cell>
          <cell r="C745" t="str">
            <v>EXPEDITIONS</v>
          </cell>
          <cell r="D745" t="str">
            <v>M.O.I.  CAROUSSEL 201</v>
          </cell>
          <cell r="E745" t="str">
            <v>O</v>
          </cell>
          <cell r="F745">
            <v>0</v>
          </cell>
          <cell r="G745">
            <v>0</v>
          </cell>
          <cell r="H745">
            <v>493392.41</v>
          </cell>
          <cell r="I745">
            <v>562074.75</v>
          </cell>
          <cell r="J745">
            <v>68682.34</v>
          </cell>
          <cell r="K745">
            <v>0</v>
          </cell>
          <cell r="L745">
            <v>78340.41</v>
          </cell>
          <cell r="M745">
            <v>49705.73</v>
          </cell>
          <cell r="N745">
            <v>37858.910000000003</v>
          </cell>
          <cell r="O745">
            <v>78665.88</v>
          </cell>
          <cell r="P745">
            <v>123326.98</v>
          </cell>
          <cell r="Q745">
            <v>155859.6</v>
          </cell>
          <cell r="R745">
            <v>196672.74</v>
          </cell>
          <cell r="S745">
            <v>250148.45</v>
          </cell>
          <cell r="T745">
            <v>291606.09000000003</v>
          </cell>
          <cell r="U745">
            <v>337512.64</v>
          </cell>
          <cell r="V745">
            <v>391742.56</v>
          </cell>
          <cell r="W745">
            <v>445309.05</v>
          </cell>
          <cell r="X745">
            <v>493392.41</v>
          </cell>
          <cell r="Y745">
            <v>522027.09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41644.400000000001</v>
          </cell>
          <cell r="AF745">
            <v>79931.820000000007</v>
          </cell>
          <cell r="AG745">
            <v>108979.08</v>
          </cell>
          <cell r="AH745">
            <v>143609.31</v>
          </cell>
          <cell r="AI745">
            <v>190730.73</v>
          </cell>
          <cell r="AJ745">
            <v>221430.79</v>
          </cell>
          <cell r="AK745">
            <v>251465.24</v>
          </cell>
          <cell r="AL745">
            <v>0</v>
          </cell>
          <cell r="AM745">
            <v>1</v>
          </cell>
          <cell r="AN745" t="str">
            <v/>
          </cell>
          <cell r="AO745">
            <v>0</v>
          </cell>
          <cell r="AP745">
            <v>0</v>
          </cell>
          <cell r="AQ745">
            <v>0</v>
          </cell>
          <cell r="AR745">
            <v>800</v>
          </cell>
          <cell r="AS745">
            <v>0</v>
          </cell>
          <cell r="AT745" t="str">
            <v/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 t="str">
            <v/>
          </cell>
          <cell r="BK745">
            <v>4100</v>
          </cell>
          <cell r="BL745" t="str">
            <v>0</v>
          </cell>
          <cell r="BM745" t="str">
            <v>1</v>
          </cell>
          <cell r="BN745" t="str">
            <v/>
          </cell>
          <cell r="BO745" t="str">
            <v/>
          </cell>
        </row>
        <row r="746">
          <cell r="A746">
            <v>2</v>
          </cell>
          <cell r="B746">
            <v>4802001</v>
          </cell>
          <cell r="C746" t="str">
            <v>EXPEDITIONS</v>
          </cell>
          <cell r="D746" t="str">
            <v>PALLETTES</v>
          </cell>
          <cell r="E746" t="str">
            <v>O</v>
          </cell>
          <cell r="F746">
            <v>0</v>
          </cell>
          <cell r="G746">
            <v>0</v>
          </cell>
          <cell r="H746">
            <v>0</v>
          </cell>
          <cell r="I746">
            <v>21056.36</v>
          </cell>
          <cell r="J746">
            <v>21056.36</v>
          </cell>
          <cell r="K746">
            <v>0</v>
          </cell>
          <cell r="L746">
            <v>0</v>
          </cell>
          <cell r="M746">
            <v>0</v>
          </cell>
          <cell r="N746">
            <v>21056.36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12139.5</v>
          </cell>
          <cell r="AC746">
            <v>26877.51</v>
          </cell>
          <cell r="AD746">
            <v>25220.27</v>
          </cell>
          <cell r="AE746">
            <v>41093.07</v>
          </cell>
          <cell r="AF746">
            <v>48637.43</v>
          </cell>
          <cell r="AG746">
            <v>55198.89</v>
          </cell>
          <cell r="AH746">
            <v>62359.64</v>
          </cell>
          <cell r="AI746">
            <v>71369.05</v>
          </cell>
          <cell r="AJ746">
            <v>90819.95</v>
          </cell>
          <cell r="AK746">
            <v>91524.83</v>
          </cell>
          <cell r="AL746">
            <v>0</v>
          </cell>
          <cell r="AM746">
            <v>1</v>
          </cell>
          <cell r="AN746" t="str">
            <v/>
          </cell>
          <cell r="AO746">
            <v>0</v>
          </cell>
          <cell r="AP746">
            <v>0</v>
          </cell>
          <cell r="AQ746">
            <v>0</v>
          </cell>
          <cell r="AR746">
            <v>800</v>
          </cell>
          <cell r="AS746">
            <v>0</v>
          </cell>
          <cell r="AT746" t="str">
            <v/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 t="str">
            <v/>
          </cell>
          <cell r="BK746">
            <v>4100</v>
          </cell>
          <cell r="BL746" t="str">
            <v>0</v>
          </cell>
          <cell r="BM746" t="str">
            <v>1</v>
          </cell>
          <cell r="BN746" t="str">
            <v/>
          </cell>
          <cell r="BO746" t="str">
            <v/>
          </cell>
        </row>
        <row r="747">
          <cell r="A747">
            <v>1</v>
          </cell>
          <cell r="B747">
            <v>4802011</v>
          </cell>
          <cell r="C747" t="str">
            <v>EXPEDITIONS</v>
          </cell>
          <cell r="D747" t="str">
            <v>FOURNITURES DIVERSES</v>
          </cell>
          <cell r="E747" t="str">
            <v>O</v>
          </cell>
          <cell r="F747">
            <v>0</v>
          </cell>
          <cell r="G747">
            <v>0</v>
          </cell>
          <cell r="H747">
            <v>83999.11</v>
          </cell>
          <cell r="I747">
            <v>104393.02</v>
          </cell>
          <cell r="J747">
            <v>20393.91</v>
          </cell>
          <cell r="K747">
            <v>0</v>
          </cell>
          <cell r="L747">
            <v>31268.75</v>
          </cell>
          <cell r="M747">
            <v>15382.35</v>
          </cell>
          <cell r="N747">
            <v>6434.43</v>
          </cell>
          <cell r="O747">
            <v>15498.12</v>
          </cell>
          <cell r="P747">
            <v>19478.169999999998</v>
          </cell>
          <cell r="Q747">
            <v>21759.24</v>
          </cell>
          <cell r="R747">
            <v>32532.78</v>
          </cell>
          <cell r="S747">
            <v>38319.370000000003</v>
          </cell>
          <cell r="T747">
            <v>51518.02</v>
          </cell>
          <cell r="U747">
            <v>66335.05</v>
          </cell>
          <cell r="V747">
            <v>67998.75</v>
          </cell>
          <cell r="W747">
            <v>79332.12</v>
          </cell>
          <cell r="X747">
            <v>83999.11</v>
          </cell>
          <cell r="Y747">
            <v>99885.51</v>
          </cell>
          <cell r="Z747">
            <v>2681.95</v>
          </cell>
          <cell r="AA747">
            <v>13302.51</v>
          </cell>
          <cell r="AB747">
            <v>25297.95</v>
          </cell>
          <cell r="AC747">
            <v>20761.28</v>
          </cell>
          <cell r="AD747">
            <v>26054.69</v>
          </cell>
          <cell r="AE747">
            <v>34083.43</v>
          </cell>
          <cell r="AF747">
            <v>42688.42</v>
          </cell>
          <cell r="AG747">
            <v>61001.45</v>
          </cell>
          <cell r="AH747">
            <v>68025.119999999995</v>
          </cell>
          <cell r="AI747">
            <v>78007.509999999995</v>
          </cell>
          <cell r="AJ747">
            <v>88543.23</v>
          </cell>
          <cell r="AK747">
            <v>96686.04</v>
          </cell>
          <cell r="AL747">
            <v>0</v>
          </cell>
          <cell r="AM747">
            <v>1</v>
          </cell>
          <cell r="AN747" t="str">
            <v/>
          </cell>
          <cell r="AO747">
            <v>0</v>
          </cell>
          <cell r="AP747">
            <v>0</v>
          </cell>
          <cell r="AQ747">
            <v>0</v>
          </cell>
          <cell r="AR747">
            <v>800</v>
          </cell>
          <cell r="AS747">
            <v>0</v>
          </cell>
          <cell r="AT747" t="str">
            <v/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 t="str">
            <v/>
          </cell>
          <cell r="BK747">
            <v>4100</v>
          </cell>
          <cell r="BL747" t="str">
            <v>0</v>
          </cell>
          <cell r="BM747" t="str">
            <v>1</v>
          </cell>
          <cell r="BN747" t="str">
            <v/>
          </cell>
          <cell r="BO747" t="str">
            <v/>
          </cell>
        </row>
        <row r="748">
          <cell r="A748">
            <v>1</v>
          </cell>
          <cell r="B748">
            <v>4809001</v>
          </cell>
          <cell r="C748" t="str">
            <v>EXPEDITIONS</v>
          </cell>
          <cell r="D748" t="str">
            <v>TRANSFERT DIVISION PAPIER</v>
          </cell>
          <cell r="E748" t="str">
            <v>O</v>
          </cell>
          <cell r="F748">
            <v>0</v>
          </cell>
          <cell r="G748">
            <v>0</v>
          </cell>
          <cell r="H748">
            <v>38844.239999999998</v>
          </cell>
          <cell r="I748">
            <v>93852.52</v>
          </cell>
          <cell r="J748">
            <v>55008.28</v>
          </cell>
          <cell r="K748">
            <v>0</v>
          </cell>
          <cell r="L748">
            <v>5545.24</v>
          </cell>
          <cell r="M748">
            <v>5422.36</v>
          </cell>
          <cell r="N748">
            <v>2244.34</v>
          </cell>
          <cell r="O748">
            <v>6369.04</v>
          </cell>
          <cell r="P748">
            <v>9126.01</v>
          </cell>
          <cell r="Q748">
            <v>13338.84</v>
          </cell>
          <cell r="R748">
            <v>19155.150000000001</v>
          </cell>
          <cell r="S748">
            <v>22567.34</v>
          </cell>
          <cell r="T748">
            <v>26244.81</v>
          </cell>
          <cell r="U748">
            <v>29423.02</v>
          </cell>
          <cell r="V748">
            <v>31875.39</v>
          </cell>
          <cell r="W748">
            <v>33468.75</v>
          </cell>
          <cell r="X748">
            <v>38844.239999999998</v>
          </cell>
          <cell r="Y748">
            <v>38967.120000000003</v>
          </cell>
          <cell r="Z748">
            <v>8895.7000000000007</v>
          </cell>
          <cell r="AA748">
            <v>18330.990000000002</v>
          </cell>
          <cell r="AB748">
            <v>29230.73</v>
          </cell>
          <cell r="AC748">
            <v>40021.18</v>
          </cell>
          <cell r="AD748">
            <v>82193.33</v>
          </cell>
          <cell r="AE748">
            <v>95129.44</v>
          </cell>
          <cell r="AF748">
            <v>98883.44</v>
          </cell>
          <cell r="AG748">
            <v>107012.17</v>
          </cell>
          <cell r="AH748">
            <v>109589.75999999999</v>
          </cell>
          <cell r="AI748">
            <v>111447.49</v>
          </cell>
          <cell r="AJ748">
            <v>111704.05</v>
          </cell>
          <cell r="AK748">
            <v>114775.13</v>
          </cell>
          <cell r="AL748">
            <v>0</v>
          </cell>
          <cell r="AM748">
            <v>1</v>
          </cell>
          <cell r="AN748" t="str">
            <v/>
          </cell>
          <cell r="AO748">
            <v>0</v>
          </cell>
          <cell r="AP748">
            <v>0</v>
          </cell>
          <cell r="AQ748">
            <v>0</v>
          </cell>
          <cell r="AR748">
            <v>800</v>
          </cell>
          <cell r="AS748">
            <v>0</v>
          </cell>
          <cell r="AT748" t="str">
            <v/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 t="str">
            <v/>
          </cell>
          <cell r="BK748">
            <v>7100</v>
          </cell>
          <cell r="BL748" t="str">
            <v>0</v>
          </cell>
          <cell r="BM748" t="str">
            <v>1</v>
          </cell>
          <cell r="BN748" t="str">
            <v/>
          </cell>
          <cell r="BO748" t="str">
            <v/>
          </cell>
        </row>
        <row r="749">
          <cell r="A749">
            <v>1</v>
          </cell>
          <cell r="B749">
            <v>4809002</v>
          </cell>
          <cell r="C749" t="str">
            <v>EXPEDITIONS</v>
          </cell>
          <cell r="D749" t="str">
            <v>TRANSFERT DIV. SERVIETTES</v>
          </cell>
          <cell r="E749" t="str">
            <v>O</v>
          </cell>
          <cell r="F749">
            <v>0</v>
          </cell>
          <cell r="G749">
            <v>0</v>
          </cell>
          <cell r="H749">
            <v>1379974</v>
          </cell>
          <cell r="I749">
            <v>1483597</v>
          </cell>
          <cell r="J749">
            <v>103623</v>
          </cell>
          <cell r="K749">
            <v>0</v>
          </cell>
          <cell r="L749">
            <v>125802</v>
          </cell>
          <cell r="M749">
            <v>0</v>
          </cell>
          <cell r="N749">
            <v>135893</v>
          </cell>
          <cell r="O749">
            <v>248823</v>
          </cell>
          <cell r="P749">
            <v>366248</v>
          </cell>
          <cell r="Q749">
            <v>469806</v>
          </cell>
          <cell r="R749">
            <v>601637</v>
          </cell>
          <cell r="S749">
            <v>735913</v>
          </cell>
          <cell r="T749">
            <v>853718</v>
          </cell>
          <cell r="U749">
            <v>979686</v>
          </cell>
          <cell r="V749">
            <v>1105111</v>
          </cell>
          <cell r="W749">
            <v>1242248</v>
          </cell>
          <cell r="X749">
            <v>1379974</v>
          </cell>
          <cell r="Y749">
            <v>1505776</v>
          </cell>
          <cell r="Z749">
            <v>65678</v>
          </cell>
          <cell r="AA749">
            <v>128260</v>
          </cell>
          <cell r="AB749">
            <v>202792</v>
          </cell>
          <cell r="AC749">
            <v>271394</v>
          </cell>
          <cell r="AD749">
            <v>330245</v>
          </cell>
          <cell r="AE749">
            <v>411318</v>
          </cell>
          <cell r="AF749">
            <v>493496</v>
          </cell>
          <cell r="AG749">
            <v>563549</v>
          </cell>
          <cell r="AH749">
            <v>625534.5</v>
          </cell>
          <cell r="AI749">
            <v>742685.5</v>
          </cell>
          <cell r="AJ749">
            <v>850168.5</v>
          </cell>
          <cell r="AK749">
            <v>937648.08</v>
          </cell>
          <cell r="AL749">
            <v>0</v>
          </cell>
          <cell r="AM749">
            <v>2</v>
          </cell>
          <cell r="AN749" t="str">
            <v/>
          </cell>
          <cell r="AO749">
            <v>0</v>
          </cell>
          <cell r="AP749">
            <v>0</v>
          </cell>
          <cell r="AQ749">
            <v>0</v>
          </cell>
          <cell r="AR749">
            <v>800</v>
          </cell>
          <cell r="AS749">
            <v>0</v>
          </cell>
          <cell r="AT749" t="str">
            <v/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 t="str">
            <v/>
          </cell>
          <cell r="BK749">
            <v>7100</v>
          </cell>
          <cell r="BL749" t="str">
            <v>0</v>
          </cell>
          <cell r="BM749" t="str">
            <v>1</v>
          </cell>
          <cell r="BN749" t="str">
            <v/>
          </cell>
          <cell r="BO749" t="str">
            <v/>
          </cell>
        </row>
        <row r="750">
          <cell r="A750">
            <v>1</v>
          </cell>
          <cell r="B750">
            <v>4809003</v>
          </cell>
          <cell r="C750" t="str">
            <v>EXPEDITIONS</v>
          </cell>
          <cell r="D750" t="str">
            <v>TRANSFERT DIVISION SACS</v>
          </cell>
          <cell r="E750" t="str">
            <v>O</v>
          </cell>
          <cell r="F750">
            <v>0</v>
          </cell>
          <cell r="G750">
            <v>0</v>
          </cell>
          <cell r="H750">
            <v>188178</v>
          </cell>
          <cell r="I750">
            <v>202300</v>
          </cell>
          <cell r="J750">
            <v>14122</v>
          </cell>
          <cell r="K750">
            <v>0</v>
          </cell>
          <cell r="L750">
            <v>17155</v>
          </cell>
          <cell r="M750">
            <v>0</v>
          </cell>
          <cell r="N750">
            <v>18531</v>
          </cell>
          <cell r="O750">
            <v>33931</v>
          </cell>
          <cell r="P750">
            <v>49943</v>
          </cell>
          <cell r="Q750">
            <v>64065</v>
          </cell>
          <cell r="R750">
            <v>82042</v>
          </cell>
          <cell r="S750">
            <v>100352</v>
          </cell>
          <cell r="T750">
            <v>116416</v>
          </cell>
          <cell r="U750">
            <v>133593</v>
          </cell>
          <cell r="V750">
            <v>150696</v>
          </cell>
          <cell r="W750">
            <v>169397</v>
          </cell>
          <cell r="X750">
            <v>188178</v>
          </cell>
          <cell r="Y750">
            <v>205333</v>
          </cell>
          <cell r="Z750">
            <v>21826</v>
          </cell>
          <cell r="AA750">
            <v>40079</v>
          </cell>
          <cell r="AB750">
            <v>61818</v>
          </cell>
          <cell r="AC750">
            <v>81827</v>
          </cell>
          <cell r="AD750">
            <v>98992</v>
          </cell>
          <cell r="AE750">
            <v>122638</v>
          </cell>
          <cell r="AF750">
            <v>146433</v>
          </cell>
          <cell r="AG750">
            <v>166865</v>
          </cell>
          <cell r="AH750">
            <v>184801</v>
          </cell>
          <cell r="AI750">
            <v>219185</v>
          </cell>
          <cell r="AJ750">
            <v>250534</v>
          </cell>
          <cell r="AK750">
            <v>276027.34999999998</v>
          </cell>
          <cell r="AL750">
            <v>0</v>
          </cell>
          <cell r="AM750">
            <v>3</v>
          </cell>
          <cell r="AN750" t="str">
            <v/>
          </cell>
          <cell r="AO750">
            <v>0</v>
          </cell>
          <cell r="AP750">
            <v>0</v>
          </cell>
          <cell r="AQ750">
            <v>0</v>
          </cell>
          <cell r="AR750">
            <v>800</v>
          </cell>
          <cell r="AS750">
            <v>0</v>
          </cell>
          <cell r="AT750" t="str">
            <v/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 t="str">
            <v/>
          </cell>
          <cell r="BK750">
            <v>7100</v>
          </cell>
          <cell r="BL750" t="str">
            <v>0</v>
          </cell>
          <cell r="BM750" t="str">
            <v>1</v>
          </cell>
          <cell r="BN750" t="str">
            <v/>
          </cell>
          <cell r="BO750" t="str">
            <v/>
          </cell>
        </row>
        <row r="751">
          <cell r="A751">
            <v>1</v>
          </cell>
          <cell r="B751">
            <v>4809004</v>
          </cell>
          <cell r="C751" t="str">
            <v>EXPEDITIONS</v>
          </cell>
          <cell r="D751" t="str">
            <v>TRANSFERT DIVISION BOITES</v>
          </cell>
          <cell r="E751" t="str">
            <v>O</v>
          </cell>
          <cell r="F751">
            <v>0</v>
          </cell>
          <cell r="G751">
            <v>0</v>
          </cell>
          <cell r="H751">
            <v>0</v>
          </cell>
          <cell r="I751">
            <v>948726.35</v>
          </cell>
          <cell r="J751">
            <v>948726.35</v>
          </cell>
          <cell r="K751">
            <v>0</v>
          </cell>
          <cell r="L751">
            <v>65781.100000000006</v>
          </cell>
          <cell r="M751">
            <v>65781.100000000006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4</v>
          </cell>
          <cell r="AN751" t="str">
            <v/>
          </cell>
          <cell r="AO751">
            <v>0</v>
          </cell>
          <cell r="AP751">
            <v>0</v>
          </cell>
          <cell r="AQ751">
            <v>0</v>
          </cell>
          <cell r="AR751">
            <v>800</v>
          </cell>
          <cell r="AS751">
            <v>0</v>
          </cell>
          <cell r="AT751" t="str">
            <v/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 t="str">
            <v/>
          </cell>
          <cell r="BK751">
            <v>7100</v>
          </cell>
          <cell r="BL751" t="str">
            <v>0</v>
          </cell>
          <cell r="BM751" t="str">
            <v>1</v>
          </cell>
          <cell r="BN751" t="str">
            <v/>
          </cell>
          <cell r="BO751" t="str">
            <v/>
          </cell>
        </row>
        <row r="752">
          <cell r="A752">
            <v>1</v>
          </cell>
          <cell r="B752">
            <v>4811001</v>
          </cell>
          <cell r="C752" t="str">
            <v>SALAIRES &amp; DEP. DE VENTE</v>
          </cell>
          <cell r="D752" t="str">
            <v>SERVICE CLIENTELE</v>
          </cell>
          <cell r="E752" t="str">
            <v>O</v>
          </cell>
          <cell r="F752">
            <v>0</v>
          </cell>
          <cell r="G752">
            <v>0</v>
          </cell>
          <cell r="H752">
            <v>0</v>
          </cell>
          <cell r="I752">
            <v>14166.67</v>
          </cell>
          <cell r="J752">
            <v>14166.67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1</v>
          </cell>
          <cell r="AN752" t="str">
            <v/>
          </cell>
          <cell r="AO752">
            <v>0</v>
          </cell>
          <cell r="AP752">
            <v>0</v>
          </cell>
          <cell r="AQ752">
            <v>0</v>
          </cell>
          <cell r="AR752">
            <v>800</v>
          </cell>
          <cell r="AS752">
            <v>0</v>
          </cell>
          <cell r="AT752" t="str">
            <v/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 t="str">
            <v/>
          </cell>
          <cell r="BK752">
            <v>4100</v>
          </cell>
          <cell r="BL752" t="str">
            <v/>
          </cell>
          <cell r="BM752" t="str">
            <v>1</v>
          </cell>
          <cell r="BN752" t="str">
            <v/>
          </cell>
          <cell r="BO752" t="str">
            <v/>
          </cell>
        </row>
        <row r="753">
          <cell r="A753">
            <v>1</v>
          </cell>
          <cell r="B753">
            <v>4811011</v>
          </cell>
          <cell r="C753" t="str">
            <v>SALAIRES &amp; DEP. DE VENTE</v>
          </cell>
          <cell r="D753" t="str">
            <v>VENDEURS</v>
          </cell>
          <cell r="E753" t="str">
            <v>O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1</v>
          </cell>
          <cell r="AN753" t="str">
            <v/>
          </cell>
          <cell r="AO753">
            <v>0</v>
          </cell>
          <cell r="AP753">
            <v>0</v>
          </cell>
          <cell r="AQ753">
            <v>0</v>
          </cell>
          <cell r="AR753">
            <v>800</v>
          </cell>
          <cell r="AS753">
            <v>0</v>
          </cell>
          <cell r="AT753" t="str">
            <v/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 t="str">
            <v/>
          </cell>
          <cell r="BK753">
            <v>4100</v>
          </cell>
          <cell r="BL753" t="str">
            <v/>
          </cell>
          <cell r="BM753" t="str">
            <v>1</v>
          </cell>
          <cell r="BN753" t="str">
            <v/>
          </cell>
          <cell r="BO753" t="str">
            <v/>
          </cell>
        </row>
        <row r="754">
          <cell r="A754">
            <v>1</v>
          </cell>
          <cell r="B754">
            <v>4811021</v>
          </cell>
          <cell r="C754" t="str">
            <v>SALAIRES &amp; DEP. DE VENTE</v>
          </cell>
          <cell r="D754" t="str">
            <v>VENDEURS DEPLACEMENT</v>
          </cell>
          <cell r="E754" t="str">
            <v>O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1</v>
          </cell>
          <cell r="AN754" t="str">
            <v/>
          </cell>
          <cell r="AO754">
            <v>0</v>
          </cell>
          <cell r="AP754">
            <v>0</v>
          </cell>
          <cell r="AQ754">
            <v>0</v>
          </cell>
          <cell r="AR754">
            <v>801</v>
          </cell>
          <cell r="AS754">
            <v>0</v>
          </cell>
          <cell r="AT754" t="str">
            <v/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 t="str">
            <v/>
          </cell>
          <cell r="BK754">
            <v>4100</v>
          </cell>
          <cell r="BL754" t="str">
            <v/>
          </cell>
          <cell r="BM754" t="str">
            <v>1</v>
          </cell>
          <cell r="BN754" t="str">
            <v/>
          </cell>
          <cell r="BO754" t="str">
            <v/>
          </cell>
        </row>
        <row r="755">
          <cell r="A755">
            <v>1</v>
          </cell>
          <cell r="B755">
            <v>4811031</v>
          </cell>
          <cell r="C755" t="str">
            <v>SALAIRES &amp; DEP. DE VENTE</v>
          </cell>
          <cell r="D755" t="str">
            <v>VENDEURS  AVION</v>
          </cell>
          <cell r="E755" t="str">
            <v>O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1</v>
          </cell>
          <cell r="AN755" t="str">
            <v/>
          </cell>
          <cell r="AO755">
            <v>0</v>
          </cell>
          <cell r="AP755">
            <v>0</v>
          </cell>
          <cell r="AQ755">
            <v>0</v>
          </cell>
          <cell r="AR755">
            <v>801</v>
          </cell>
          <cell r="AS755">
            <v>0</v>
          </cell>
          <cell r="AT755" t="str">
            <v/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 t="str">
            <v/>
          </cell>
          <cell r="BK755">
            <v>4100</v>
          </cell>
          <cell r="BL755" t="str">
            <v/>
          </cell>
          <cell r="BM755" t="str">
            <v>1</v>
          </cell>
          <cell r="BN755" t="str">
            <v/>
          </cell>
          <cell r="BO755" t="str">
            <v/>
          </cell>
        </row>
        <row r="756">
          <cell r="A756">
            <v>1</v>
          </cell>
          <cell r="B756">
            <v>4811041</v>
          </cell>
          <cell r="C756" t="str">
            <v>SALAIRES &amp; DEP. DE VENTE</v>
          </cell>
          <cell r="D756" t="str">
            <v>VENDEURS HOTEL</v>
          </cell>
          <cell r="E756" t="str">
            <v>O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1</v>
          </cell>
          <cell r="AN756" t="str">
            <v/>
          </cell>
          <cell r="AO756">
            <v>0</v>
          </cell>
          <cell r="AP756">
            <v>0</v>
          </cell>
          <cell r="AQ756">
            <v>0</v>
          </cell>
          <cell r="AR756">
            <v>801</v>
          </cell>
          <cell r="AS756">
            <v>0</v>
          </cell>
          <cell r="AT756" t="str">
            <v/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 t="str">
            <v/>
          </cell>
          <cell r="BK756">
            <v>4100</v>
          </cell>
          <cell r="BL756" t="str">
            <v/>
          </cell>
          <cell r="BM756" t="str">
            <v>1</v>
          </cell>
          <cell r="BN756" t="str">
            <v/>
          </cell>
          <cell r="BO756" t="str">
            <v/>
          </cell>
        </row>
        <row r="757">
          <cell r="A757">
            <v>1</v>
          </cell>
          <cell r="B757">
            <v>4811051</v>
          </cell>
          <cell r="C757" t="str">
            <v>SALAIRES &amp; DEP. DE VENTE</v>
          </cell>
          <cell r="D757" t="str">
            <v>VENDEURS CELLULAIRE</v>
          </cell>
          <cell r="E757" t="str">
            <v>O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1</v>
          </cell>
          <cell r="AN757" t="str">
            <v/>
          </cell>
          <cell r="AO757">
            <v>0</v>
          </cell>
          <cell r="AP757">
            <v>0</v>
          </cell>
          <cell r="AQ757">
            <v>0</v>
          </cell>
          <cell r="AR757">
            <v>800</v>
          </cell>
          <cell r="AS757">
            <v>0</v>
          </cell>
          <cell r="AT757" t="str">
            <v/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 t="str">
            <v/>
          </cell>
          <cell r="BK757">
            <v>4100</v>
          </cell>
          <cell r="BL757" t="str">
            <v/>
          </cell>
          <cell r="BM757" t="str">
            <v>1</v>
          </cell>
          <cell r="BN757" t="str">
            <v/>
          </cell>
          <cell r="BO757" t="str">
            <v/>
          </cell>
        </row>
        <row r="758">
          <cell r="A758">
            <v>1</v>
          </cell>
          <cell r="B758">
            <v>4811061</v>
          </cell>
          <cell r="C758" t="str">
            <v>SALAIRES &amp; DEP. DE VENTE</v>
          </cell>
          <cell r="D758" t="str">
            <v>VENDEURS REPAS</v>
          </cell>
          <cell r="E758" t="str">
            <v>O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1</v>
          </cell>
          <cell r="AN758" t="str">
            <v/>
          </cell>
          <cell r="AO758">
            <v>0</v>
          </cell>
          <cell r="AP758">
            <v>0</v>
          </cell>
          <cell r="AQ758">
            <v>0</v>
          </cell>
          <cell r="AR758">
            <v>800</v>
          </cell>
          <cell r="AS758">
            <v>0</v>
          </cell>
          <cell r="AT758" t="str">
            <v/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 t="str">
            <v/>
          </cell>
          <cell r="BK758">
            <v>4100</v>
          </cell>
          <cell r="BL758" t="str">
            <v/>
          </cell>
          <cell r="BM758" t="str">
            <v>1</v>
          </cell>
          <cell r="BN758" t="str">
            <v/>
          </cell>
          <cell r="BO758" t="str">
            <v/>
          </cell>
        </row>
        <row r="759">
          <cell r="A759">
            <v>1</v>
          </cell>
          <cell r="B759">
            <v>4819001</v>
          </cell>
          <cell r="C759" t="str">
            <v>SAL., DEP. DE VENTE</v>
          </cell>
          <cell r="D759" t="str">
            <v>TRAVAUX ARTISTIQUE PAPIER</v>
          </cell>
          <cell r="E759" t="str">
            <v>O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-731.25</v>
          </cell>
          <cell r="AA759">
            <v>-731.25</v>
          </cell>
          <cell r="AB759">
            <v>-731.25</v>
          </cell>
          <cell r="AC759">
            <v>-731.25</v>
          </cell>
          <cell r="AD759">
            <v>-731.25</v>
          </cell>
          <cell r="AE759">
            <v>-731.25</v>
          </cell>
          <cell r="AF759">
            <v>-731.25</v>
          </cell>
          <cell r="AG759">
            <v>-731.25</v>
          </cell>
          <cell r="AH759">
            <v>-731.25</v>
          </cell>
          <cell r="AI759">
            <v>-731.25</v>
          </cell>
          <cell r="AJ759">
            <v>-731.25</v>
          </cell>
          <cell r="AK759">
            <v>-731.25</v>
          </cell>
          <cell r="AL759">
            <v>0</v>
          </cell>
          <cell r="AM759">
            <v>1</v>
          </cell>
          <cell r="AN759" t="str">
            <v/>
          </cell>
          <cell r="AO759">
            <v>0</v>
          </cell>
          <cell r="AP759">
            <v>0</v>
          </cell>
          <cell r="AQ759">
            <v>0</v>
          </cell>
          <cell r="AR759">
            <v>800</v>
          </cell>
          <cell r="AS759">
            <v>0</v>
          </cell>
          <cell r="AT759" t="str">
            <v/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 t="str">
            <v/>
          </cell>
          <cell r="BK759">
            <v>4100</v>
          </cell>
          <cell r="BL759" t="str">
            <v>0</v>
          </cell>
          <cell r="BM759" t="str">
            <v>1</v>
          </cell>
          <cell r="BN759" t="str">
            <v/>
          </cell>
          <cell r="BO759" t="str">
            <v/>
          </cell>
        </row>
        <row r="760">
          <cell r="A760">
            <v>1</v>
          </cell>
          <cell r="B760">
            <v>4819002</v>
          </cell>
          <cell r="C760" t="str">
            <v>SAL., DEP. DE VENTE</v>
          </cell>
          <cell r="D760" t="str">
            <v>TRAVAUX ARTIST. SERVIETTE</v>
          </cell>
          <cell r="E760" t="str">
            <v>O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2</v>
          </cell>
          <cell r="AN760" t="str">
            <v/>
          </cell>
          <cell r="AO760">
            <v>0</v>
          </cell>
          <cell r="AP760">
            <v>0</v>
          </cell>
          <cell r="AQ760">
            <v>0</v>
          </cell>
          <cell r="AR760">
            <v>800</v>
          </cell>
          <cell r="AS760">
            <v>0</v>
          </cell>
          <cell r="AT760" t="str">
            <v/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 t="str">
            <v/>
          </cell>
          <cell r="BK760">
            <v>4100</v>
          </cell>
          <cell r="BL760" t="str">
            <v>0</v>
          </cell>
          <cell r="BM760" t="str">
            <v>1</v>
          </cell>
          <cell r="BN760" t="str">
            <v/>
          </cell>
          <cell r="BO760" t="str">
            <v/>
          </cell>
        </row>
        <row r="761">
          <cell r="A761">
            <v>1</v>
          </cell>
          <cell r="B761">
            <v>4819003</v>
          </cell>
          <cell r="C761" t="str">
            <v>SAL., DEP. DE VENTE</v>
          </cell>
          <cell r="D761" t="str">
            <v>TRAVAUX ARTISTIQUE SACS</v>
          </cell>
          <cell r="E761" t="str">
            <v>O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600</v>
          </cell>
          <cell r="AC761">
            <v>600</v>
          </cell>
          <cell r="AD761">
            <v>600</v>
          </cell>
          <cell r="AE761">
            <v>600</v>
          </cell>
          <cell r="AF761">
            <v>600</v>
          </cell>
          <cell r="AG761">
            <v>600</v>
          </cell>
          <cell r="AH761">
            <v>6685</v>
          </cell>
          <cell r="AI761">
            <v>6685</v>
          </cell>
          <cell r="AJ761">
            <v>6685</v>
          </cell>
          <cell r="AK761">
            <v>6685</v>
          </cell>
          <cell r="AL761">
            <v>0</v>
          </cell>
          <cell r="AM761">
            <v>3</v>
          </cell>
          <cell r="AN761" t="str">
            <v/>
          </cell>
          <cell r="AO761">
            <v>0</v>
          </cell>
          <cell r="AP761">
            <v>0</v>
          </cell>
          <cell r="AQ761">
            <v>0</v>
          </cell>
          <cell r="AR761">
            <v>800</v>
          </cell>
          <cell r="AS761">
            <v>0</v>
          </cell>
          <cell r="AT761" t="str">
            <v/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 t="str">
            <v/>
          </cell>
          <cell r="BK761">
            <v>4100</v>
          </cell>
          <cell r="BL761" t="str">
            <v>0</v>
          </cell>
          <cell r="BM761" t="str">
            <v>1</v>
          </cell>
          <cell r="BN761" t="str">
            <v/>
          </cell>
          <cell r="BO761" t="str">
            <v/>
          </cell>
        </row>
        <row r="762">
          <cell r="A762">
            <v>1</v>
          </cell>
          <cell r="B762">
            <v>4819004</v>
          </cell>
          <cell r="C762" t="str">
            <v>SAL., DEP. DE VENTE</v>
          </cell>
          <cell r="D762" t="str">
            <v>TRAVAUX ARTISTIQUE BOITES</v>
          </cell>
          <cell r="E762" t="str">
            <v>O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4</v>
          </cell>
          <cell r="AN762" t="str">
            <v/>
          </cell>
          <cell r="AO762">
            <v>0</v>
          </cell>
          <cell r="AP762">
            <v>0</v>
          </cell>
          <cell r="AQ762">
            <v>0</v>
          </cell>
          <cell r="AR762">
            <v>800</v>
          </cell>
          <cell r="AS762">
            <v>0</v>
          </cell>
          <cell r="AT762" t="str">
            <v/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 t="str">
            <v/>
          </cell>
          <cell r="BK762">
            <v>4100</v>
          </cell>
          <cell r="BL762" t="str">
            <v>0</v>
          </cell>
          <cell r="BM762" t="str">
            <v>1</v>
          </cell>
          <cell r="BN762" t="str">
            <v/>
          </cell>
          <cell r="BO762" t="str">
            <v/>
          </cell>
        </row>
        <row r="763">
          <cell r="A763">
            <v>1</v>
          </cell>
          <cell r="B763">
            <v>4822001</v>
          </cell>
          <cell r="C763" t="str">
            <v>MARKETING</v>
          </cell>
          <cell r="D763" t="str">
            <v>MARKETING DEPENSE</v>
          </cell>
          <cell r="E763" t="str">
            <v>O</v>
          </cell>
          <cell r="F763">
            <v>0</v>
          </cell>
          <cell r="G763">
            <v>0</v>
          </cell>
          <cell r="H763">
            <v>424.77</v>
          </cell>
          <cell r="I763">
            <v>424.77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21.77</v>
          </cell>
          <cell r="P763">
            <v>21.77</v>
          </cell>
          <cell r="Q763">
            <v>21.77</v>
          </cell>
          <cell r="R763">
            <v>21.77</v>
          </cell>
          <cell r="S763">
            <v>21.77</v>
          </cell>
          <cell r="T763">
            <v>21.77</v>
          </cell>
          <cell r="U763">
            <v>21.77</v>
          </cell>
          <cell r="V763">
            <v>21.77</v>
          </cell>
          <cell r="W763">
            <v>424.77</v>
          </cell>
          <cell r="X763">
            <v>424.77</v>
          </cell>
          <cell r="Y763">
            <v>424.77</v>
          </cell>
          <cell r="Z763">
            <v>0</v>
          </cell>
          <cell r="AA763">
            <v>0</v>
          </cell>
          <cell r="AB763">
            <v>3342.32</v>
          </cell>
          <cell r="AC763">
            <v>6995.15</v>
          </cell>
          <cell r="AD763">
            <v>7164.57</v>
          </cell>
          <cell r="AE763">
            <v>19004.57</v>
          </cell>
          <cell r="AF763">
            <v>19612.27</v>
          </cell>
          <cell r="AG763">
            <v>19612.27</v>
          </cell>
          <cell r="AH763">
            <v>19612.27</v>
          </cell>
          <cell r="AI763">
            <v>19612.27</v>
          </cell>
          <cell r="AJ763">
            <v>19612.27</v>
          </cell>
          <cell r="AK763">
            <v>19612.27</v>
          </cell>
          <cell r="AL763">
            <v>0</v>
          </cell>
          <cell r="AM763">
            <v>1</v>
          </cell>
          <cell r="AN763" t="str">
            <v/>
          </cell>
          <cell r="AO763">
            <v>0</v>
          </cell>
          <cell r="AP763">
            <v>0</v>
          </cell>
          <cell r="AQ763">
            <v>0</v>
          </cell>
          <cell r="AR763">
            <v>800</v>
          </cell>
          <cell r="AS763">
            <v>0</v>
          </cell>
          <cell r="AT763" t="str">
            <v/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 t="str">
            <v/>
          </cell>
          <cell r="BK763">
            <v>4100</v>
          </cell>
          <cell r="BL763" t="str">
            <v/>
          </cell>
          <cell r="BM763" t="str">
            <v>1</v>
          </cell>
          <cell r="BN763" t="str">
            <v/>
          </cell>
          <cell r="BO763" t="str">
            <v/>
          </cell>
        </row>
        <row r="764">
          <cell r="A764">
            <v>1</v>
          </cell>
          <cell r="B764">
            <v>4823001</v>
          </cell>
          <cell r="C764" t="str">
            <v>MARKETING</v>
          </cell>
          <cell r="D764" t="str">
            <v>MARKETING ECHANTILLON</v>
          </cell>
          <cell r="E764" t="str">
            <v>O</v>
          </cell>
          <cell r="F764">
            <v>0</v>
          </cell>
          <cell r="G764">
            <v>0</v>
          </cell>
          <cell r="H764">
            <v>833.76</v>
          </cell>
          <cell r="I764">
            <v>951.39</v>
          </cell>
          <cell r="J764">
            <v>117.63</v>
          </cell>
          <cell r="K764">
            <v>0</v>
          </cell>
          <cell r="L764">
            <v>0</v>
          </cell>
          <cell r="M764">
            <v>0</v>
          </cell>
          <cell r="N764">
            <v>59.98</v>
          </cell>
          <cell r="O764">
            <v>59.98</v>
          </cell>
          <cell r="P764">
            <v>59.98</v>
          </cell>
          <cell r="Q764">
            <v>633.95000000000005</v>
          </cell>
          <cell r="R764">
            <v>833.76</v>
          </cell>
          <cell r="S764">
            <v>833.76</v>
          </cell>
          <cell r="T764">
            <v>833.76</v>
          </cell>
          <cell r="U764">
            <v>833.76</v>
          </cell>
          <cell r="V764">
            <v>833.76</v>
          </cell>
          <cell r="W764">
            <v>833.76</v>
          </cell>
          <cell r="X764">
            <v>833.76</v>
          </cell>
          <cell r="Y764">
            <v>833.76</v>
          </cell>
          <cell r="Z764">
            <v>1868.76</v>
          </cell>
          <cell r="AA764">
            <v>3880.95</v>
          </cell>
          <cell r="AB764">
            <v>5308.43</v>
          </cell>
          <cell r="AC764">
            <v>7207.14</v>
          </cell>
          <cell r="AD764">
            <v>8906.0300000000007</v>
          </cell>
          <cell r="AE764">
            <v>10749.18</v>
          </cell>
          <cell r="AF764">
            <v>13052.05</v>
          </cell>
          <cell r="AG764">
            <v>14046.26</v>
          </cell>
          <cell r="AH764">
            <v>14790.17</v>
          </cell>
          <cell r="AI764">
            <v>15957.87</v>
          </cell>
          <cell r="AJ764">
            <v>16125.11</v>
          </cell>
          <cell r="AK764">
            <v>15923.83</v>
          </cell>
          <cell r="AL764">
            <v>0</v>
          </cell>
          <cell r="AM764">
            <v>1</v>
          </cell>
          <cell r="AN764" t="str">
            <v/>
          </cell>
          <cell r="AO764">
            <v>0</v>
          </cell>
          <cell r="AP764">
            <v>0</v>
          </cell>
          <cell r="AQ764">
            <v>0</v>
          </cell>
          <cell r="AR764">
            <v>800</v>
          </cell>
          <cell r="AS764">
            <v>0</v>
          </cell>
          <cell r="AT764" t="str">
            <v/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 t="str">
            <v/>
          </cell>
          <cell r="BK764">
            <v>4100</v>
          </cell>
          <cell r="BL764" t="str">
            <v/>
          </cell>
          <cell r="BM764" t="str">
            <v>1</v>
          </cell>
          <cell r="BN764" t="str">
            <v/>
          </cell>
          <cell r="BO764" t="str">
            <v/>
          </cell>
        </row>
        <row r="765">
          <cell r="A765">
            <v>1</v>
          </cell>
          <cell r="B765">
            <v>4827001</v>
          </cell>
          <cell r="C765" t="str">
            <v>MARKETING</v>
          </cell>
          <cell r="D765" t="str">
            <v>MEETING</v>
          </cell>
          <cell r="E765" t="str">
            <v>O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1</v>
          </cell>
          <cell r="AN765" t="str">
            <v/>
          </cell>
          <cell r="AO765">
            <v>0</v>
          </cell>
          <cell r="AP765">
            <v>0</v>
          </cell>
          <cell r="AQ765">
            <v>0</v>
          </cell>
          <cell r="AR765">
            <v>800</v>
          </cell>
          <cell r="AS765">
            <v>0</v>
          </cell>
          <cell r="AT765" t="str">
            <v/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 t="str">
            <v/>
          </cell>
          <cell r="BK765">
            <v>4100</v>
          </cell>
          <cell r="BL765" t="str">
            <v>0</v>
          </cell>
          <cell r="BM765" t="str">
            <v>1</v>
          </cell>
          <cell r="BN765" t="str">
            <v/>
          </cell>
          <cell r="BO765" t="str">
            <v/>
          </cell>
        </row>
        <row r="766">
          <cell r="A766">
            <v>1</v>
          </cell>
          <cell r="B766">
            <v>4829001</v>
          </cell>
          <cell r="C766" t="str">
            <v>MARKETING</v>
          </cell>
          <cell r="D766" t="str">
            <v>TRANSFERT DIVISION PAPIER</v>
          </cell>
          <cell r="E766" t="str">
            <v>O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1</v>
          </cell>
          <cell r="AN766" t="str">
            <v/>
          </cell>
          <cell r="AO766">
            <v>0</v>
          </cell>
          <cell r="AP766">
            <v>0</v>
          </cell>
          <cell r="AQ766">
            <v>0</v>
          </cell>
          <cell r="AR766">
            <v>800</v>
          </cell>
          <cell r="AS766">
            <v>0</v>
          </cell>
          <cell r="AT766" t="str">
            <v/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 t="str">
            <v/>
          </cell>
          <cell r="BK766">
            <v>4100</v>
          </cell>
          <cell r="BL766" t="str">
            <v>0</v>
          </cell>
          <cell r="BM766" t="str">
            <v>1</v>
          </cell>
          <cell r="BN766" t="str">
            <v/>
          </cell>
          <cell r="BO766" t="str">
            <v/>
          </cell>
        </row>
        <row r="767">
          <cell r="A767">
            <v>1</v>
          </cell>
          <cell r="B767">
            <v>4829002</v>
          </cell>
          <cell r="C767" t="str">
            <v>MARKETING</v>
          </cell>
          <cell r="D767" t="str">
            <v>FRAIS C&amp;I</v>
          </cell>
          <cell r="E767" t="str">
            <v>O</v>
          </cell>
          <cell r="F767">
            <v>0</v>
          </cell>
          <cell r="G767">
            <v>0</v>
          </cell>
          <cell r="H767">
            <v>1928154.76</v>
          </cell>
          <cell r="I767">
            <v>3898366.94</v>
          </cell>
          <cell r="J767">
            <v>1970212.18</v>
          </cell>
          <cell r="K767">
            <v>0</v>
          </cell>
          <cell r="L767">
            <v>330925.8</v>
          </cell>
          <cell r="M767">
            <v>174168.5</v>
          </cell>
          <cell r="N767">
            <v>201334.81</v>
          </cell>
          <cell r="O767">
            <v>364898.66</v>
          </cell>
          <cell r="P767">
            <v>547989.27</v>
          </cell>
          <cell r="Q767">
            <v>703670.24</v>
          </cell>
          <cell r="R767">
            <v>870090.23999999999</v>
          </cell>
          <cell r="S767">
            <v>1026431.72</v>
          </cell>
          <cell r="T767">
            <v>1183989.73</v>
          </cell>
          <cell r="U767">
            <v>1405140.3</v>
          </cell>
          <cell r="V767">
            <v>1581042.86</v>
          </cell>
          <cell r="W767">
            <v>1750941.26</v>
          </cell>
          <cell r="X767">
            <v>1928154.76</v>
          </cell>
          <cell r="Y767">
            <v>2084912.06</v>
          </cell>
          <cell r="Z767">
            <v>139854.22</v>
          </cell>
          <cell r="AA767">
            <v>275709.88</v>
          </cell>
          <cell r="AB767">
            <v>424683.35</v>
          </cell>
          <cell r="AC767">
            <v>572613.49</v>
          </cell>
          <cell r="AD767">
            <v>689804.03</v>
          </cell>
          <cell r="AE767">
            <v>852156.44</v>
          </cell>
          <cell r="AF767">
            <v>1018235.44</v>
          </cell>
          <cell r="AG767">
            <v>1206283.74</v>
          </cell>
          <cell r="AH767">
            <v>1404362.58</v>
          </cell>
          <cell r="AI767">
            <v>1574829.16</v>
          </cell>
          <cell r="AJ767">
            <v>1751281.91</v>
          </cell>
          <cell r="AK767">
            <v>1896749.54</v>
          </cell>
          <cell r="AL767">
            <v>0</v>
          </cell>
          <cell r="AM767">
            <v>2</v>
          </cell>
          <cell r="AN767" t="str">
            <v/>
          </cell>
          <cell r="AO767">
            <v>0</v>
          </cell>
          <cell r="AP767">
            <v>0</v>
          </cell>
          <cell r="AQ767">
            <v>0</v>
          </cell>
          <cell r="AR767">
            <v>800</v>
          </cell>
          <cell r="AS767">
            <v>0</v>
          </cell>
          <cell r="AT767" t="str">
            <v/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 t="str">
            <v/>
          </cell>
          <cell r="BK767">
            <v>4100</v>
          </cell>
          <cell r="BL767" t="str">
            <v>0</v>
          </cell>
          <cell r="BM767" t="str">
            <v>1</v>
          </cell>
          <cell r="BN767" t="str">
            <v/>
          </cell>
          <cell r="BO767" t="str">
            <v/>
          </cell>
        </row>
        <row r="768">
          <cell r="A768">
            <v>1</v>
          </cell>
          <cell r="B768">
            <v>4829003</v>
          </cell>
          <cell r="C768" t="str">
            <v>MARKETING</v>
          </cell>
          <cell r="D768" t="str">
            <v>FRAIS C&amp;I</v>
          </cell>
          <cell r="E768" t="str">
            <v>O</v>
          </cell>
          <cell r="F768">
            <v>0</v>
          </cell>
          <cell r="G768">
            <v>0</v>
          </cell>
          <cell r="H768">
            <v>345726.14</v>
          </cell>
          <cell r="I768">
            <v>1054806.27</v>
          </cell>
          <cell r="J768">
            <v>709080.13</v>
          </cell>
          <cell r="K768">
            <v>0</v>
          </cell>
          <cell r="L768">
            <v>58674.09</v>
          </cell>
          <cell r="M768">
            <v>30735.62</v>
          </cell>
          <cell r="N768">
            <v>37258.89</v>
          </cell>
          <cell r="O768">
            <v>66457.039999999994</v>
          </cell>
          <cell r="P768">
            <v>99187.49</v>
          </cell>
          <cell r="Q768">
            <v>127028.01</v>
          </cell>
          <cell r="R768">
            <v>156732.01</v>
          </cell>
          <cell r="S768">
            <v>184720.84</v>
          </cell>
          <cell r="T768">
            <v>212844.2</v>
          </cell>
          <cell r="U768">
            <v>252269.65</v>
          </cell>
          <cell r="V768">
            <v>283767.63</v>
          </cell>
          <cell r="W768">
            <v>314102.52</v>
          </cell>
          <cell r="X768">
            <v>345726.14</v>
          </cell>
          <cell r="Y768">
            <v>373664.61</v>
          </cell>
          <cell r="Z768">
            <v>38081</v>
          </cell>
          <cell r="AA768">
            <v>61548.86</v>
          </cell>
          <cell r="AB768">
            <v>98354.62</v>
          </cell>
          <cell r="AC768">
            <v>131170.66</v>
          </cell>
          <cell r="AD768">
            <v>164485.53</v>
          </cell>
          <cell r="AE768">
            <v>205027.43</v>
          </cell>
          <cell r="AF768">
            <v>246367.43</v>
          </cell>
          <cell r="AG768">
            <v>259357.6</v>
          </cell>
          <cell r="AH768">
            <v>299421.15000000002</v>
          </cell>
          <cell r="AI768">
            <v>360969.63</v>
          </cell>
          <cell r="AJ768">
            <v>392195.88</v>
          </cell>
          <cell r="AK768">
            <v>417868.84</v>
          </cell>
          <cell r="AL768">
            <v>0</v>
          </cell>
          <cell r="AM768">
            <v>3</v>
          </cell>
          <cell r="AN768" t="str">
            <v/>
          </cell>
          <cell r="AO768">
            <v>0</v>
          </cell>
          <cell r="AP768">
            <v>0</v>
          </cell>
          <cell r="AQ768">
            <v>0</v>
          </cell>
          <cell r="AR768">
            <v>800</v>
          </cell>
          <cell r="AS768">
            <v>0</v>
          </cell>
          <cell r="AT768" t="str">
            <v/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 t="str">
            <v/>
          </cell>
          <cell r="BK768">
            <v>4100</v>
          </cell>
          <cell r="BL768" t="str">
            <v>0</v>
          </cell>
          <cell r="BM768" t="str">
            <v>1</v>
          </cell>
          <cell r="BN768" t="str">
            <v/>
          </cell>
          <cell r="BO768" t="str">
            <v/>
          </cell>
        </row>
        <row r="769">
          <cell r="A769">
            <v>1</v>
          </cell>
          <cell r="B769">
            <v>4829004</v>
          </cell>
          <cell r="C769" t="str">
            <v>MARKETING</v>
          </cell>
          <cell r="D769" t="str">
            <v>TRANSFERT DIVISION BOITES</v>
          </cell>
          <cell r="E769" t="str">
            <v>O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54.76</v>
          </cell>
          <cell r="AG769">
            <v>149.28</v>
          </cell>
          <cell r="AH769">
            <v>207.01</v>
          </cell>
          <cell r="AI769">
            <v>207.01</v>
          </cell>
          <cell r="AJ769">
            <v>207.01</v>
          </cell>
          <cell r="AK769">
            <v>207.01</v>
          </cell>
          <cell r="AL769">
            <v>0</v>
          </cell>
          <cell r="AM769">
            <v>4</v>
          </cell>
          <cell r="AN769" t="str">
            <v/>
          </cell>
          <cell r="AO769">
            <v>0</v>
          </cell>
          <cell r="AP769">
            <v>0</v>
          </cell>
          <cell r="AQ769">
            <v>0</v>
          </cell>
          <cell r="AR769">
            <v>800</v>
          </cell>
          <cell r="AS769">
            <v>0</v>
          </cell>
          <cell r="AT769" t="str">
            <v/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 t="str">
            <v/>
          </cell>
          <cell r="BK769">
            <v>4100</v>
          </cell>
          <cell r="BL769" t="str">
            <v>0</v>
          </cell>
          <cell r="BM769" t="str">
            <v>1</v>
          </cell>
          <cell r="BN769" t="str">
            <v/>
          </cell>
          <cell r="BO769" t="str">
            <v/>
          </cell>
        </row>
        <row r="770">
          <cell r="A770">
            <v>1</v>
          </cell>
          <cell r="B770">
            <v>4831001</v>
          </cell>
          <cell r="C770" t="str">
            <v>PUBLICITÉ ET DONS</v>
          </cell>
          <cell r="D770" t="str">
            <v>PUBLICITÉ</v>
          </cell>
          <cell r="E770" t="str">
            <v>O</v>
          </cell>
          <cell r="F770">
            <v>0</v>
          </cell>
          <cell r="G770">
            <v>0</v>
          </cell>
          <cell r="H770">
            <v>2020.56</v>
          </cell>
          <cell r="I770">
            <v>2020.56</v>
          </cell>
          <cell r="J770">
            <v>0</v>
          </cell>
          <cell r="K770">
            <v>0</v>
          </cell>
          <cell r="L770">
            <v>965.6</v>
          </cell>
          <cell r="M770">
            <v>0</v>
          </cell>
          <cell r="N770">
            <v>200</v>
          </cell>
          <cell r="O770">
            <v>1498.55</v>
          </cell>
          <cell r="P770">
            <v>1885.56</v>
          </cell>
          <cell r="Q770">
            <v>1885.56</v>
          </cell>
          <cell r="R770">
            <v>1885.56</v>
          </cell>
          <cell r="S770">
            <v>1885.56</v>
          </cell>
          <cell r="T770">
            <v>1885.56</v>
          </cell>
          <cell r="U770">
            <v>1885.56</v>
          </cell>
          <cell r="V770">
            <v>1975.56</v>
          </cell>
          <cell r="W770">
            <v>1975.56</v>
          </cell>
          <cell r="X770">
            <v>2020.56</v>
          </cell>
          <cell r="Y770">
            <v>2986.16</v>
          </cell>
          <cell r="Z770">
            <v>492.6</v>
          </cell>
          <cell r="AA770">
            <v>3354.2</v>
          </cell>
          <cell r="AB770">
            <v>3464.8</v>
          </cell>
          <cell r="AC770">
            <v>4074.4</v>
          </cell>
          <cell r="AD770">
            <v>7236.7</v>
          </cell>
          <cell r="AE770">
            <v>7236.7</v>
          </cell>
          <cell r="AF770">
            <v>7569.7</v>
          </cell>
          <cell r="AG770">
            <v>7569.7</v>
          </cell>
          <cell r="AH770">
            <v>7569.7</v>
          </cell>
          <cell r="AI770">
            <v>7569.7</v>
          </cell>
          <cell r="AJ770">
            <v>7787.3</v>
          </cell>
          <cell r="AK770">
            <v>10075.5</v>
          </cell>
          <cell r="AL770">
            <v>0</v>
          </cell>
          <cell r="AM770">
            <v>1</v>
          </cell>
          <cell r="AN770" t="str">
            <v/>
          </cell>
          <cell r="AO770">
            <v>0</v>
          </cell>
          <cell r="AP770">
            <v>0</v>
          </cell>
          <cell r="AQ770">
            <v>0</v>
          </cell>
          <cell r="AR770">
            <v>800</v>
          </cell>
          <cell r="AS770">
            <v>0</v>
          </cell>
          <cell r="AT770" t="str">
            <v/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 t="str">
            <v/>
          </cell>
          <cell r="BK770">
            <v>4100</v>
          </cell>
          <cell r="BL770" t="str">
            <v/>
          </cell>
          <cell r="BM770" t="str">
            <v>1</v>
          </cell>
          <cell r="BN770" t="str">
            <v/>
          </cell>
          <cell r="BO770" t="str">
            <v/>
          </cell>
        </row>
        <row r="771">
          <cell r="A771">
            <v>1</v>
          </cell>
          <cell r="B771">
            <v>4831011</v>
          </cell>
          <cell r="C771" t="str">
            <v>PUBLICITÉ ET DONS</v>
          </cell>
          <cell r="D771" t="str">
            <v>DONS</v>
          </cell>
          <cell r="E771" t="str">
            <v>O</v>
          </cell>
          <cell r="F771">
            <v>0</v>
          </cell>
          <cell r="G771">
            <v>0</v>
          </cell>
          <cell r="H771">
            <v>2911.5</v>
          </cell>
          <cell r="I771">
            <v>2911.5</v>
          </cell>
          <cell r="J771">
            <v>0</v>
          </cell>
          <cell r="K771">
            <v>0</v>
          </cell>
          <cell r="L771">
            <v>100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2911.5</v>
          </cell>
          <cell r="Y771">
            <v>3011.5</v>
          </cell>
          <cell r="Z771">
            <v>4000</v>
          </cell>
          <cell r="AA771">
            <v>4000</v>
          </cell>
          <cell r="AB771">
            <v>4800</v>
          </cell>
          <cell r="AC771">
            <v>12150</v>
          </cell>
          <cell r="AD771">
            <v>12150</v>
          </cell>
          <cell r="AE771">
            <v>13049.81</v>
          </cell>
          <cell r="AF771">
            <v>12553.81</v>
          </cell>
          <cell r="AG771">
            <v>12803.81</v>
          </cell>
          <cell r="AH771">
            <v>12903.81</v>
          </cell>
          <cell r="AI771">
            <v>13523.57</v>
          </cell>
          <cell r="AJ771">
            <v>13723.57</v>
          </cell>
          <cell r="AK771">
            <v>16899.82</v>
          </cell>
          <cell r="AL771">
            <v>0</v>
          </cell>
          <cell r="AM771">
            <v>1</v>
          </cell>
          <cell r="AN771" t="str">
            <v/>
          </cell>
          <cell r="AO771">
            <v>0</v>
          </cell>
          <cell r="AP771">
            <v>0</v>
          </cell>
          <cell r="AQ771">
            <v>0</v>
          </cell>
          <cell r="AR771">
            <v>800</v>
          </cell>
          <cell r="AS771">
            <v>0</v>
          </cell>
          <cell r="AT771" t="str">
            <v/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 t="str">
            <v/>
          </cell>
          <cell r="BK771">
            <v>4100</v>
          </cell>
          <cell r="BL771" t="str">
            <v/>
          </cell>
          <cell r="BM771" t="str">
            <v>1</v>
          </cell>
          <cell r="BN771" t="str">
            <v/>
          </cell>
          <cell r="BO771" t="str">
            <v/>
          </cell>
        </row>
        <row r="772">
          <cell r="A772">
            <v>1</v>
          </cell>
          <cell r="B772">
            <v>4831021</v>
          </cell>
          <cell r="C772" t="str">
            <v>PUBLICITÉ ET DONS</v>
          </cell>
          <cell r="D772" t="str">
            <v>CADEAUX</v>
          </cell>
          <cell r="E772" t="str">
            <v>O</v>
          </cell>
          <cell r="F772">
            <v>0</v>
          </cell>
          <cell r="G772">
            <v>0</v>
          </cell>
          <cell r="H772">
            <v>354.13</v>
          </cell>
          <cell r="I772">
            <v>879.24</v>
          </cell>
          <cell r="J772">
            <v>525.11</v>
          </cell>
          <cell r="K772">
            <v>0</v>
          </cell>
          <cell r="L772">
            <v>0</v>
          </cell>
          <cell r="M772">
            <v>0</v>
          </cell>
          <cell r="N772">
            <v>167.63</v>
          </cell>
          <cell r="O772">
            <v>225.13</v>
          </cell>
          <cell r="P772">
            <v>225.13</v>
          </cell>
          <cell r="Q772">
            <v>354.13</v>
          </cell>
          <cell r="R772">
            <v>354.13</v>
          </cell>
          <cell r="S772">
            <v>354.13</v>
          </cell>
          <cell r="T772">
            <v>354.13</v>
          </cell>
          <cell r="U772">
            <v>354.13</v>
          </cell>
          <cell r="V772">
            <v>354.13</v>
          </cell>
          <cell r="W772">
            <v>354.13</v>
          </cell>
          <cell r="X772">
            <v>354.13</v>
          </cell>
          <cell r="Y772">
            <v>354.13</v>
          </cell>
          <cell r="Z772">
            <v>0</v>
          </cell>
          <cell r="AA772">
            <v>0</v>
          </cell>
          <cell r="AB772">
            <v>0</v>
          </cell>
          <cell r="AC772">
            <v>3.53</v>
          </cell>
          <cell r="AD772">
            <v>3.53</v>
          </cell>
          <cell r="AE772">
            <v>3.53</v>
          </cell>
          <cell r="AF772">
            <v>3.53</v>
          </cell>
          <cell r="AG772">
            <v>3.53</v>
          </cell>
          <cell r="AH772">
            <v>211.82</v>
          </cell>
          <cell r="AI772">
            <v>194.05</v>
          </cell>
          <cell r="AJ772">
            <v>194.05</v>
          </cell>
          <cell r="AK772">
            <v>494.03</v>
          </cell>
          <cell r="AL772">
            <v>0</v>
          </cell>
          <cell r="AM772">
            <v>1</v>
          </cell>
          <cell r="AN772" t="str">
            <v/>
          </cell>
          <cell r="AO772">
            <v>0</v>
          </cell>
          <cell r="AP772">
            <v>0</v>
          </cell>
          <cell r="AQ772">
            <v>0</v>
          </cell>
          <cell r="AR772">
            <v>800</v>
          </cell>
          <cell r="AS772">
            <v>0</v>
          </cell>
          <cell r="AT772" t="str">
            <v/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 t="str">
            <v/>
          </cell>
          <cell r="BK772">
            <v>4100</v>
          </cell>
          <cell r="BL772" t="str">
            <v/>
          </cell>
          <cell r="BM772" t="str">
            <v>1</v>
          </cell>
          <cell r="BN772" t="str">
            <v/>
          </cell>
          <cell r="BO772" t="str">
            <v/>
          </cell>
        </row>
        <row r="773">
          <cell r="A773">
            <v>1</v>
          </cell>
          <cell r="B773">
            <v>4831031</v>
          </cell>
          <cell r="C773" t="str">
            <v>PUBLICITÉ ET DONS</v>
          </cell>
          <cell r="D773" t="str">
            <v>COMMANDITE</v>
          </cell>
          <cell r="E773" t="str">
            <v>O</v>
          </cell>
          <cell r="F773">
            <v>0</v>
          </cell>
          <cell r="G773">
            <v>0</v>
          </cell>
          <cell r="H773">
            <v>2343.04</v>
          </cell>
          <cell r="I773">
            <v>2343.04</v>
          </cell>
          <cell r="J773">
            <v>0</v>
          </cell>
          <cell r="K773">
            <v>0</v>
          </cell>
          <cell r="L773">
            <v>9200</v>
          </cell>
          <cell r="M773">
            <v>0</v>
          </cell>
          <cell r="N773">
            <v>18.04</v>
          </cell>
          <cell r="O773">
            <v>18.04</v>
          </cell>
          <cell r="P773">
            <v>18.04</v>
          </cell>
          <cell r="Q773">
            <v>18.04</v>
          </cell>
          <cell r="R773">
            <v>538.04</v>
          </cell>
          <cell r="S773">
            <v>1213.04</v>
          </cell>
          <cell r="T773">
            <v>1963.04</v>
          </cell>
          <cell r="U773">
            <v>2303.04</v>
          </cell>
          <cell r="V773">
            <v>2303.04</v>
          </cell>
          <cell r="W773">
            <v>2303.04</v>
          </cell>
          <cell r="X773">
            <v>2343.04</v>
          </cell>
          <cell r="Y773">
            <v>11543.04</v>
          </cell>
          <cell r="Z773">
            <v>0</v>
          </cell>
          <cell r="AA773">
            <v>1047.67</v>
          </cell>
          <cell r="AB773">
            <v>727.67</v>
          </cell>
          <cell r="AC773">
            <v>1047.67</v>
          </cell>
          <cell r="AD773">
            <v>1047.67</v>
          </cell>
          <cell r="AE773">
            <v>1047.67</v>
          </cell>
          <cell r="AF773">
            <v>2727.67</v>
          </cell>
          <cell r="AG773">
            <v>2727.67</v>
          </cell>
          <cell r="AH773">
            <v>2812.67</v>
          </cell>
          <cell r="AI773">
            <v>2812.67</v>
          </cell>
          <cell r="AJ773">
            <v>2812.67</v>
          </cell>
          <cell r="AK773">
            <v>3794.66</v>
          </cell>
          <cell r="AL773">
            <v>0</v>
          </cell>
          <cell r="AM773">
            <v>1</v>
          </cell>
          <cell r="AN773" t="str">
            <v/>
          </cell>
          <cell r="AO773">
            <v>0</v>
          </cell>
          <cell r="AP773">
            <v>0</v>
          </cell>
          <cell r="AQ773">
            <v>0</v>
          </cell>
          <cell r="AR773">
            <v>800</v>
          </cell>
          <cell r="AS773">
            <v>0</v>
          </cell>
          <cell r="AT773" t="str">
            <v/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 t="str">
            <v/>
          </cell>
          <cell r="BK773">
            <v>4100</v>
          </cell>
          <cell r="BL773" t="str">
            <v/>
          </cell>
          <cell r="BM773" t="str">
            <v>1</v>
          </cell>
          <cell r="BN773" t="str">
            <v/>
          </cell>
          <cell r="BO773" t="str">
            <v/>
          </cell>
        </row>
        <row r="774">
          <cell r="A774">
            <v>1</v>
          </cell>
          <cell r="B774">
            <v>4831041</v>
          </cell>
          <cell r="C774" t="str">
            <v>PUBLICITÉ ET DONS</v>
          </cell>
          <cell r="D774" t="str">
            <v>CONTRIBUTION</v>
          </cell>
          <cell r="E774" t="str">
            <v>O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250</v>
          </cell>
          <cell r="AK774">
            <v>250</v>
          </cell>
          <cell r="AL774">
            <v>0</v>
          </cell>
          <cell r="AM774">
            <v>1</v>
          </cell>
          <cell r="AN774" t="str">
            <v/>
          </cell>
          <cell r="AO774">
            <v>0</v>
          </cell>
          <cell r="AP774">
            <v>0</v>
          </cell>
          <cell r="AQ774">
            <v>0</v>
          </cell>
          <cell r="AR774">
            <v>800</v>
          </cell>
          <cell r="AS774">
            <v>0</v>
          </cell>
          <cell r="AT774" t="str">
            <v/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 t="str">
            <v/>
          </cell>
          <cell r="BK774">
            <v>4100</v>
          </cell>
          <cell r="BL774" t="str">
            <v/>
          </cell>
          <cell r="BM774" t="str">
            <v>1</v>
          </cell>
          <cell r="BN774" t="str">
            <v/>
          </cell>
          <cell r="BO774" t="str">
            <v/>
          </cell>
        </row>
        <row r="775">
          <cell r="A775">
            <v>1</v>
          </cell>
          <cell r="B775">
            <v>4839001</v>
          </cell>
          <cell r="C775" t="str">
            <v>PUBLICITE ET DONS</v>
          </cell>
          <cell r="D775" t="str">
            <v>TRANSFERT DIVISION PAPIER</v>
          </cell>
          <cell r="E775" t="str">
            <v>O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198.9</v>
          </cell>
          <cell r="AA775">
            <v>198.9</v>
          </cell>
          <cell r="AB775">
            <v>198.9</v>
          </cell>
          <cell r="AC775">
            <v>198.9</v>
          </cell>
          <cell r="AD775">
            <v>198.9</v>
          </cell>
          <cell r="AE775">
            <v>198.9</v>
          </cell>
          <cell r="AF775">
            <v>198.9</v>
          </cell>
          <cell r="AG775">
            <v>198.9</v>
          </cell>
          <cell r="AH775">
            <v>198.9</v>
          </cell>
          <cell r="AI775">
            <v>198.9</v>
          </cell>
          <cell r="AJ775">
            <v>198.9</v>
          </cell>
          <cell r="AK775">
            <v>198.9</v>
          </cell>
          <cell r="AL775">
            <v>0</v>
          </cell>
          <cell r="AM775">
            <v>1</v>
          </cell>
          <cell r="AN775" t="str">
            <v/>
          </cell>
          <cell r="AO775">
            <v>0</v>
          </cell>
          <cell r="AP775">
            <v>0</v>
          </cell>
          <cell r="AQ775">
            <v>0</v>
          </cell>
          <cell r="AR775">
            <v>800</v>
          </cell>
          <cell r="AS775">
            <v>0</v>
          </cell>
          <cell r="AT775" t="str">
            <v/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 t="str">
            <v/>
          </cell>
          <cell r="BK775">
            <v>4100</v>
          </cell>
          <cell r="BL775" t="str">
            <v>0</v>
          </cell>
          <cell r="BM775" t="str">
            <v>1</v>
          </cell>
          <cell r="BN775" t="str">
            <v/>
          </cell>
          <cell r="BO775" t="str">
            <v/>
          </cell>
        </row>
        <row r="776">
          <cell r="A776">
            <v>1</v>
          </cell>
          <cell r="B776">
            <v>4839002</v>
          </cell>
          <cell r="C776" t="str">
            <v>PUBLICITE ET DONS</v>
          </cell>
          <cell r="D776" t="str">
            <v>TRANSFERT DIV. SERVIETTES</v>
          </cell>
          <cell r="E776" t="str">
            <v>O</v>
          </cell>
          <cell r="F776">
            <v>0</v>
          </cell>
          <cell r="G776">
            <v>0</v>
          </cell>
          <cell r="H776">
            <v>4121</v>
          </cell>
          <cell r="I776">
            <v>4191</v>
          </cell>
          <cell r="J776">
            <v>70</v>
          </cell>
          <cell r="K776">
            <v>0</v>
          </cell>
          <cell r="L776">
            <v>1223</v>
          </cell>
          <cell r="M776">
            <v>0</v>
          </cell>
          <cell r="N776">
            <v>208</v>
          </cell>
          <cell r="O776">
            <v>940</v>
          </cell>
          <cell r="P776">
            <v>1149</v>
          </cell>
          <cell r="Q776">
            <v>1219</v>
          </cell>
          <cell r="R776">
            <v>1500</v>
          </cell>
          <cell r="S776">
            <v>1865</v>
          </cell>
          <cell r="T776">
            <v>2270</v>
          </cell>
          <cell r="U776">
            <v>2454</v>
          </cell>
          <cell r="V776">
            <v>2503</v>
          </cell>
          <cell r="W776">
            <v>2503</v>
          </cell>
          <cell r="X776">
            <v>4121</v>
          </cell>
          <cell r="Y776">
            <v>5344</v>
          </cell>
          <cell r="Z776">
            <v>1885</v>
          </cell>
          <cell r="AA776">
            <v>3996</v>
          </cell>
          <cell r="AB776">
            <v>4185</v>
          </cell>
          <cell r="AC776">
            <v>7467</v>
          </cell>
          <cell r="AD776">
            <v>9174</v>
          </cell>
          <cell r="AE776">
            <v>10005</v>
          </cell>
          <cell r="AF776">
            <v>10904</v>
          </cell>
          <cell r="AG776">
            <v>10904</v>
          </cell>
          <cell r="AH776">
            <v>10904</v>
          </cell>
          <cell r="AI776">
            <v>10904</v>
          </cell>
          <cell r="AJ776">
            <v>11264</v>
          </cell>
          <cell r="AK776">
            <v>14907</v>
          </cell>
          <cell r="AL776">
            <v>0</v>
          </cell>
          <cell r="AM776">
            <v>2</v>
          </cell>
          <cell r="AN776" t="str">
            <v/>
          </cell>
          <cell r="AO776">
            <v>0</v>
          </cell>
          <cell r="AP776">
            <v>0</v>
          </cell>
          <cell r="AQ776">
            <v>0</v>
          </cell>
          <cell r="AR776">
            <v>800</v>
          </cell>
          <cell r="AS776">
            <v>0</v>
          </cell>
          <cell r="AT776" t="str">
            <v/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 t="str">
            <v/>
          </cell>
          <cell r="BK776">
            <v>4100</v>
          </cell>
          <cell r="BL776" t="str">
            <v>0</v>
          </cell>
          <cell r="BM776" t="str">
            <v>1</v>
          </cell>
          <cell r="BN776" t="str">
            <v/>
          </cell>
          <cell r="BO776" t="str">
            <v/>
          </cell>
        </row>
        <row r="777">
          <cell r="A777">
            <v>1</v>
          </cell>
          <cell r="B777">
            <v>4839003</v>
          </cell>
          <cell r="C777" t="str">
            <v>PUBLICITE ET DONS</v>
          </cell>
          <cell r="D777" t="str">
            <v>TRANSFERT DIVISION SACS</v>
          </cell>
          <cell r="E777" t="str">
            <v>O</v>
          </cell>
          <cell r="F777">
            <v>0</v>
          </cell>
          <cell r="G777">
            <v>0</v>
          </cell>
          <cell r="H777">
            <v>1220</v>
          </cell>
          <cell r="I777">
            <v>1241</v>
          </cell>
          <cell r="J777">
            <v>21</v>
          </cell>
          <cell r="K777">
            <v>0</v>
          </cell>
          <cell r="L777">
            <v>362</v>
          </cell>
          <cell r="M777">
            <v>0</v>
          </cell>
          <cell r="N777">
            <v>62</v>
          </cell>
          <cell r="O777">
            <v>279</v>
          </cell>
          <cell r="P777">
            <v>341</v>
          </cell>
          <cell r="Q777">
            <v>362</v>
          </cell>
          <cell r="R777">
            <v>445</v>
          </cell>
          <cell r="S777">
            <v>553</v>
          </cell>
          <cell r="T777">
            <v>673</v>
          </cell>
          <cell r="U777">
            <v>727</v>
          </cell>
          <cell r="V777">
            <v>741</v>
          </cell>
          <cell r="W777">
            <v>741</v>
          </cell>
          <cell r="X777">
            <v>1220</v>
          </cell>
          <cell r="Y777">
            <v>1582</v>
          </cell>
          <cell r="Z777">
            <v>559</v>
          </cell>
          <cell r="AA777">
            <v>1184</v>
          </cell>
          <cell r="AB777">
            <v>1240</v>
          </cell>
          <cell r="AC777">
            <v>6344.4</v>
          </cell>
          <cell r="AD777">
            <v>2718</v>
          </cell>
          <cell r="AE777">
            <v>2964</v>
          </cell>
          <cell r="AF777">
            <v>3230</v>
          </cell>
          <cell r="AG777">
            <v>3230</v>
          </cell>
          <cell r="AH777">
            <v>3230</v>
          </cell>
          <cell r="AI777">
            <v>3230</v>
          </cell>
          <cell r="AJ777">
            <v>3230</v>
          </cell>
          <cell r="AK777">
            <v>4309</v>
          </cell>
          <cell r="AL777">
            <v>0</v>
          </cell>
          <cell r="AM777">
            <v>3</v>
          </cell>
          <cell r="AN777" t="str">
            <v/>
          </cell>
          <cell r="AO777">
            <v>0</v>
          </cell>
          <cell r="AP777">
            <v>0</v>
          </cell>
          <cell r="AQ777">
            <v>0</v>
          </cell>
          <cell r="AR777">
            <v>800</v>
          </cell>
          <cell r="AS777">
            <v>0</v>
          </cell>
          <cell r="AT777" t="str">
            <v/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 t="str">
            <v/>
          </cell>
          <cell r="BK777">
            <v>4100</v>
          </cell>
          <cell r="BL777" t="str">
            <v>0</v>
          </cell>
          <cell r="BM777" t="str">
            <v>1</v>
          </cell>
          <cell r="BN777" t="str">
            <v/>
          </cell>
          <cell r="BO777" t="str">
            <v/>
          </cell>
        </row>
        <row r="778">
          <cell r="A778">
            <v>1</v>
          </cell>
          <cell r="B778">
            <v>4839004</v>
          </cell>
          <cell r="C778" t="str">
            <v>PUBLICITE ET DONS</v>
          </cell>
          <cell r="D778" t="str">
            <v>TRANSFERT DIVISION BOITES</v>
          </cell>
          <cell r="E778" t="str">
            <v>O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4</v>
          </cell>
          <cell r="AN778" t="str">
            <v/>
          </cell>
          <cell r="AO778">
            <v>0</v>
          </cell>
          <cell r="AP778">
            <v>0</v>
          </cell>
          <cell r="AQ778">
            <v>0</v>
          </cell>
          <cell r="AR778">
            <v>800</v>
          </cell>
          <cell r="AS778">
            <v>0</v>
          </cell>
          <cell r="AT778" t="str">
            <v/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 t="str">
            <v/>
          </cell>
          <cell r="BK778">
            <v>4100</v>
          </cell>
          <cell r="BL778" t="str">
            <v>0</v>
          </cell>
          <cell r="BM778" t="str">
            <v>1</v>
          </cell>
          <cell r="BN778" t="str">
            <v/>
          </cell>
          <cell r="BO778" t="str">
            <v/>
          </cell>
        </row>
        <row r="779">
          <cell r="A779">
            <v>1</v>
          </cell>
          <cell r="B779">
            <v>4923001</v>
          </cell>
          <cell r="C779" t="str">
            <v>DEPLACEMENT ET REPAS</v>
          </cell>
          <cell r="D779" t="str">
            <v>FRAIS DE DEPLACEMENT DIRE</v>
          </cell>
          <cell r="E779" t="str">
            <v>O</v>
          </cell>
          <cell r="F779">
            <v>0</v>
          </cell>
          <cell r="G779">
            <v>0</v>
          </cell>
          <cell r="H779">
            <v>20191.52</v>
          </cell>
          <cell r="I779">
            <v>26928.79</v>
          </cell>
          <cell r="J779">
            <v>6737.27</v>
          </cell>
          <cell r="K779">
            <v>0</v>
          </cell>
          <cell r="L779">
            <v>3877.86</v>
          </cell>
          <cell r="M779">
            <v>0</v>
          </cell>
          <cell r="N779">
            <v>-1401.61</v>
          </cell>
          <cell r="O779">
            <v>34.06</v>
          </cell>
          <cell r="P779">
            <v>992.54</v>
          </cell>
          <cell r="Q779">
            <v>1349.88</v>
          </cell>
          <cell r="R779">
            <v>2418.5500000000002</v>
          </cell>
          <cell r="S779">
            <v>12681.38</v>
          </cell>
          <cell r="T779">
            <v>14269.55</v>
          </cell>
          <cell r="U779">
            <v>14713.32</v>
          </cell>
          <cell r="V779">
            <v>18116.77</v>
          </cell>
          <cell r="W779">
            <v>19319.509999999998</v>
          </cell>
          <cell r="X779">
            <v>20191.52</v>
          </cell>
          <cell r="Y779">
            <v>24069.38</v>
          </cell>
          <cell r="Z779">
            <v>1398.65</v>
          </cell>
          <cell r="AA779">
            <v>1712.48</v>
          </cell>
          <cell r="AB779">
            <v>3060.92</v>
          </cell>
          <cell r="AC779">
            <v>4199.3500000000004</v>
          </cell>
          <cell r="AD779">
            <v>5667.07</v>
          </cell>
          <cell r="AE779">
            <v>7888.46</v>
          </cell>
          <cell r="AF779">
            <v>8566.0400000000009</v>
          </cell>
          <cell r="AG779">
            <v>12790.36</v>
          </cell>
          <cell r="AH779">
            <v>16805.84</v>
          </cell>
          <cell r="AI779">
            <v>17774.64</v>
          </cell>
          <cell r="AJ779">
            <v>18222.32</v>
          </cell>
          <cell r="AK779">
            <v>20755.46</v>
          </cell>
          <cell r="AL779">
            <v>0</v>
          </cell>
          <cell r="AM779">
            <v>1</v>
          </cell>
          <cell r="AN779" t="str">
            <v/>
          </cell>
          <cell r="AO779">
            <v>0</v>
          </cell>
          <cell r="AP779">
            <v>0</v>
          </cell>
          <cell r="AQ779">
            <v>0</v>
          </cell>
          <cell r="AR779">
            <v>810</v>
          </cell>
          <cell r="AS779">
            <v>0</v>
          </cell>
          <cell r="AT779" t="str">
            <v/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 t="str">
            <v/>
          </cell>
          <cell r="BK779">
            <v>7200</v>
          </cell>
          <cell r="BL779" t="str">
            <v>0</v>
          </cell>
          <cell r="BM779" t="str">
            <v>1</v>
          </cell>
          <cell r="BN779" t="str">
            <v/>
          </cell>
          <cell r="BO779" t="str">
            <v/>
          </cell>
        </row>
        <row r="780">
          <cell r="A780">
            <v>1</v>
          </cell>
          <cell r="B780">
            <v>4924001</v>
          </cell>
          <cell r="C780" t="str">
            <v>DEPLACEMENT ET REPAS</v>
          </cell>
          <cell r="D780" t="str">
            <v>DEPLACEMENT SYNDIQUÉ</v>
          </cell>
          <cell r="E780" t="str">
            <v>O</v>
          </cell>
          <cell r="F780">
            <v>0</v>
          </cell>
          <cell r="G780">
            <v>0</v>
          </cell>
          <cell r="H780">
            <v>754.25</v>
          </cell>
          <cell r="I780">
            <v>837.18</v>
          </cell>
          <cell r="J780">
            <v>82.93</v>
          </cell>
          <cell r="K780">
            <v>0</v>
          </cell>
          <cell r="L780">
            <v>38.119999999999997</v>
          </cell>
          <cell r="M780">
            <v>0</v>
          </cell>
          <cell r="N780">
            <v>180.68</v>
          </cell>
          <cell r="O780">
            <v>180.68</v>
          </cell>
          <cell r="P780">
            <v>180.68</v>
          </cell>
          <cell r="Q780">
            <v>180.68</v>
          </cell>
          <cell r="R780">
            <v>413.82</v>
          </cell>
          <cell r="S780">
            <v>462.43</v>
          </cell>
          <cell r="T780">
            <v>462.43</v>
          </cell>
          <cell r="U780">
            <v>561.37</v>
          </cell>
          <cell r="V780">
            <v>719.93</v>
          </cell>
          <cell r="W780">
            <v>754.25</v>
          </cell>
          <cell r="X780">
            <v>754.25</v>
          </cell>
          <cell r="Y780">
            <v>792.37</v>
          </cell>
          <cell r="Z780">
            <v>643.78</v>
          </cell>
          <cell r="AA780">
            <v>979.45</v>
          </cell>
          <cell r="AB780">
            <v>1041.6500000000001</v>
          </cell>
          <cell r="AC780">
            <v>1041.6500000000001</v>
          </cell>
          <cell r="AD780">
            <v>3281.55</v>
          </cell>
          <cell r="AE780">
            <v>3281.55</v>
          </cell>
          <cell r="AF780">
            <v>3281.55</v>
          </cell>
          <cell r="AG780">
            <v>3334.36</v>
          </cell>
          <cell r="AH780">
            <v>3373.89</v>
          </cell>
          <cell r="AI780">
            <v>3717.03</v>
          </cell>
          <cell r="AJ780">
            <v>3717.03</v>
          </cell>
          <cell r="AK780">
            <v>3717.03</v>
          </cell>
          <cell r="AL780">
            <v>0</v>
          </cell>
          <cell r="AM780">
            <v>1</v>
          </cell>
          <cell r="AN780" t="str">
            <v/>
          </cell>
          <cell r="AO780">
            <v>0</v>
          </cell>
          <cell r="AP780">
            <v>0</v>
          </cell>
          <cell r="AQ780">
            <v>0</v>
          </cell>
          <cell r="AR780">
            <v>810</v>
          </cell>
          <cell r="AS780">
            <v>0</v>
          </cell>
          <cell r="AT780" t="str">
            <v/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 t="str">
            <v/>
          </cell>
          <cell r="BK780">
            <v>7200</v>
          </cell>
          <cell r="BL780" t="str">
            <v>0</v>
          </cell>
          <cell r="BM780" t="str">
            <v>1</v>
          </cell>
          <cell r="BN780" t="str">
            <v/>
          </cell>
          <cell r="BO780" t="str">
            <v/>
          </cell>
        </row>
        <row r="781">
          <cell r="A781">
            <v>1</v>
          </cell>
          <cell r="B781">
            <v>4926001</v>
          </cell>
          <cell r="C781" t="str">
            <v>DEPLACEMENT ET REPAS</v>
          </cell>
          <cell r="D781" t="str">
            <v>REPAS</v>
          </cell>
          <cell r="E781" t="str">
            <v>O</v>
          </cell>
          <cell r="F781">
            <v>0</v>
          </cell>
          <cell r="G781">
            <v>0</v>
          </cell>
          <cell r="H781">
            <v>8795.76</v>
          </cell>
          <cell r="I781">
            <v>9888.4500000000007</v>
          </cell>
          <cell r="J781">
            <v>1092.69</v>
          </cell>
          <cell r="K781">
            <v>0</v>
          </cell>
          <cell r="L781">
            <v>222.57</v>
          </cell>
          <cell r="M781">
            <v>0</v>
          </cell>
          <cell r="N781">
            <v>2404.0500000000002</v>
          </cell>
          <cell r="O781">
            <v>3358.87</v>
          </cell>
          <cell r="P781">
            <v>4257.95</v>
          </cell>
          <cell r="Q781">
            <v>4363.79</v>
          </cell>
          <cell r="R781">
            <v>4796.8</v>
          </cell>
          <cell r="S781">
            <v>5035.82</v>
          </cell>
          <cell r="T781">
            <v>6619.27</v>
          </cell>
          <cell r="U781">
            <v>7256.38</v>
          </cell>
          <cell r="V781">
            <v>8097.5</v>
          </cell>
          <cell r="W781">
            <v>8588.34</v>
          </cell>
          <cell r="X781">
            <v>8795.76</v>
          </cell>
          <cell r="Y781">
            <v>9018.33</v>
          </cell>
          <cell r="Z781">
            <v>703.25</v>
          </cell>
          <cell r="AA781">
            <v>967.91</v>
          </cell>
          <cell r="AB781">
            <v>1714.33</v>
          </cell>
          <cell r="AC781">
            <v>1992.35</v>
          </cell>
          <cell r="AD781">
            <v>2512.87</v>
          </cell>
          <cell r="AE781">
            <v>3046.84</v>
          </cell>
          <cell r="AF781">
            <v>3510.78</v>
          </cell>
          <cell r="AG781">
            <v>4298.99</v>
          </cell>
          <cell r="AH781">
            <v>4981.5</v>
          </cell>
          <cell r="AI781">
            <v>5597.24</v>
          </cell>
          <cell r="AJ781">
            <v>6288.08</v>
          </cell>
          <cell r="AK781">
            <v>7115.75</v>
          </cell>
          <cell r="AL781">
            <v>0</v>
          </cell>
          <cell r="AM781">
            <v>1</v>
          </cell>
          <cell r="AN781" t="str">
            <v/>
          </cell>
          <cell r="AO781">
            <v>0</v>
          </cell>
          <cell r="AP781">
            <v>0</v>
          </cell>
          <cell r="AQ781">
            <v>0</v>
          </cell>
          <cell r="AR781">
            <v>810</v>
          </cell>
          <cell r="AS781">
            <v>0</v>
          </cell>
          <cell r="AT781" t="str">
            <v/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 t="str">
            <v/>
          </cell>
          <cell r="BK781">
            <v>7200</v>
          </cell>
          <cell r="BL781" t="str">
            <v>0</v>
          </cell>
          <cell r="BM781" t="str">
            <v>1</v>
          </cell>
          <cell r="BN781" t="str">
            <v/>
          </cell>
          <cell r="BO781" t="str">
            <v/>
          </cell>
        </row>
        <row r="782">
          <cell r="A782">
            <v>1</v>
          </cell>
          <cell r="B782">
            <v>4929001</v>
          </cell>
          <cell r="C782" t="str">
            <v>DEPLACEMENT ET REPAS</v>
          </cell>
          <cell r="D782" t="str">
            <v>TRANSFERT DIVISION PAPIER</v>
          </cell>
          <cell r="E782" t="str">
            <v>O</v>
          </cell>
          <cell r="F782">
            <v>0</v>
          </cell>
          <cell r="G782">
            <v>0</v>
          </cell>
          <cell r="H782">
            <v>95.79</v>
          </cell>
          <cell r="I782">
            <v>95.79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95.79</v>
          </cell>
          <cell r="T782">
            <v>95.79</v>
          </cell>
          <cell r="U782">
            <v>95.79</v>
          </cell>
          <cell r="V782">
            <v>95.79</v>
          </cell>
          <cell r="W782">
            <v>95.79</v>
          </cell>
          <cell r="X782">
            <v>95.79</v>
          </cell>
          <cell r="Y782">
            <v>95.79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23</v>
          </cell>
          <cell r="AI782">
            <v>23</v>
          </cell>
          <cell r="AJ782">
            <v>23</v>
          </cell>
          <cell r="AK782">
            <v>23</v>
          </cell>
          <cell r="AL782">
            <v>0</v>
          </cell>
          <cell r="AM782">
            <v>1</v>
          </cell>
          <cell r="AN782" t="str">
            <v/>
          </cell>
          <cell r="AO782">
            <v>0</v>
          </cell>
          <cell r="AP782">
            <v>0</v>
          </cell>
          <cell r="AQ782">
            <v>0</v>
          </cell>
          <cell r="AR782">
            <v>810</v>
          </cell>
          <cell r="AS782">
            <v>0</v>
          </cell>
          <cell r="AT782" t="str">
            <v/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 t="str">
            <v/>
          </cell>
          <cell r="BK782">
            <v>7200</v>
          </cell>
          <cell r="BL782" t="str">
            <v>0</v>
          </cell>
          <cell r="BM782" t="str">
            <v>1</v>
          </cell>
          <cell r="BN782" t="str">
            <v/>
          </cell>
          <cell r="BO782" t="str">
            <v/>
          </cell>
        </row>
        <row r="783">
          <cell r="A783">
            <v>1</v>
          </cell>
          <cell r="B783">
            <v>4929002</v>
          </cell>
          <cell r="C783" t="str">
            <v>DEPLACEMENT ET REPAS</v>
          </cell>
          <cell r="D783" t="str">
            <v>TRANSFERT DIV. SERVIETTES</v>
          </cell>
          <cell r="E783" t="str">
            <v>O</v>
          </cell>
          <cell r="F783">
            <v>0</v>
          </cell>
          <cell r="G783">
            <v>0</v>
          </cell>
          <cell r="H783">
            <v>16113</v>
          </cell>
          <cell r="I783">
            <v>16363</v>
          </cell>
          <cell r="J783">
            <v>250</v>
          </cell>
          <cell r="K783">
            <v>0</v>
          </cell>
          <cell r="L783">
            <v>2235</v>
          </cell>
          <cell r="M783">
            <v>0</v>
          </cell>
          <cell r="N783">
            <v>639</v>
          </cell>
          <cell r="O783">
            <v>1930</v>
          </cell>
          <cell r="P783">
            <v>2933</v>
          </cell>
          <cell r="Q783">
            <v>3183</v>
          </cell>
          <cell r="R783">
            <v>4120</v>
          </cell>
          <cell r="S783">
            <v>9869</v>
          </cell>
          <cell r="T783">
            <v>11582</v>
          </cell>
          <cell r="U783">
            <v>12219</v>
          </cell>
          <cell r="V783">
            <v>14597</v>
          </cell>
          <cell r="W783">
            <v>15530</v>
          </cell>
          <cell r="X783">
            <v>16113</v>
          </cell>
          <cell r="Y783">
            <v>18348</v>
          </cell>
          <cell r="Z783">
            <v>1284</v>
          </cell>
          <cell r="AA783">
            <v>1712</v>
          </cell>
          <cell r="AB783">
            <v>3884</v>
          </cell>
          <cell r="AC783">
            <v>4546</v>
          </cell>
          <cell r="AD783">
            <v>7089</v>
          </cell>
          <cell r="AE783">
            <v>7089</v>
          </cell>
          <cell r="AF783">
            <v>7623</v>
          </cell>
          <cell r="AG783">
            <v>9993</v>
          </cell>
          <cell r="AH783">
            <v>12226</v>
          </cell>
          <cell r="AI783">
            <v>12226</v>
          </cell>
          <cell r="AJ783">
            <v>13045</v>
          </cell>
          <cell r="AK783">
            <v>15464</v>
          </cell>
          <cell r="AL783">
            <v>0</v>
          </cell>
          <cell r="AM783">
            <v>2</v>
          </cell>
          <cell r="AN783" t="str">
            <v/>
          </cell>
          <cell r="AO783">
            <v>0</v>
          </cell>
          <cell r="AP783">
            <v>0</v>
          </cell>
          <cell r="AQ783">
            <v>0</v>
          </cell>
          <cell r="AR783">
            <v>810</v>
          </cell>
          <cell r="AS783">
            <v>0</v>
          </cell>
          <cell r="AT783" t="str">
            <v/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 t="str">
            <v/>
          </cell>
          <cell r="BK783">
            <v>7200</v>
          </cell>
          <cell r="BL783" t="str">
            <v>0</v>
          </cell>
          <cell r="BM783" t="str">
            <v>1</v>
          </cell>
          <cell r="BN783" t="str">
            <v/>
          </cell>
          <cell r="BO783" t="str">
            <v/>
          </cell>
        </row>
        <row r="784">
          <cell r="A784">
            <v>1</v>
          </cell>
          <cell r="B784">
            <v>4929003</v>
          </cell>
          <cell r="C784" t="str">
            <v>DEPLACEMENT ET REPAS</v>
          </cell>
          <cell r="D784" t="str">
            <v>TRANSFERT DIVISIO SACS</v>
          </cell>
          <cell r="E784" t="str">
            <v>O</v>
          </cell>
          <cell r="F784">
            <v>0</v>
          </cell>
          <cell r="G784">
            <v>0</v>
          </cell>
          <cell r="H784">
            <v>4773</v>
          </cell>
          <cell r="I784">
            <v>4847</v>
          </cell>
          <cell r="J784">
            <v>74</v>
          </cell>
          <cell r="K784">
            <v>0</v>
          </cell>
          <cell r="L784">
            <v>662</v>
          </cell>
          <cell r="M784">
            <v>0</v>
          </cell>
          <cell r="N784">
            <v>189</v>
          </cell>
          <cell r="O784">
            <v>571</v>
          </cell>
          <cell r="P784">
            <v>868</v>
          </cell>
          <cell r="Q784">
            <v>942</v>
          </cell>
          <cell r="R784">
            <v>1220</v>
          </cell>
          <cell r="S784">
            <v>2923</v>
          </cell>
          <cell r="T784">
            <v>3430</v>
          </cell>
          <cell r="U784">
            <v>3619</v>
          </cell>
          <cell r="V784">
            <v>4324</v>
          </cell>
          <cell r="W784">
            <v>4600</v>
          </cell>
          <cell r="X784">
            <v>4773</v>
          </cell>
          <cell r="Y784">
            <v>5435</v>
          </cell>
          <cell r="Z784">
            <v>375</v>
          </cell>
          <cell r="AA784">
            <v>500</v>
          </cell>
          <cell r="AB784">
            <v>1133</v>
          </cell>
          <cell r="AC784">
            <v>1326</v>
          </cell>
          <cell r="AD784">
            <v>1503</v>
          </cell>
          <cell r="AE784">
            <v>1503</v>
          </cell>
          <cell r="AF784">
            <v>1540</v>
          </cell>
          <cell r="AG784">
            <v>1705</v>
          </cell>
          <cell r="AH784">
            <v>1860</v>
          </cell>
          <cell r="AI784">
            <v>1956</v>
          </cell>
          <cell r="AJ784">
            <v>2013</v>
          </cell>
          <cell r="AK784">
            <v>2181</v>
          </cell>
          <cell r="AL784">
            <v>0</v>
          </cell>
          <cell r="AM784">
            <v>3</v>
          </cell>
          <cell r="AN784" t="str">
            <v/>
          </cell>
          <cell r="AO784">
            <v>0</v>
          </cell>
          <cell r="AP784">
            <v>0</v>
          </cell>
          <cell r="AQ784">
            <v>0</v>
          </cell>
          <cell r="AR784">
            <v>810</v>
          </cell>
          <cell r="AS784">
            <v>0</v>
          </cell>
          <cell r="AT784" t="str">
            <v/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 t="str">
            <v/>
          </cell>
          <cell r="BK784">
            <v>7200</v>
          </cell>
          <cell r="BL784" t="str">
            <v>0</v>
          </cell>
          <cell r="BM784" t="str">
            <v>1</v>
          </cell>
          <cell r="BN784" t="str">
            <v/>
          </cell>
          <cell r="BO784" t="str">
            <v/>
          </cell>
        </row>
        <row r="785">
          <cell r="A785">
            <v>1</v>
          </cell>
          <cell r="B785">
            <v>4929004</v>
          </cell>
          <cell r="C785" t="str">
            <v>DEPLACEMENT ET REPAS</v>
          </cell>
          <cell r="D785" t="str">
            <v>TRANSFERT DIVISION BOITES</v>
          </cell>
          <cell r="E785" t="str">
            <v>O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4</v>
          </cell>
          <cell r="AN785" t="str">
            <v/>
          </cell>
          <cell r="AO785">
            <v>0</v>
          </cell>
          <cell r="AP785">
            <v>0</v>
          </cell>
          <cell r="AQ785">
            <v>0</v>
          </cell>
          <cell r="AR785">
            <v>810</v>
          </cell>
          <cell r="AS785">
            <v>0</v>
          </cell>
          <cell r="AT785" t="str">
            <v/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 t="str">
            <v/>
          </cell>
          <cell r="BK785">
            <v>7200</v>
          </cell>
          <cell r="BL785" t="str">
            <v>0</v>
          </cell>
          <cell r="BM785" t="str">
            <v>1</v>
          </cell>
          <cell r="BN785" t="str">
            <v/>
          </cell>
          <cell r="BO785" t="str">
            <v/>
          </cell>
        </row>
        <row r="786">
          <cell r="A786">
            <v>1</v>
          </cell>
          <cell r="B786">
            <v>4971001</v>
          </cell>
          <cell r="C786" t="str">
            <v>MAUVAISES CREANCES</v>
          </cell>
          <cell r="D786" t="str">
            <v>MAUVAISE CREANCE</v>
          </cell>
          <cell r="E786" t="str">
            <v>O</v>
          </cell>
          <cell r="F786">
            <v>0</v>
          </cell>
          <cell r="G786">
            <v>0</v>
          </cell>
          <cell r="H786">
            <v>0</v>
          </cell>
          <cell r="I786">
            <v>25506.880000000001</v>
          </cell>
          <cell r="J786">
            <v>25506.880000000001</v>
          </cell>
          <cell r="K786">
            <v>0</v>
          </cell>
          <cell r="L786">
            <v>0</v>
          </cell>
          <cell r="M786">
            <v>0</v>
          </cell>
          <cell r="N786">
            <v>8333.33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4166.67</v>
          </cell>
          <cell r="AA786">
            <v>8333.34</v>
          </cell>
          <cell r="AB786">
            <v>12961.53</v>
          </cell>
          <cell r="AC786">
            <v>16524.52</v>
          </cell>
          <cell r="AD786">
            <v>20691.189999999999</v>
          </cell>
          <cell r="AE786">
            <v>24857.86</v>
          </cell>
          <cell r="AF786">
            <v>29024.53</v>
          </cell>
          <cell r="AG786">
            <v>33191.199999999997</v>
          </cell>
          <cell r="AH786">
            <v>37357.870000000003</v>
          </cell>
          <cell r="AI786">
            <v>41524.54</v>
          </cell>
          <cell r="AJ786">
            <v>45691.21</v>
          </cell>
          <cell r="AK786">
            <v>49857.88</v>
          </cell>
          <cell r="AL786">
            <v>0</v>
          </cell>
          <cell r="AM786">
            <v>1</v>
          </cell>
          <cell r="AN786" t="str">
            <v/>
          </cell>
          <cell r="AO786">
            <v>0</v>
          </cell>
          <cell r="AP786">
            <v>0</v>
          </cell>
          <cell r="AQ786">
            <v>0</v>
          </cell>
          <cell r="AR786">
            <v>810</v>
          </cell>
          <cell r="AS786">
            <v>0</v>
          </cell>
          <cell r="AT786" t="str">
            <v/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 t="str">
            <v/>
          </cell>
          <cell r="BK786">
            <v>7200</v>
          </cell>
          <cell r="BL786" t="str">
            <v>0</v>
          </cell>
          <cell r="BM786" t="str">
            <v>1</v>
          </cell>
          <cell r="BN786" t="str">
            <v/>
          </cell>
          <cell r="BO786" t="str">
            <v/>
          </cell>
        </row>
        <row r="787">
          <cell r="A787">
            <v>1</v>
          </cell>
          <cell r="B787">
            <v>4979001</v>
          </cell>
          <cell r="C787" t="str">
            <v>MAUVAISES CREANCES</v>
          </cell>
          <cell r="D787" t="str">
            <v>TRANSFERT DIVISION PAPIER</v>
          </cell>
          <cell r="E787" t="str">
            <v>O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-10</v>
          </cell>
          <cell r="AI787">
            <v>-10</v>
          </cell>
          <cell r="AJ787">
            <v>-10</v>
          </cell>
          <cell r="AK787">
            <v>-10</v>
          </cell>
          <cell r="AL787">
            <v>0</v>
          </cell>
          <cell r="AM787">
            <v>1</v>
          </cell>
          <cell r="AN787" t="str">
            <v/>
          </cell>
          <cell r="AO787">
            <v>0</v>
          </cell>
          <cell r="AP787">
            <v>0</v>
          </cell>
          <cell r="AQ787">
            <v>0</v>
          </cell>
          <cell r="AR787">
            <v>810</v>
          </cell>
          <cell r="AS787">
            <v>0</v>
          </cell>
          <cell r="AT787" t="str">
            <v/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 t="str">
            <v/>
          </cell>
          <cell r="BK787">
            <v>7200</v>
          </cell>
          <cell r="BL787" t="str">
            <v>0</v>
          </cell>
          <cell r="BM787" t="str">
            <v>1</v>
          </cell>
          <cell r="BN787" t="str">
            <v/>
          </cell>
          <cell r="BO787" t="str">
            <v/>
          </cell>
        </row>
        <row r="788">
          <cell r="A788">
            <v>1</v>
          </cell>
          <cell r="B788">
            <v>4979002</v>
          </cell>
          <cell r="C788" t="str">
            <v>MAUVAISES CREANCES</v>
          </cell>
          <cell r="D788" t="str">
            <v>TRANSFERT DIV. SERVIETTES</v>
          </cell>
          <cell r="E788" t="str">
            <v>O</v>
          </cell>
          <cell r="F788">
            <v>0</v>
          </cell>
          <cell r="G788">
            <v>0</v>
          </cell>
          <cell r="H788">
            <v>108</v>
          </cell>
          <cell r="I788">
            <v>6216</v>
          </cell>
          <cell r="J788">
            <v>6108</v>
          </cell>
          <cell r="K788">
            <v>0</v>
          </cell>
          <cell r="L788">
            <v>0</v>
          </cell>
          <cell r="M788">
            <v>0</v>
          </cell>
          <cell r="N788">
            <v>6000</v>
          </cell>
          <cell r="O788">
            <v>0</v>
          </cell>
          <cell r="P788">
            <v>0</v>
          </cell>
          <cell r="Q788">
            <v>108</v>
          </cell>
          <cell r="R788">
            <v>108</v>
          </cell>
          <cell r="S788">
            <v>108</v>
          </cell>
          <cell r="T788">
            <v>108</v>
          </cell>
          <cell r="U788">
            <v>108</v>
          </cell>
          <cell r="V788">
            <v>108</v>
          </cell>
          <cell r="W788">
            <v>108</v>
          </cell>
          <cell r="X788">
            <v>108</v>
          </cell>
          <cell r="Y788">
            <v>108</v>
          </cell>
          <cell r="Z788">
            <v>3000</v>
          </cell>
          <cell r="AA788">
            <v>6000</v>
          </cell>
          <cell r="AB788">
            <v>6995.53</v>
          </cell>
          <cell r="AC788">
            <v>9560.5300000000007</v>
          </cell>
          <cell r="AD788">
            <v>12560.53</v>
          </cell>
          <cell r="AE788">
            <v>15560.53</v>
          </cell>
          <cell r="AF788">
            <v>18560.53</v>
          </cell>
          <cell r="AG788">
            <v>21560.53</v>
          </cell>
          <cell r="AH788">
            <v>24552.53</v>
          </cell>
          <cell r="AI788">
            <v>27552.53</v>
          </cell>
          <cell r="AJ788">
            <v>30552.53</v>
          </cell>
          <cell r="AK788">
            <v>33552.53</v>
          </cell>
          <cell r="AL788">
            <v>0</v>
          </cell>
          <cell r="AM788">
            <v>2</v>
          </cell>
          <cell r="AN788" t="str">
            <v/>
          </cell>
          <cell r="AO788">
            <v>0</v>
          </cell>
          <cell r="AP788">
            <v>0</v>
          </cell>
          <cell r="AQ788">
            <v>0</v>
          </cell>
          <cell r="AR788">
            <v>810</v>
          </cell>
          <cell r="AS788">
            <v>0</v>
          </cell>
          <cell r="AT788" t="str">
            <v/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 t="str">
            <v/>
          </cell>
          <cell r="BK788">
            <v>7200</v>
          </cell>
          <cell r="BL788" t="str">
            <v>0</v>
          </cell>
          <cell r="BM788" t="str">
            <v>1</v>
          </cell>
          <cell r="BN788" t="str">
            <v/>
          </cell>
          <cell r="BO788" t="str">
            <v/>
          </cell>
        </row>
        <row r="789">
          <cell r="A789">
            <v>1</v>
          </cell>
          <cell r="B789">
            <v>4979003</v>
          </cell>
          <cell r="C789" t="str">
            <v>MAUVAISES CREANCES</v>
          </cell>
          <cell r="D789" t="str">
            <v>TRANSFERT DIVISION SACS</v>
          </cell>
          <cell r="E789" t="str">
            <v>O</v>
          </cell>
          <cell r="F789">
            <v>0</v>
          </cell>
          <cell r="G789">
            <v>0</v>
          </cell>
          <cell r="H789">
            <v>32</v>
          </cell>
          <cell r="I789">
            <v>1814</v>
          </cell>
          <cell r="J789">
            <v>1782</v>
          </cell>
          <cell r="K789">
            <v>0</v>
          </cell>
          <cell r="L789">
            <v>0</v>
          </cell>
          <cell r="M789">
            <v>0</v>
          </cell>
          <cell r="N789">
            <v>1750</v>
          </cell>
          <cell r="O789">
            <v>0</v>
          </cell>
          <cell r="P789">
            <v>0</v>
          </cell>
          <cell r="Q789">
            <v>32</v>
          </cell>
          <cell r="R789">
            <v>32</v>
          </cell>
          <cell r="S789">
            <v>32</v>
          </cell>
          <cell r="T789">
            <v>32</v>
          </cell>
          <cell r="U789">
            <v>32</v>
          </cell>
          <cell r="V789">
            <v>32</v>
          </cell>
          <cell r="W789">
            <v>32</v>
          </cell>
          <cell r="X789">
            <v>32</v>
          </cell>
          <cell r="Y789">
            <v>32</v>
          </cell>
          <cell r="Z789">
            <v>875</v>
          </cell>
          <cell r="AA789">
            <v>1750</v>
          </cell>
          <cell r="AB789">
            <v>2722</v>
          </cell>
          <cell r="AC789">
            <v>3470</v>
          </cell>
          <cell r="AD789">
            <v>3678</v>
          </cell>
          <cell r="AE789">
            <v>3886</v>
          </cell>
          <cell r="AF789">
            <v>4094</v>
          </cell>
          <cell r="AG789">
            <v>4302</v>
          </cell>
          <cell r="AH789">
            <v>4510</v>
          </cell>
          <cell r="AI789">
            <v>4718</v>
          </cell>
          <cell r="AJ789">
            <v>4926</v>
          </cell>
          <cell r="AK789">
            <v>5134</v>
          </cell>
          <cell r="AL789">
            <v>0</v>
          </cell>
          <cell r="AM789">
            <v>3</v>
          </cell>
          <cell r="AN789" t="str">
            <v/>
          </cell>
          <cell r="AO789">
            <v>0</v>
          </cell>
          <cell r="AP789">
            <v>0</v>
          </cell>
          <cell r="AQ789">
            <v>0</v>
          </cell>
          <cell r="AR789">
            <v>810</v>
          </cell>
          <cell r="AS789">
            <v>0</v>
          </cell>
          <cell r="AT789" t="str">
            <v/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 t="str">
            <v/>
          </cell>
          <cell r="BK789">
            <v>7200</v>
          </cell>
          <cell r="BL789" t="str">
            <v>0</v>
          </cell>
          <cell r="BM789" t="str">
            <v>1</v>
          </cell>
          <cell r="BN789" t="str">
            <v/>
          </cell>
          <cell r="BO789" t="str">
            <v/>
          </cell>
        </row>
        <row r="790">
          <cell r="A790">
            <v>1</v>
          </cell>
          <cell r="B790">
            <v>4979004</v>
          </cell>
          <cell r="C790" t="str">
            <v>MAUVAISES CREANCES</v>
          </cell>
          <cell r="D790" t="str">
            <v>TRANSFERT DIVISION BOITES</v>
          </cell>
          <cell r="E790" t="str">
            <v>O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4</v>
          </cell>
          <cell r="AN790" t="str">
            <v/>
          </cell>
          <cell r="AO790">
            <v>0</v>
          </cell>
          <cell r="AP790">
            <v>0</v>
          </cell>
          <cell r="AQ790">
            <v>0</v>
          </cell>
          <cell r="AR790">
            <v>810</v>
          </cell>
          <cell r="AS790">
            <v>0</v>
          </cell>
          <cell r="AT790" t="str">
            <v/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 t="str">
            <v/>
          </cell>
          <cell r="BK790">
            <v>7200</v>
          </cell>
          <cell r="BL790" t="str">
            <v>0</v>
          </cell>
          <cell r="BM790" t="str">
            <v>1</v>
          </cell>
          <cell r="BN790" t="str">
            <v/>
          </cell>
          <cell r="BO790" t="str">
            <v/>
          </cell>
        </row>
        <row r="791">
          <cell r="A791">
            <v>1</v>
          </cell>
          <cell r="B791">
            <v>4981001</v>
          </cell>
          <cell r="C791" t="str">
            <v>HONORAIRES PROFESSIONNELS</v>
          </cell>
          <cell r="D791" t="str">
            <v>COOPERS LYBRAND</v>
          </cell>
          <cell r="E791" t="str">
            <v>O</v>
          </cell>
          <cell r="F791">
            <v>0</v>
          </cell>
          <cell r="G791">
            <v>0</v>
          </cell>
          <cell r="H791">
            <v>6950.76</v>
          </cell>
          <cell r="I791">
            <v>8416.76</v>
          </cell>
          <cell r="J791">
            <v>1466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4701.25</v>
          </cell>
          <cell r="P791">
            <v>8416.76</v>
          </cell>
          <cell r="Q791">
            <v>8416.76</v>
          </cell>
          <cell r="R791">
            <v>8416.76</v>
          </cell>
          <cell r="S791">
            <v>6950.76</v>
          </cell>
          <cell r="T791">
            <v>6950.76</v>
          </cell>
          <cell r="U791">
            <v>6950.76</v>
          </cell>
          <cell r="V791">
            <v>6950.76</v>
          </cell>
          <cell r="W791">
            <v>6950.76</v>
          </cell>
          <cell r="X791">
            <v>6950.76</v>
          </cell>
          <cell r="Y791">
            <v>6950.76</v>
          </cell>
          <cell r="Z791">
            <v>2000</v>
          </cell>
          <cell r="AA791">
            <v>4000</v>
          </cell>
          <cell r="AB791">
            <v>6000</v>
          </cell>
          <cell r="AC791">
            <v>8000</v>
          </cell>
          <cell r="AD791">
            <v>10000</v>
          </cell>
          <cell r="AE791">
            <v>13580</v>
          </cell>
          <cell r="AF791">
            <v>13000</v>
          </cell>
          <cell r="AG791">
            <v>13000</v>
          </cell>
          <cell r="AH791">
            <v>13000</v>
          </cell>
          <cell r="AI791">
            <v>13000</v>
          </cell>
          <cell r="AJ791">
            <v>17701.25</v>
          </cell>
          <cell r="AK791">
            <v>17701.25</v>
          </cell>
          <cell r="AL791">
            <v>0</v>
          </cell>
          <cell r="AM791">
            <v>1</v>
          </cell>
          <cell r="AN791" t="str">
            <v/>
          </cell>
          <cell r="AO791">
            <v>0</v>
          </cell>
          <cell r="AP791">
            <v>0</v>
          </cell>
          <cell r="AQ791">
            <v>0</v>
          </cell>
          <cell r="AR791">
            <v>810</v>
          </cell>
          <cell r="AS791">
            <v>0</v>
          </cell>
          <cell r="AT791" t="str">
            <v/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 t="str">
            <v/>
          </cell>
          <cell r="BK791">
            <v>7200</v>
          </cell>
          <cell r="BL791" t="str">
            <v>0</v>
          </cell>
          <cell r="BM791" t="str">
            <v>1</v>
          </cell>
          <cell r="BN791" t="str">
            <v/>
          </cell>
          <cell r="BO791" t="str">
            <v/>
          </cell>
        </row>
        <row r="792">
          <cell r="A792">
            <v>1</v>
          </cell>
          <cell r="B792">
            <v>4981011</v>
          </cell>
          <cell r="C792" t="str">
            <v>HONORAIRES PROFESSIONNELS</v>
          </cell>
          <cell r="D792" t="str">
            <v>LEGAL</v>
          </cell>
          <cell r="E792" t="str">
            <v>O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26.87</v>
          </cell>
          <cell r="AC792">
            <v>26.87</v>
          </cell>
          <cell r="AD792">
            <v>26.87</v>
          </cell>
          <cell r="AE792">
            <v>26.87</v>
          </cell>
          <cell r="AF792">
            <v>3229.78</v>
          </cell>
          <cell r="AG792">
            <v>3229.78</v>
          </cell>
          <cell r="AH792">
            <v>3229.78</v>
          </cell>
          <cell r="AI792">
            <v>3229.78</v>
          </cell>
          <cell r="AJ792">
            <v>3229.78</v>
          </cell>
          <cell r="AK792">
            <v>3229.78</v>
          </cell>
          <cell r="AL792">
            <v>0</v>
          </cell>
          <cell r="AM792">
            <v>1</v>
          </cell>
          <cell r="AN792" t="str">
            <v/>
          </cell>
          <cell r="AO792">
            <v>0</v>
          </cell>
          <cell r="AP792">
            <v>0</v>
          </cell>
          <cell r="AQ792">
            <v>0</v>
          </cell>
          <cell r="AR792">
            <v>810</v>
          </cell>
          <cell r="AS792">
            <v>0</v>
          </cell>
          <cell r="AT792" t="str">
            <v/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 t="str">
            <v/>
          </cell>
          <cell r="BK792">
            <v>7200</v>
          </cell>
          <cell r="BL792" t="str">
            <v>0</v>
          </cell>
          <cell r="BM792" t="str">
            <v>1</v>
          </cell>
          <cell r="BN792" t="str">
            <v/>
          </cell>
          <cell r="BO792" t="str">
            <v/>
          </cell>
        </row>
        <row r="793">
          <cell r="A793">
            <v>1</v>
          </cell>
          <cell r="B793">
            <v>4989001</v>
          </cell>
          <cell r="C793" t="str">
            <v>HONORAIRES PROFESSIONNELS</v>
          </cell>
          <cell r="D793" t="str">
            <v>TRANSFERT DIVISION PAPIER</v>
          </cell>
          <cell r="E793" t="str">
            <v>O</v>
          </cell>
          <cell r="F793">
            <v>0</v>
          </cell>
          <cell r="G793">
            <v>0</v>
          </cell>
          <cell r="H793">
            <v>3201.75</v>
          </cell>
          <cell r="I793">
            <v>4271.75</v>
          </cell>
          <cell r="J793">
            <v>1070</v>
          </cell>
          <cell r="K793">
            <v>0</v>
          </cell>
          <cell r="L793">
            <v>0</v>
          </cell>
          <cell r="M793">
            <v>0</v>
          </cell>
          <cell r="N793">
            <v>950</v>
          </cell>
          <cell r="O793">
            <v>990</v>
          </cell>
          <cell r="P793">
            <v>1050</v>
          </cell>
          <cell r="Q793">
            <v>1090</v>
          </cell>
          <cell r="R793">
            <v>1090</v>
          </cell>
          <cell r="S793">
            <v>1130</v>
          </cell>
          <cell r="T793">
            <v>1580</v>
          </cell>
          <cell r="U793">
            <v>3201.75</v>
          </cell>
          <cell r="V793">
            <v>3201.75</v>
          </cell>
          <cell r="W793">
            <v>3201.75</v>
          </cell>
          <cell r="X793">
            <v>3201.75</v>
          </cell>
          <cell r="Y793">
            <v>3201.75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9010</v>
          </cell>
          <cell r="AF793">
            <v>9585</v>
          </cell>
          <cell r="AG793">
            <v>14786.36</v>
          </cell>
          <cell r="AH793">
            <v>18461.12</v>
          </cell>
          <cell r="AI793">
            <v>19093.12</v>
          </cell>
          <cell r="AJ793">
            <v>19093.12</v>
          </cell>
          <cell r="AK793">
            <v>20043.12</v>
          </cell>
          <cell r="AL793">
            <v>0</v>
          </cell>
          <cell r="AM793">
            <v>1</v>
          </cell>
          <cell r="AN793" t="str">
            <v/>
          </cell>
          <cell r="AO793">
            <v>0</v>
          </cell>
          <cell r="AP793">
            <v>0</v>
          </cell>
          <cell r="AQ793">
            <v>0</v>
          </cell>
          <cell r="AR793">
            <v>810</v>
          </cell>
          <cell r="AS793">
            <v>0</v>
          </cell>
          <cell r="AT793" t="str">
            <v/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 t="str">
            <v/>
          </cell>
          <cell r="BK793">
            <v>7200</v>
          </cell>
          <cell r="BL793" t="str">
            <v>0</v>
          </cell>
          <cell r="BM793" t="str">
            <v>1</v>
          </cell>
          <cell r="BN793" t="str">
            <v/>
          </cell>
          <cell r="BO793" t="str">
            <v/>
          </cell>
        </row>
        <row r="794">
          <cell r="A794">
            <v>1</v>
          </cell>
          <cell r="B794">
            <v>4989002</v>
          </cell>
          <cell r="C794" t="str">
            <v>HONORAIRES PROFESSIONNELS</v>
          </cell>
          <cell r="D794" t="str">
            <v>TRANSFERT DIV. SERVIETTES</v>
          </cell>
          <cell r="E794" t="str">
            <v>O</v>
          </cell>
          <cell r="F794">
            <v>0</v>
          </cell>
          <cell r="G794">
            <v>0</v>
          </cell>
          <cell r="H794">
            <v>13701.75</v>
          </cell>
          <cell r="I794">
            <v>50030.5</v>
          </cell>
          <cell r="J794">
            <v>36328.75</v>
          </cell>
          <cell r="K794">
            <v>0</v>
          </cell>
          <cell r="L794">
            <v>5474</v>
          </cell>
          <cell r="M794">
            <v>0</v>
          </cell>
          <cell r="N794">
            <v>684</v>
          </cell>
          <cell r="O794">
            <v>4270</v>
          </cell>
          <cell r="P794">
            <v>7031</v>
          </cell>
          <cell r="Q794">
            <v>43289</v>
          </cell>
          <cell r="R794">
            <v>7051</v>
          </cell>
          <cell r="S794">
            <v>7081.75</v>
          </cell>
          <cell r="T794">
            <v>7405.75</v>
          </cell>
          <cell r="U794">
            <v>8573.75</v>
          </cell>
          <cell r="V794">
            <v>12261.75</v>
          </cell>
          <cell r="W794">
            <v>13197.75</v>
          </cell>
          <cell r="X794">
            <v>13701.75</v>
          </cell>
          <cell r="Y794">
            <v>19175.75</v>
          </cell>
          <cell r="Z794">
            <v>1770</v>
          </cell>
          <cell r="AA794">
            <v>3814</v>
          </cell>
          <cell r="AB794">
            <v>6850</v>
          </cell>
          <cell r="AC794">
            <v>8605</v>
          </cell>
          <cell r="AD794">
            <v>11211</v>
          </cell>
          <cell r="AE794">
            <v>21662</v>
          </cell>
          <cell r="AF794">
            <v>27012</v>
          </cell>
          <cell r="AG794">
            <v>31218</v>
          </cell>
          <cell r="AH794">
            <v>34768</v>
          </cell>
          <cell r="AI794">
            <v>35334</v>
          </cell>
          <cell r="AJ794">
            <v>40141</v>
          </cell>
          <cell r="AK794">
            <v>41385</v>
          </cell>
          <cell r="AL794">
            <v>0</v>
          </cell>
          <cell r="AM794">
            <v>2</v>
          </cell>
          <cell r="AN794" t="str">
            <v/>
          </cell>
          <cell r="AO794">
            <v>0</v>
          </cell>
          <cell r="AP794">
            <v>0</v>
          </cell>
          <cell r="AQ794">
            <v>0</v>
          </cell>
          <cell r="AR794">
            <v>810</v>
          </cell>
          <cell r="AS794">
            <v>0</v>
          </cell>
          <cell r="AT794" t="str">
            <v/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 t="str">
            <v/>
          </cell>
          <cell r="BK794">
            <v>7200</v>
          </cell>
          <cell r="BL794" t="str">
            <v>0</v>
          </cell>
          <cell r="BM794" t="str">
            <v>1</v>
          </cell>
          <cell r="BN794" t="str">
            <v/>
          </cell>
          <cell r="BO794" t="str">
            <v/>
          </cell>
        </row>
        <row r="795">
          <cell r="A795">
            <v>1</v>
          </cell>
          <cell r="B795">
            <v>4989003</v>
          </cell>
          <cell r="C795" t="str">
            <v>HONORAIRES PROFESSIONNELS</v>
          </cell>
          <cell r="D795" t="str">
            <v>TRANSFERT DIVISION SACS</v>
          </cell>
          <cell r="E795" t="str">
            <v>O</v>
          </cell>
          <cell r="F795">
            <v>0</v>
          </cell>
          <cell r="G795">
            <v>0</v>
          </cell>
          <cell r="H795">
            <v>4249</v>
          </cell>
          <cell r="I795">
            <v>14999</v>
          </cell>
          <cell r="J795">
            <v>10750</v>
          </cell>
          <cell r="K795">
            <v>0</v>
          </cell>
          <cell r="L795">
            <v>1619</v>
          </cell>
          <cell r="M795">
            <v>0</v>
          </cell>
          <cell r="N795">
            <v>280</v>
          </cell>
          <cell r="O795">
            <v>1374</v>
          </cell>
          <cell r="P795">
            <v>2213</v>
          </cell>
          <cell r="Q795">
            <v>12803</v>
          </cell>
          <cell r="R795">
            <v>2233</v>
          </cell>
          <cell r="S795">
            <v>2253</v>
          </cell>
          <cell r="T795">
            <v>2348</v>
          </cell>
          <cell r="U795">
            <v>2689</v>
          </cell>
          <cell r="V795">
            <v>3765</v>
          </cell>
          <cell r="W795">
            <v>4102</v>
          </cell>
          <cell r="X795">
            <v>4249</v>
          </cell>
          <cell r="Y795">
            <v>5868</v>
          </cell>
          <cell r="Z795">
            <v>516</v>
          </cell>
          <cell r="AA795">
            <v>1112</v>
          </cell>
          <cell r="AB795">
            <v>1997</v>
          </cell>
          <cell r="AC795">
            <v>2509</v>
          </cell>
          <cell r="AD795">
            <v>2835</v>
          </cell>
          <cell r="AE795">
            <v>4141</v>
          </cell>
          <cell r="AF795">
            <v>4810</v>
          </cell>
          <cell r="AG795">
            <v>5336</v>
          </cell>
          <cell r="AH795">
            <v>5845</v>
          </cell>
          <cell r="AI795">
            <v>5936</v>
          </cell>
          <cell r="AJ795">
            <v>6657</v>
          </cell>
          <cell r="AK795">
            <v>6873</v>
          </cell>
          <cell r="AL795">
            <v>0</v>
          </cell>
          <cell r="AM795">
            <v>3</v>
          </cell>
          <cell r="AN795" t="str">
            <v/>
          </cell>
          <cell r="AO795">
            <v>0</v>
          </cell>
          <cell r="AP795">
            <v>0</v>
          </cell>
          <cell r="AQ795">
            <v>0</v>
          </cell>
          <cell r="AR795">
            <v>810</v>
          </cell>
          <cell r="AS795">
            <v>0</v>
          </cell>
          <cell r="AT795" t="str">
            <v/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 t="str">
            <v/>
          </cell>
          <cell r="BK795">
            <v>7200</v>
          </cell>
          <cell r="BL795" t="str">
            <v>0</v>
          </cell>
          <cell r="BM795" t="str">
            <v>1</v>
          </cell>
          <cell r="BN795" t="str">
            <v/>
          </cell>
          <cell r="BO795" t="str">
            <v/>
          </cell>
        </row>
        <row r="796">
          <cell r="A796">
            <v>1</v>
          </cell>
          <cell r="B796">
            <v>4989004</v>
          </cell>
          <cell r="C796" t="str">
            <v>HONORAIRES PROFESSIONNELS</v>
          </cell>
          <cell r="D796" t="str">
            <v>TRANSFERT DIVISION BOITES</v>
          </cell>
          <cell r="E796" t="str">
            <v>O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4</v>
          </cell>
          <cell r="AN796" t="str">
            <v/>
          </cell>
          <cell r="AO796">
            <v>0</v>
          </cell>
          <cell r="AP796">
            <v>0</v>
          </cell>
          <cell r="AQ796">
            <v>0</v>
          </cell>
          <cell r="AR796">
            <v>810</v>
          </cell>
          <cell r="AS796">
            <v>0</v>
          </cell>
          <cell r="AT796" t="str">
            <v/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 t="str">
            <v/>
          </cell>
          <cell r="BK796">
            <v>7200</v>
          </cell>
          <cell r="BL796" t="str">
            <v>0</v>
          </cell>
          <cell r="BM796" t="str">
            <v>1</v>
          </cell>
          <cell r="BN796" t="str">
            <v/>
          </cell>
          <cell r="BO796" t="str">
            <v/>
          </cell>
        </row>
        <row r="797">
          <cell r="A797">
            <v>1</v>
          </cell>
          <cell r="B797">
            <v>5001001</v>
          </cell>
          <cell r="C797" t="str">
            <v>SALAIRE ADM</v>
          </cell>
          <cell r="D797" t="str">
            <v>DIRECTION</v>
          </cell>
          <cell r="E797" t="str">
            <v>O</v>
          </cell>
          <cell r="F797">
            <v>0</v>
          </cell>
          <cell r="G797">
            <v>0</v>
          </cell>
          <cell r="H797">
            <v>334236.36</v>
          </cell>
          <cell r="I797">
            <v>463374.35</v>
          </cell>
          <cell r="J797">
            <v>129137.99</v>
          </cell>
          <cell r="K797">
            <v>0</v>
          </cell>
          <cell r="L797">
            <v>52082.32</v>
          </cell>
          <cell r="M797">
            <v>27713.919999999998</v>
          </cell>
          <cell r="N797">
            <v>34471.46</v>
          </cell>
          <cell r="O797">
            <v>73537.19</v>
          </cell>
          <cell r="P797">
            <v>99422.89</v>
          </cell>
          <cell r="Q797">
            <v>122437.78</v>
          </cell>
          <cell r="R797">
            <v>154239.84</v>
          </cell>
          <cell r="S797">
            <v>195203.18</v>
          </cell>
          <cell r="T797">
            <v>214406.49</v>
          </cell>
          <cell r="U797">
            <v>244849.52</v>
          </cell>
          <cell r="V797">
            <v>262433.8</v>
          </cell>
          <cell r="W797">
            <v>301025.8</v>
          </cell>
          <cell r="X797">
            <v>334236.36</v>
          </cell>
          <cell r="Y797">
            <v>358604.76</v>
          </cell>
          <cell r="Z797">
            <v>50687.74</v>
          </cell>
          <cell r="AA797">
            <v>98310.55</v>
          </cell>
          <cell r="AB797">
            <v>148770.07</v>
          </cell>
          <cell r="AC797">
            <v>192651.86</v>
          </cell>
          <cell r="AD797">
            <v>223967.38</v>
          </cell>
          <cell r="AE797">
            <v>261584.15</v>
          </cell>
          <cell r="AF797">
            <v>303348.92</v>
          </cell>
          <cell r="AG797">
            <v>338687.94</v>
          </cell>
          <cell r="AH797">
            <v>361678.25</v>
          </cell>
          <cell r="AI797">
            <v>390483.79</v>
          </cell>
          <cell r="AJ797">
            <v>417795.39</v>
          </cell>
          <cell r="AK797">
            <v>447492.92</v>
          </cell>
          <cell r="AL797">
            <v>0</v>
          </cell>
          <cell r="AM797">
            <v>1</v>
          </cell>
          <cell r="AN797" t="str">
            <v/>
          </cell>
          <cell r="AO797">
            <v>0</v>
          </cell>
          <cell r="AP797">
            <v>0</v>
          </cell>
          <cell r="AQ797">
            <v>0</v>
          </cell>
          <cell r="AR797">
            <v>810</v>
          </cell>
          <cell r="AS797">
            <v>0</v>
          </cell>
          <cell r="AT797" t="str">
            <v/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 t="str">
            <v/>
          </cell>
          <cell r="BK797">
            <v>7200</v>
          </cell>
          <cell r="BL797" t="str">
            <v/>
          </cell>
          <cell r="BM797" t="str">
            <v>1</v>
          </cell>
          <cell r="BN797" t="str">
            <v/>
          </cell>
          <cell r="BO797" t="str">
            <v/>
          </cell>
        </row>
        <row r="798">
          <cell r="A798">
            <v>1</v>
          </cell>
          <cell r="B798">
            <v>5002001</v>
          </cell>
          <cell r="C798" t="str">
            <v>SALAIRE ADM</v>
          </cell>
          <cell r="D798" t="str">
            <v>ACHETEURS</v>
          </cell>
          <cell r="E798" t="str">
            <v>O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4631.8900000000003</v>
          </cell>
          <cell r="AA798">
            <v>8492.99</v>
          </cell>
          <cell r="AB798">
            <v>11581.86</v>
          </cell>
          <cell r="AC798">
            <v>11581.86</v>
          </cell>
          <cell r="AD798">
            <v>11581.86</v>
          </cell>
          <cell r="AE798">
            <v>11581.86</v>
          </cell>
          <cell r="AF798">
            <v>11581.86</v>
          </cell>
          <cell r="AG798">
            <v>11581.86</v>
          </cell>
          <cell r="AH798">
            <v>11581.86</v>
          </cell>
          <cell r="AI798">
            <v>11581.86</v>
          </cell>
          <cell r="AJ798">
            <v>11581.86</v>
          </cell>
          <cell r="AK798">
            <v>11581.86</v>
          </cell>
          <cell r="AL798">
            <v>0</v>
          </cell>
          <cell r="AM798">
            <v>1</v>
          </cell>
          <cell r="AN798" t="str">
            <v/>
          </cell>
          <cell r="AO798">
            <v>0</v>
          </cell>
          <cell r="AP798">
            <v>0</v>
          </cell>
          <cell r="AQ798">
            <v>0</v>
          </cell>
          <cell r="AR798">
            <v>810</v>
          </cell>
          <cell r="AS798">
            <v>0</v>
          </cell>
          <cell r="AT798" t="str">
            <v/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 t="str">
            <v/>
          </cell>
          <cell r="BK798">
            <v>7200</v>
          </cell>
          <cell r="BL798" t="str">
            <v/>
          </cell>
          <cell r="BM798" t="str">
            <v>1</v>
          </cell>
          <cell r="BN798" t="str">
            <v/>
          </cell>
          <cell r="BO798" t="str">
            <v/>
          </cell>
        </row>
        <row r="799">
          <cell r="A799">
            <v>1</v>
          </cell>
          <cell r="B799">
            <v>5003001</v>
          </cell>
          <cell r="C799" t="str">
            <v>SALAIRE ADM</v>
          </cell>
          <cell r="D799" t="str">
            <v>COMPTABILITÉ</v>
          </cell>
          <cell r="E799" t="str">
            <v>O</v>
          </cell>
          <cell r="F799">
            <v>0</v>
          </cell>
          <cell r="G799">
            <v>0</v>
          </cell>
          <cell r="H799">
            <v>170262.27</v>
          </cell>
          <cell r="I799">
            <v>236314.94</v>
          </cell>
          <cell r="J799">
            <v>66052.67</v>
          </cell>
          <cell r="K799">
            <v>0</v>
          </cell>
          <cell r="L799">
            <v>29139.51</v>
          </cell>
          <cell r="M799">
            <v>15750.3</v>
          </cell>
          <cell r="N799">
            <v>21780.9</v>
          </cell>
          <cell r="O799">
            <v>39980.83</v>
          </cell>
          <cell r="P799">
            <v>52937.13</v>
          </cell>
          <cell r="Q799">
            <v>68253.990000000005</v>
          </cell>
          <cell r="R799">
            <v>83880.639999999999</v>
          </cell>
          <cell r="S799">
            <v>103830.16</v>
          </cell>
          <cell r="T799">
            <v>111811.03</v>
          </cell>
          <cell r="U799">
            <v>123592.77</v>
          </cell>
          <cell r="V799">
            <v>130872.94</v>
          </cell>
          <cell r="W799">
            <v>151105.13</v>
          </cell>
          <cell r="X799">
            <v>170262.27</v>
          </cell>
          <cell r="Y799">
            <v>183651.48</v>
          </cell>
          <cell r="Z799">
            <v>11527.17</v>
          </cell>
          <cell r="AA799">
            <v>20560.34</v>
          </cell>
          <cell r="AB799">
            <v>31440.99</v>
          </cell>
          <cell r="AC799">
            <v>45883.13</v>
          </cell>
          <cell r="AD799">
            <v>60161.64</v>
          </cell>
          <cell r="AE799">
            <v>76355.12</v>
          </cell>
          <cell r="AF799">
            <v>99217.72</v>
          </cell>
          <cell r="AG799">
            <v>114723.34</v>
          </cell>
          <cell r="AH799">
            <v>130148.81</v>
          </cell>
          <cell r="AI799">
            <v>151699.88</v>
          </cell>
          <cell r="AJ799">
            <v>172628.5</v>
          </cell>
          <cell r="AK799">
            <v>192529.61</v>
          </cell>
          <cell r="AL799">
            <v>0</v>
          </cell>
          <cell r="AM799">
            <v>1</v>
          </cell>
          <cell r="AN799" t="str">
            <v/>
          </cell>
          <cell r="AO799">
            <v>0</v>
          </cell>
          <cell r="AP799">
            <v>0</v>
          </cell>
          <cell r="AQ799">
            <v>0</v>
          </cell>
          <cell r="AR799">
            <v>810</v>
          </cell>
          <cell r="AS799">
            <v>0</v>
          </cell>
          <cell r="AT799" t="str">
            <v/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 t="str">
            <v/>
          </cell>
          <cell r="BK799">
            <v>7200</v>
          </cell>
          <cell r="BL799" t="str">
            <v>0</v>
          </cell>
          <cell r="BM799" t="str">
            <v>1</v>
          </cell>
          <cell r="BN799" t="str">
            <v/>
          </cell>
          <cell r="BO799" t="str">
            <v/>
          </cell>
        </row>
        <row r="800">
          <cell r="A800">
            <v>1</v>
          </cell>
          <cell r="B800">
            <v>5009001</v>
          </cell>
          <cell r="C800" t="str">
            <v>SALAIRE BUREAU ET CADRES</v>
          </cell>
          <cell r="D800" t="str">
            <v>TRANSFERT DIVISION PAPIER</v>
          </cell>
          <cell r="E800" t="str">
            <v>O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-40.15</v>
          </cell>
          <cell r="AA800">
            <v>-1261.0999999999999</v>
          </cell>
          <cell r="AB800">
            <v>-2882.42</v>
          </cell>
          <cell r="AC800">
            <v>-4153.8599999999997</v>
          </cell>
          <cell r="AD800">
            <v>-6585.4</v>
          </cell>
          <cell r="AE800">
            <v>-6432.86</v>
          </cell>
          <cell r="AF800">
            <v>-6432.86</v>
          </cell>
          <cell r="AG800">
            <v>-6432.86</v>
          </cell>
          <cell r="AH800">
            <v>-6432.86</v>
          </cell>
          <cell r="AI800">
            <v>-6432.86</v>
          </cell>
          <cell r="AJ800">
            <v>-6432.86</v>
          </cell>
          <cell r="AK800">
            <v>-6432.86</v>
          </cell>
          <cell r="AL800">
            <v>0</v>
          </cell>
          <cell r="AM800">
            <v>1</v>
          </cell>
          <cell r="AN800" t="str">
            <v/>
          </cell>
          <cell r="AO800">
            <v>0</v>
          </cell>
          <cell r="AP800">
            <v>0</v>
          </cell>
          <cell r="AQ800">
            <v>0</v>
          </cell>
          <cell r="AR800">
            <v>810</v>
          </cell>
          <cell r="AS800">
            <v>0</v>
          </cell>
          <cell r="AT800" t="str">
            <v/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 t="str">
            <v/>
          </cell>
          <cell r="BK800">
            <v>7200</v>
          </cell>
          <cell r="BL800" t="str">
            <v>0</v>
          </cell>
          <cell r="BM800" t="str">
            <v>1</v>
          </cell>
          <cell r="BN800" t="str">
            <v/>
          </cell>
          <cell r="BO800" t="str">
            <v/>
          </cell>
        </row>
        <row r="801">
          <cell r="A801">
            <v>1</v>
          </cell>
          <cell r="B801">
            <v>5009002</v>
          </cell>
          <cell r="C801" t="str">
            <v>SALAIER BUREAU ET CADRES</v>
          </cell>
          <cell r="D801" t="str">
            <v>TRANSFERT DIV. SERVIETTES</v>
          </cell>
          <cell r="E801" t="str">
            <v>O</v>
          </cell>
          <cell r="F801">
            <v>0</v>
          </cell>
          <cell r="G801">
            <v>0</v>
          </cell>
          <cell r="H801">
            <v>394462</v>
          </cell>
          <cell r="I801">
            <v>399883</v>
          </cell>
          <cell r="J801">
            <v>5421</v>
          </cell>
          <cell r="K801">
            <v>0</v>
          </cell>
          <cell r="L801">
            <v>36057</v>
          </cell>
          <cell r="M801">
            <v>0</v>
          </cell>
          <cell r="N801">
            <v>29269</v>
          </cell>
          <cell r="O801">
            <v>59751</v>
          </cell>
          <cell r="P801">
            <v>92687</v>
          </cell>
          <cell r="Q801">
            <v>111608</v>
          </cell>
          <cell r="R801">
            <v>175141</v>
          </cell>
          <cell r="S801">
            <v>218396</v>
          </cell>
          <cell r="T801">
            <v>236365</v>
          </cell>
          <cell r="U801">
            <v>262797</v>
          </cell>
          <cell r="V801">
            <v>317243</v>
          </cell>
          <cell r="W801">
            <v>354922</v>
          </cell>
          <cell r="X801">
            <v>394462</v>
          </cell>
          <cell r="Y801">
            <v>430519</v>
          </cell>
          <cell r="Z801">
            <v>26369</v>
          </cell>
          <cell r="AA801">
            <v>54156</v>
          </cell>
          <cell r="AB801">
            <v>78583</v>
          </cell>
          <cell r="AC801">
            <v>101223</v>
          </cell>
          <cell r="AD801">
            <v>120436</v>
          </cell>
          <cell r="AE801">
            <v>146286</v>
          </cell>
          <cell r="AF801">
            <v>172127</v>
          </cell>
          <cell r="AG801">
            <v>199786</v>
          </cell>
          <cell r="AH801">
            <v>229066</v>
          </cell>
          <cell r="AI801">
            <v>257766</v>
          </cell>
          <cell r="AJ801">
            <v>328305</v>
          </cell>
          <cell r="AK801">
            <v>324373</v>
          </cell>
          <cell r="AL801">
            <v>0</v>
          </cell>
          <cell r="AM801">
            <v>2</v>
          </cell>
          <cell r="AN801" t="str">
            <v/>
          </cell>
          <cell r="AO801">
            <v>0</v>
          </cell>
          <cell r="AP801">
            <v>0</v>
          </cell>
          <cell r="AQ801">
            <v>0</v>
          </cell>
          <cell r="AR801">
            <v>810</v>
          </cell>
          <cell r="AS801">
            <v>0</v>
          </cell>
          <cell r="AT801" t="str">
            <v/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 t="str">
            <v/>
          </cell>
          <cell r="BK801">
            <v>7200</v>
          </cell>
          <cell r="BL801" t="str">
            <v>0</v>
          </cell>
          <cell r="BM801" t="str">
            <v>1</v>
          </cell>
          <cell r="BN801" t="str">
            <v/>
          </cell>
          <cell r="BO801" t="str">
            <v/>
          </cell>
        </row>
        <row r="802">
          <cell r="A802">
            <v>1</v>
          </cell>
          <cell r="B802">
            <v>5009003</v>
          </cell>
          <cell r="C802" t="str">
            <v>SALAIRE BUREAU ET CADRES</v>
          </cell>
          <cell r="D802" t="str">
            <v>TRANSFERT DIVISION SACS</v>
          </cell>
          <cell r="E802" t="str">
            <v>O</v>
          </cell>
          <cell r="F802">
            <v>0</v>
          </cell>
          <cell r="G802">
            <v>0</v>
          </cell>
          <cell r="H802">
            <v>116878</v>
          </cell>
          <cell r="I802">
            <v>118484</v>
          </cell>
          <cell r="J802">
            <v>1606</v>
          </cell>
          <cell r="K802">
            <v>0</v>
          </cell>
          <cell r="L802">
            <v>10684</v>
          </cell>
          <cell r="M802">
            <v>0</v>
          </cell>
          <cell r="N802">
            <v>8672</v>
          </cell>
          <cell r="O802">
            <v>17704</v>
          </cell>
          <cell r="P802">
            <v>27463</v>
          </cell>
          <cell r="Q802">
            <v>33069</v>
          </cell>
          <cell r="R802">
            <v>51894</v>
          </cell>
          <cell r="S802">
            <v>64710</v>
          </cell>
          <cell r="T802">
            <v>70034</v>
          </cell>
          <cell r="U802">
            <v>77866</v>
          </cell>
          <cell r="V802">
            <v>93998</v>
          </cell>
          <cell r="W802">
            <v>105162</v>
          </cell>
          <cell r="X802">
            <v>116878</v>
          </cell>
          <cell r="Y802">
            <v>127562</v>
          </cell>
          <cell r="Z802">
            <v>11239.77</v>
          </cell>
          <cell r="AA802">
            <v>22717.8</v>
          </cell>
          <cell r="AB802">
            <v>32993.17</v>
          </cell>
          <cell r="AC802">
            <v>42926.73</v>
          </cell>
          <cell r="AD802">
            <v>48950.74</v>
          </cell>
          <cell r="AE802">
            <v>56609.74</v>
          </cell>
          <cell r="AF802">
            <v>64265.74</v>
          </cell>
          <cell r="AG802">
            <v>72460.740000000005</v>
          </cell>
          <cell r="AH802">
            <v>81136.740000000005</v>
          </cell>
          <cell r="AI802">
            <v>89640.74</v>
          </cell>
          <cell r="AJ802">
            <v>110540.74</v>
          </cell>
          <cell r="AK802">
            <v>109375.74</v>
          </cell>
          <cell r="AL802">
            <v>0</v>
          </cell>
          <cell r="AM802">
            <v>3</v>
          </cell>
          <cell r="AN802" t="str">
            <v/>
          </cell>
          <cell r="AO802">
            <v>0</v>
          </cell>
          <cell r="AP802">
            <v>0</v>
          </cell>
          <cell r="AQ802">
            <v>0</v>
          </cell>
          <cell r="AR802">
            <v>810</v>
          </cell>
          <cell r="AS802">
            <v>0</v>
          </cell>
          <cell r="AT802" t="str">
            <v/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 t="str">
            <v/>
          </cell>
          <cell r="BK802">
            <v>7200</v>
          </cell>
          <cell r="BL802" t="str">
            <v>0</v>
          </cell>
          <cell r="BM802" t="str">
            <v>1</v>
          </cell>
          <cell r="BN802" t="str">
            <v/>
          </cell>
          <cell r="BO802" t="str">
            <v/>
          </cell>
        </row>
        <row r="803">
          <cell r="A803">
            <v>1</v>
          </cell>
          <cell r="B803">
            <v>5009004</v>
          </cell>
          <cell r="C803" t="str">
            <v>SALAIRE BUREAU ET CADRES</v>
          </cell>
          <cell r="D803" t="str">
            <v>TRANSFERT DIVISION BOITES</v>
          </cell>
          <cell r="E803" t="str">
            <v>O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3678.84</v>
          </cell>
          <cell r="AA803">
            <v>3678.84</v>
          </cell>
          <cell r="AB803">
            <v>3678.84</v>
          </cell>
          <cell r="AC803">
            <v>3581.29</v>
          </cell>
          <cell r="AD803">
            <v>3581.29</v>
          </cell>
          <cell r="AE803">
            <v>3581.29</v>
          </cell>
          <cell r="AF803">
            <v>3581.29</v>
          </cell>
          <cell r="AG803">
            <v>3581.29</v>
          </cell>
          <cell r="AH803">
            <v>3581.29</v>
          </cell>
          <cell r="AI803">
            <v>3581.29</v>
          </cell>
          <cell r="AJ803">
            <v>3581.29</v>
          </cell>
          <cell r="AK803">
            <v>3581.29</v>
          </cell>
          <cell r="AL803">
            <v>0</v>
          </cell>
          <cell r="AM803">
            <v>4</v>
          </cell>
          <cell r="AN803" t="str">
            <v/>
          </cell>
          <cell r="AO803">
            <v>0</v>
          </cell>
          <cell r="AP803">
            <v>0</v>
          </cell>
          <cell r="AQ803">
            <v>0</v>
          </cell>
          <cell r="AR803">
            <v>810</v>
          </cell>
          <cell r="AS803">
            <v>0</v>
          </cell>
          <cell r="AT803" t="str">
            <v/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 t="str">
            <v/>
          </cell>
          <cell r="BK803">
            <v>7200</v>
          </cell>
          <cell r="BL803" t="str">
            <v>0</v>
          </cell>
          <cell r="BM803" t="str">
            <v>1</v>
          </cell>
          <cell r="BN803" t="str">
            <v/>
          </cell>
          <cell r="BO803" t="str">
            <v/>
          </cell>
        </row>
        <row r="804">
          <cell r="A804">
            <v>1</v>
          </cell>
          <cell r="B804">
            <v>5011001</v>
          </cell>
          <cell r="C804" t="str">
            <v>INFORMATIQUE</v>
          </cell>
          <cell r="D804" t="str">
            <v>SALAIRE PAYROLL</v>
          </cell>
          <cell r="E804" t="str">
            <v>O</v>
          </cell>
          <cell r="F804">
            <v>0</v>
          </cell>
          <cell r="G804">
            <v>0</v>
          </cell>
          <cell r="H804">
            <v>69121.77</v>
          </cell>
          <cell r="I804">
            <v>121050.29</v>
          </cell>
          <cell r="J804">
            <v>51928.52</v>
          </cell>
          <cell r="K804">
            <v>0</v>
          </cell>
          <cell r="L804">
            <v>16903.86</v>
          </cell>
          <cell r="M804">
            <v>9954.33</v>
          </cell>
          <cell r="N804">
            <v>9388.61</v>
          </cell>
          <cell r="O804">
            <v>21135.62</v>
          </cell>
          <cell r="P804">
            <v>9802.33</v>
          </cell>
          <cell r="Q804">
            <v>15491.84</v>
          </cell>
          <cell r="R804">
            <v>20943.84</v>
          </cell>
          <cell r="S804">
            <v>28983.759999999998</v>
          </cell>
          <cell r="T804">
            <v>35812.730000000003</v>
          </cell>
          <cell r="U804">
            <v>45194.43</v>
          </cell>
          <cell r="V804">
            <v>50455.89</v>
          </cell>
          <cell r="W804">
            <v>61052.77</v>
          </cell>
          <cell r="X804">
            <v>69121.77</v>
          </cell>
          <cell r="Y804">
            <v>76071.3</v>
          </cell>
          <cell r="Z804">
            <v>6230.96</v>
          </cell>
          <cell r="AA804">
            <v>12105.37</v>
          </cell>
          <cell r="AB804">
            <v>23238.68</v>
          </cell>
          <cell r="AC804">
            <v>35484.04</v>
          </cell>
          <cell r="AD804">
            <v>46427.23</v>
          </cell>
          <cell r="AE804">
            <v>56187.63</v>
          </cell>
          <cell r="AF804">
            <v>66963.69</v>
          </cell>
          <cell r="AG804">
            <v>74977.710000000006</v>
          </cell>
          <cell r="AH804">
            <v>82542.990000000005</v>
          </cell>
          <cell r="AI804">
            <v>87938.63</v>
          </cell>
          <cell r="AJ804">
            <v>89919.039999999994</v>
          </cell>
          <cell r="AK804">
            <v>94487.77</v>
          </cell>
          <cell r="AL804">
            <v>0</v>
          </cell>
          <cell r="AM804">
            <v>1</v>
          </cell>
          <cell r="AN804" t="str">
            <v/>
          </cell>
          <cell r="AO804">
            <v>0</v>
          </cell>
          <cell r="AP804">
            <v>0</v>
          </cell>
          <cell r="AQ804">
            <v>0</v>
          </cell>
          <cell r="AR804">
            <v>810</v>
          </cell>
          <cell r="AS804">
            <v>0</v>
          </cell>
          <cell r="AT804" t="str">
            <v/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 t="str">
            <v/>
          </cell>
          <cell r="BK804">
            <v>7200</v>
          </cell>
          <cell r="BL804" t="str">
            <v/>
          </cell>
          <cell r="BM804" t="str">
            <v>1</v>
          </cell>
          <cell r="BN804" t="str">
            <v/>
          </cell>
          <cell r="BO804" t="str">
            <v/>
          </cell>
        </row>
        <row r="805">
          <cell r="A805">
            <v>1</v>
          </cell>
          <cell r="B805">
            <v>5011011</v>
          </cell>
          <cell r="C805" t="str">
            <v>INFORMATIQUE</v>
          </cell>
          <cell r="D805" t="str">
            <v>SALAIRES CORPORATIF</v>
          </cell>
          <cell r="E805" t="str">
            <v>O</v>
          </cell>
          <cell r="F805">
            <v>0</v>
          </cell>
          <cell r="G805">
            <v>0</v>
          </cell>
          <cell r="H805">
            <v>42148.1</v>
          </cell>
          <cell r="I805">
            <v>57996.88</v>
          </cell>
          <cell r="J805">
            <v>15848.78</v>
          </cell>
          <cell r="K805">
            <v>0</v>
          </cell>
          <cell r="L805">
            <v>12593.99</v>
          </cell>
          <cell r="M805">
            <v>0</v>
          </cell>
          <cell r="N805">
            <v>2833.51</v>
          </cell>
          <cell r="O805">
            <v>6297.52</v>
          </cell>
          <cell r="P805">
            <v>10705.33</v>
          </cell>
          <cell r="Q805">
            <v>9755.33</v>
          </cell>
          <cell r="R805">
            <v>19426.990000000002</v>
          </cell>
          <cell r="S805">
            <v>26444.23</v>
          </cell>
          <cell r="T805">
            <v>26444.23</v>
          </cell>
          <cell r="U805">
            <v>26444.23</v>
          </cell>
          <cell r="V805">
            <v>37347.919999999998</v>
          </cell>
          <cell r="W805">
            <v>37347.919999999998</v>
          </cell>
          <cell r="X805">
            <v>42148.1</v>
          </cell>
          <cell r="Y805">
            <v>54742.09</v>
          </cell>
          <cell r="Z805">
            <v>0</v>
          </cell>
          <cell r="AA805">
            <v>200</v>
          </cell>
          <cell r="AB805">
            <v>200</v>
          </cell>
          <cell r="AC805">
            <v>200</v>
          </cell>
          <cell r="AD805">
            <v>200</v>
          </cell>
          <cell r="AE805">
            <v>200</v>
          </cell>
          <cell r="AF805">
            <v>1280</v>
          </cell>
          <cell r="AG805">
            <v>280</v>
          </cell>
          <cell r="AH805">
            <v>280</v>
          </cell>
          <cell r="AI805">
            <v>679.3</v>
          </cell>
          <cell r="AJ805">
            <v>3551.85</v>
          </cell>
          <cell r="AK805">
            <v>5975.59</v>
          </cell>
          <cell r="AL805">
            <v>0</v>
          </cell>
          <cell r="AM805">
            <v>1</v>
          </cell>
          <cell r="AN805" t="str">
            <v/>
          </cell>
          <cell r="AO805">
            <v>0</v>
          </cell>
          <cell r="AP805">
            <v>0</v>
          </cell>
          <cell r="AQ805">
            <v>0</v>
          </cell>
          <cell r="AR805">
            <v>810</v>
          </cell>
          <cell r="AS805">
            <v>0</v>
          </cell>
          <cell r="AT805" t="str">
            <v/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 t="str">
            <v/>
          </cell>
          <cell r="BK805">
            <v>7200</v>
          </cell>
          <cell r="BL805" t="str">
            <v>0</v>
          </cell>
          <cell r="BM805" t="str">
            <v>1</v>
          </cell>
          <cell r="BN805" t="str">
            <v/>
          </cell>
          <cell r="BO805" t="str">
            <v/>
          </cell>
        </row>
        <row r="806">
          <cell r="A806">
            <v>1</v>
          </cell>
          <cell r="B806">
            <v>5011021</v>
          </cell>
          <cell r="C806" t="str">
            <v>INFORMATIQUE</v>
          </cell>
          <cell r="D806" t="str">
            <v>CONSULTANTS</v>
          </cell>
          <cell r="E806" t="str">
            <v>O</v>
          </cell>
          <cell r="F806">
            <v>0</v>
          </cell>
          <cell r="G806">
            <v>0</v>
          </cell>
          <cell r="H806">
            <v>9539.26</v>
          </cell>
          <cell r="I806">
            <v>12013.73</v>
          </cell>
          <cell r="J806">
            <v>2474.4699999999998</v>
          </cell>
          <cell r="K806">
            <v>0</v>
          </cell>
          <cell r="L806">
            <v>1637.09</v>
          </cell>
          <cell r="M806">
            <v>0</v>
          </cell>
          <cell r="N806">
            <v>3287.02</v>
          </cell>
          <cell r="O806">
            <v>3861.64</v>
          </cell>
          <cell r="P806">
            <v>4694.08</v>
          </cell>
          <cell r="Q806">
            <v>4694.08</v>
          </cell>
          <cell r="R806">
            <v>4694.08</v>
          </cell>
          <cell r="S806">
            <v>6117.06</v>
          </cell>
          <cell r="T806">
            <v>6117.06</v>
          </cell>
          <cell r="U806">
            <v>9065.44</v>
          </cell>
          <cell r="V806">
            <v>9476.2900000000009</v>
          </cell>
          <cell r="W806">
            <v>9476.2900000000009</v>
          </cell>
          <cell r="X806">
            <v>9539.26</v>
          </cell>
          <cell r="Y806">
            <v>11176.35</v>
          </cell>
          <cell r="Z806">
            <v>10446.44</v>
          </cell>
          <cell r="AA806">
            <v>19176.240000000002</v>
          </cell>
          <cell r="AB806">
            <v>20473.02</v>
          </cell>
          <cell r="AC806">
            <v>20273.02</v>
          </cell>
          <cell r="AD806">
            <v>20273.02</v>
          </cell>
          <cell r="AE806">
            <v>27258.42</v>
          </cell>
          <cell r="AF806">
            <v>20721.41</v>
          </cell>
          <cell r="AG806">
            <v>21088.52</v>
          </cell>
          <cell r="AH806">
            <v>22229.33</v>
          </cell>
          <cell r="AI806">
            <v>25055.99</v>
          </cell>
          <cell r="AJ806">
            <v>28703.82</v>
          </cell>
          <cell r="AK806">
            <v>42599.360000000001</v>
          </cell>
          <cell r="AL806">
            <v>0</v>
          </cell>
          <cell r="AM806">
            <v>1</v>
          </cell>
          <cell r="AN806" t="str">
            <v/>
          </cell>
          <cell r="AO806">
            <v>0</v>
          </cell>
          <cell r="AP806">
            <v>0</v>
          </cell>
          <cell r="AQ806">
            <v>0</v>
          </cell>
          <cell r="AR806">
            <v>810</v>
          </cell>
          <cell r="AS806">
            <v>0</v>
          </cell>
          <cell r="AT806" t="str">
            <v/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 t="str">
            <v/>
          </cell>
          <cell r="BK806">
            <v>7200</v>
          </cell>
          <cell r="BL806" t="str">
            <v/>
          </cell>
          <cell r="BM806" t="str">
            <v>1</v>
          </cell>
          <cell r="BN806" t="str">
            <v/>
          </cell>
          <cell r="BO806" t="str">
            <v/>
          </cell>
        </row>
        <row r="807">
          <cell r="A807">
            <v>1</v>
          </cell>
          <cell r="B807">
            <v>5011031</v>
          </cell>
          <cell r="C807" t="str">
            <v>INFORMATIQUE</v>
          </cell>
          <cell r="D807" t="str">
            <v>FOURNITURE</v>
          </cell>
          <cell r="E807" t="str">
            <v>O</v>
          </cell>
          <cell r="F807">
            <v>0</v>
          </cell>
          <cell r="G807">
            <v>0</v>
          </cell>
          <cell r="H807">
            <v>21049.08</v>
          </cell>
          <cell r="I807">
            <v>33440.99</v>
          </cell>
          <cell r="J807">
            <v>12391.91</v>
          </cell>
          <cell r="K807">
            <v>0</v>
          </cell>
          <cell r="L807">
            <v>1270.04</v>
          </cell>
          <cell r="M807">
            <v>647.99</v>
          </cell>
          <cell r="N807">
            <v>1571.29</v>
          </cell>
          <cell r="O807">
            <v>2892.59</v>
          </cell>
          <cell r="P807">
            <v>3893.55</v>
          </cell>
          <cell r="Q807">
            <v>5064.6899999999996</v>
          </cell>
          <cell r="R807">
            <v>5859.39</v>
          </cell>
          <cell r="S807">
            <v>7467.58</v>
          </cell>
          <cell r="T807">
            <v>10024.93</v>
          </cell>
          <cell r="U807">
            <v>15502.06</v>
          </cell>
          <cell r="V807">
            <v>18378.82</v>
          </cell>
          <cell r="W807">
            <v>21347.71</v>
          </cell>
          <cell r="X807">
            <v>21049.08</v>
          </cell>
          <cell r="Y807">
            <v>21671.13</v>
          </cell>
          <cell r="Z807">
            <v>894.01</v>
          </cell>
          <cell r="AA807">
            <v>1756.41</v>
          </cell>
          <cell r="AB807">
            <v>3266.86</v>
          </cell>
          <cell r="AC807">
            <v>4932.04</v>
          </cell>
          <cell r="AD807">
            <v>6058.57</v>
          </cell>
          <cell r="AE807">
            <v>7417.55</v>
          </cell>
          <cell r="AF807">
            <v>8650.33</v>
          </cell>
          <cell r="AG807">
            <v>12285.17</v>
          </cell>
          <cell r="AH807">
            <v>14650.27</v>
          </cell>
          <cell r="AI807">
            <v>15583.64</v>
          </cell>
          <cell r="AJ807">
            <v>16263.75</v>
          </cell>
          <cell r="AK807">
            <v>18165.650000000001</v>
          </cell>
          <cell r="AL807">
            <v>0</v>
          </cell>
          <cell r="AM807">
            <v>1</v>
          </cell>
          <cell r="AN807" t="str">
            <v/>
          </cell>
          <cell r="AO807">
            <v>0</v>
          </cell>
          <cell r="AP807">
            <v>0</v>
          </cell>
          <cell r="AQ807">
            <v>0</v>
          </cell>
          <cell r="AR807">
            <v>810</v>
          </cell>
          <cell r="AS807">
            <v>0</v>
          </cell>
          <cell r="AT807" t="str">
            <v/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 t="str">
            <v/>
          </cell>
          <cell r="BK807">
            <v>7200</v>
          </cell>
          <cell r="BL807" t="str">
            <v/>
          </cell>
          <cell r="BM807" t="str">
            <v>1</v>
          </cell>
          <cell r="BN807" t="str">
            <v/>
          </cell>
          <cell r="BO807" t="str">
            <v/>
          </cell>
        </row>
        <row r="808">
          <cell r="A808">
            <v>1</v>
          </cell>
          <cell r="B808">
            <v>5011041</v>
          </cell>
          <cell r="C808" t="str">
            <v>INFORMATIQUE</v>
          </cell>
          <cell r="D808" t="str">
            <v>LICENCES</v>
          </cell>
          <cell r="E808" t="str">
            <v>O</v>
          </cell>
          <cell r="F808">
            <v>0</v>
          </cell>
          <cell r="G808">
            <v>0</v>
          </cell>
          <cell r="H808">
            <v>1732.1</v>
          </cell>
          <cell r="I808">
            <v>1732.1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1732.1</v>
          </cell>
          <cell r="W808">
            <v>1732.1</v>
          </cell>
          <cell r="X808">
            <v>1732.1</v>
          </cell>
          <cell r="Y808">
            <v>1732.1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1</v>
          </cell>
          <cell r="AN808" t="str">
            <v/>
          </cell>
          <cell r="AO808">
            <v>0</v>
          </cell>
          <cell r="AP808">
            <v>0</v>
          </cell>
          <cell r="AQ808">
            <v>0</v>
          </cell>
          <cell r="AR808">
            <v>810</v>
          </cell>
          <cell r="AS808">
            <v>0</v>
          </cell>
          <cell r="AT808" t="str">
            <v/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 t="str">
            <v/>
          </cell>
          <cell r="BK808">
            <v>7200</v>
          </cell>
          <cell r="BL808" t="str">
            <v/>
          </cell>
          <cell r="BM808" t="str">
            <v>1</v>
          </cell>
          <cell r="BN808" t="str">
            <v/>
          </cell>
          <cell r="BO808" t="str">
            <v/>
          </cell>
        </row>
        <row r="809">
          <cell r="A809">
            <v>1</v>
          </cell>
          <cell r="B809">
            <v>5011051</v>
          </cell>
          <cell r="C809" t="str">
            <v>INFORMATIQUE</v>
          </cell>
          <cell r="D809" t="str">
            <v>LOCATION ET ENTRETIEN</v>
          </cell>
          <cell r="E809" t="str">
            <v>O</v>
          </cell>
          <cell r="F809">
            <v>0</v>
          </cell>
          <cell r="G809">
            <v>0</v>
          </cell>
          <cell r="H809">
            <v>32730.7</v>
          </cell>
          <cell r="I809">
            <v>53434.09</v>
          </cell>
          <cell r="J809">
            <v>20703.39</v>
          </cell>
          <cell r="K809">
            <v>0</v>
          </cell>
          <cell r="L809">
            <v>3765.78</v>
          </cell>
          <cell r="M809">
            <v>1234.5</v>
          </cell>
          <cell r="N809">
            <v>1910.04</v>
          </cell>
          <cell r="O809">
            <v>1353.04</v>
          </cell>
          <cell r="P809">
            <v>5506.8</v>
          </cell>
          <cell r="Q809">
            <v>8198.4500000000007</v>
          </cell>
          <cell r="R809">
            <v>10774.07</v>
          </cell>
          <cell r="S809">
            <v>19358.3</v>
          </cell>
          <cell r="T809">
            <v>21888.58</v>
          </cell>
          <cell r="U809">
            <v>25136.86</v>
          </cell>
          <cell r="V809">
            <v>27668.14</v>
          </cell>
          <cell r="W809">
            <v>30199.42</v>
          </cell>
          <cell r="X809">
            <v>32730.7</v>
          </cell>
          <cell r="Y809">
            <v>35261.980000000003</v>
          </cell>
          <cell r="Z809">
            <v>8027.86</v>
          </cell>
          <cell r="AA809">
            <v>14006.58</v>
          </cell>
          <cell r="AB809">
            <v>17702.04</v>
          </cell>
          <cell r="AC809">
            <v>21954.65</v>
          </cell>
          <cell r="AD809">
            <v>29049.57</v>
          </cell>
          <cell r="AE809">
            <v>35297.33</v>
          </cell>
          <cell r="AF809">
            <v>37608.31</v>
          </cell>
          <cell r="AG809">
            <v>40220.89</v>
          </cell>
          <cell r="AH809">
            <v>44363.95</v>
          </cell>
          <cell r="AI809">
            <v>49462.95</v>
          </cell>
          <cell r="AJ809">
            <v>50969.45</v>
          </cell>
          <cell r="AK809">
            <v>52136.74</v>
          </cell>
          <cell r="AL809">
            <v>0</v>
          </cell>
          <cell r="AM809">
            <v>1</v>
          </cell>
          <cell r="AN809" t="str">
            <v/>
          </cell>
          <cell r="AO809">
            <v>0</v>
          </cell>
          <cell r="AP809">
            <v>0</v>
          </cell>
          <cell r="AQ809">
            <v>0</v>
          </cell>
          <cell r="AR809">
            <v>810</v>
          </cell>
          <cell r="AS809">
            <v>0</v>
          </cell>
          <cell r="AT809" t="str">
            <v/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 t="str">
            <v/>
          </cell>
          <cell r="BK809">
            <v>7200</v>
          </cell>
          <cell r="BL809" t="str">
            <v>0</v>
          </cell>
          <cell r="BM809" t="str">
            <v>1</v>
          </cell>
          <cell r="BN809" t="str">
            <v/>
          </cell>
          <cell r="BO809" t="str">
            <v/>
          </cell>
        </row>
        <row r="810">
          <cell r="A810">
            <v>1</v>
          </cell>
          <cell r="B810">
            <v>5019001</v>
          </cell>
          <cell r="C810" t="str">
            <v>INFORMATIQUE</v>
          </cell>
          <cell r="D810" t="str">
            <v>TRANSFERT DIVISION PAPIER</v>
          </cell>
          <cell r="E810" t="str">
            <v>O</v>
          </cell>
          <cell r="F810">
            <v>0</v>
          </cell>
          <cell r="G810">
            <v>0</v>
          </cell>
          <cell r="H810">
            <v>0</v>
          </cell>
          <cell r="I810">
            <v>2471</v>
          </cell>
          <cell r="J810">
            <v>2471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127.54</v>
          </cell>
          <cell r="AC810">
            <v>414.52</v>
          </cell>
          <cell r="AD810">
            <v>496</v>
          </cell>
          <cell r="AE810">
            <v>496</v>
          </cell>
          <cell r="AF810">
            <v>496</v>
          </cell>
          <cell r="AG810">
            <v>496</v>
          </cell>
          <cell r="AH810">
            <v>496</v>
          </cell>
          <cell r="AI810">
            <v>496</v>
          </cell>
          <cell r="AJ810">
            <v>496</v>
          </cell>
          <cell r="AK810">
            <v>496</v>
          </cell>
          <cell r="AL810">
            <v>0</v>
          </cell>
          <cell r="AM810">
            <v>1</v>
          </cell>
          <cell r="AN810" t="str">
            <v/>
          </cell>
          <cell r="AO810">
            <v>0</v>
          </cell>
          <cell r="AP810">
            <v>0</v>
          </cell>
          <cell r="AQ810">
            <v>0</v>
          </cell>
          <cell r="AR810">
            <v>810</v>
          </cell>
          <cell r="AS810">
            <v>0</v>
          </cell>
          <cell r="AT810" t="str">
            <v/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 t="str">
            <v/>
          </cell>
          <cell r="BK810">
            <v>7200</v>
          </cell>
          <cell r="BL810" t="str">
            <v>0</v>
          </cell>
          <cell r="BM810" t="str">
            <v>1</v>
          </cell>
          <cell r="BN810" t="str">
            <v/>
          </cell>
          <cell r="BO810" t="str">
            <v/>
          </cell>
        </row>
        <row r="811">
          <cell r="A811">
            <v>1</v>
          </cell>
          <cell r="B811">
            <v>5019002</v>
          </cell>
          <cell r="C811" t="str">
            <v>INFORMATIQUE</v>
          </cell>
          <cell r="D811" t="str">
            <v>TRANSFERT DIV. SERVIETTES</v>
          </cell>
          <cell r="E811" t="str">
            <v>O</v>
          </cell>
          <cell r="F811">
            <v>0</v>
          </cell>
          <cell r="G811">
            <v>0</v>
          </cell>
          <cell r="H811">
            <v>57826</v>
          </cell>
          <cell r="I811">
            <v>60189</v>
          </cell>
          <cell r="J811">
            <v>2363</v>
          </cell>
          <cell r="K811">
            <v>0</v>
          </cell>
          <cell r="L811">
            <v>7905</v>
          </cell>
          <cell r="M811">
            <v>0</v>
          </cell>
          <cell r="N811">
            <v>6067</v>
          </cell>
          <cell r="O811">
            <v>11433</v>
          </cell>
          <cell r="P811">
            <v>12348</v>
          </cell>
          <cell r="Q811">
            <v>14711</v>
          </cell>
          <cell r="R811">
            <v>20814</v>
          </cell>
          <cell r="S811">
            <v>29559</v>
          </cell>
          <cell r="T811">
            <v>33134</v>
          </cell>
          <cell r="U811">
            <v>39692</v>
          </cell>
          <cell r="V811">
            <v>47550</v>
          </cell>
          <cell r="W811">
            <v>53178</v>
          </cell>
          <cell r="X811">
            <v>57826</v>
          </cell>
          <cell r="Y811">
            <v>65731</v>
          </cell>
          <cell r="Z811">
            <v>9595</v>
          </cell>
          <cell r="AA811">
            <v>17473</v>
          </cell>
          <cell r="AB811">
            <v>24526</v>
          </cell>
          <cell r="AC811">
            <v>31179</v>
          </cell>
          <cell r="AD811">
            <v>38777</v>
          </cell>
          <cell r="AE811">
            <v>47922</v>
          </cell>
          <cell r="AF811">
            <v>51313</v>
          </cell>
          <cell r="AG811">
            <v>56413</v>
          </cell>
          <cell r="AH811">
            <v>61950</v>
          </cell>
          <cell r="AI811">
            <v>70646</v>
          </cell>
          <cell r="AJ811">
            <v>76752</v>
          </cell>
          <cell r="AK811">
            <v>90420</v>
          </cell>
          <cell r="AL811">
            <v>0</v>
          </cell>
          <cell r="AM811">
            <v>2</v>
          </cell>
          <cell r="AN811" t="str">
            <v/>
          </cell>
          <cell r="AO811">
            <v>0</v>
          </cell>
          <cell r="AP811">
            <v>0</v>
          </cell>
          <cell r="AQ811">
            <v>0</v>
          </cell>
          <cell r="AR811">
            <v>810</v>
          </cell>
          <cell r="AS811">
            <v>0</v>
          </cell>
          <cell r="AT811" t="str">
            <v/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 t="str">
            <v/>
          </cell>
          <cell r="BK811">
            <v>7200</v>
          </cell>
          <cell r="BL811" t="str">
            <v>0</v>
          </cell>
          <cell r="BM811" t="str">
            <v>1</v>
          </cell>
          <cell r="BN811" t="str">
            <v/>
          </cell>
          <cell r="BO811" t="str">
            <v/>
          </cell>
        </row>
        <row r="812">
          <cell r="A812">
            <v>1</v>
          </cell>
          <cell r="B812">
            <v>5019003</v>
          </cell>
          <cell r="C812" t="str">
            <v>INFORMATIQUE</v>
          </cell>
          <cell r="D812" t="str">
            <v>TRANSFERT DIVISION SACS</v>
          </cell>
          <cell r="E812" t="str">
            <v>O</v>
          </cell>
          <cell r="F812">
            <v>0</v>
          </cell>
          <cell r="G812">
            <v>0</v>
          </cell>
          <cell r="H812">
            <v>9638</v>
          </cell>
          <cell r="I812">
            <v>10032</v>
          </cell>
          <cell r="J812">
            <v>394</v>
          </cell>
          <cell r="K812">
            <v>0</v>
          </cell>
          <cell r="L812">
            <v>1317</v>
          </cell>
          <cell r="M812">
            <v>0</v>
          </cell>
          <cell r="N812">
            <v>1011</v>
          </cell>
          <cell r="O812">
            <v>1905</v>
          </cell>
          <cell r="P812">
            <v>2058</v>
          </cell>
          <cell r="Q812">
            <v>2452</v>
          </cell>
          <cell r="R812">
            <v>3469</v>
          </cell>
          <cell r="S812">
            <v>4926</v>
          </cell>
          <cell r="T812">
            <v>5522</v>
          </cell>
          <cell r="U812">
            <v>6615</v>
          </cell>
          <cell r="V812">
            <v>7925</v>
          </cell>
          <cell r="W812">
            <v>8863</v>
          </cell>
          <cell r="X812">
            <v>9638</v>
          </cell>
          <cell r="Y812">
            <v>10955</v>
          </cell>
          <cell r="Z812">
            <v>2843</v>
          </cell>
          <cell r="AA812">
            <v>5177</v>
          </cell>
          <cell r="AB812">
            <v>7267</v>
          </cell>
          <cell r="AC812">
            <v>9238</v>
          </cell>
          <cell r="AD812">
            <v>11489</v>
          </cell>
          <cell r="AE812">
            <v>14199</v>
          </cell>
          <cell r="AF812">
            <v>15204</v>
          </cell>
          <cell r="AG812">
            <v>16715</v>
          </cell>
          <cell r="AH812">
            <v>18355</v>
          </cell>
          <cell r="AI812">
            <v>20931</v>
          </cell>
          <cell r="AJ812">
            <v>22740</v>
          </cell>
          <cell r="AK812">
            <v>26790</v>
          </cell>
          <cell r="AL812">
            <v>0</v>
          </cell>
          <cell r="AM812">
            <v>3</v>
          </cell>
          <cell r="AN812" t="str">
            <v/>
          </cell>
          <cell r="AO812">
            <v>0</v>
          </cell>
          <cell r="AP812">
            <v>0</v>
          </cell>
          <cell r="AQ812">
            <v>0</v>
          </cell>
          <cell r="AR812">
            <v>810</v>
          </cell>
          <cell r="AS812">
            <v>0</v>
          </cell>
          <cell r="AT812" t="str">
            <v/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 t="str">
            <v/>
          </cell>
          <cell r="BK812">
            <v>7200</v>
          </cell>
          <cell r="BL812" t="str">
            <v>0</v>
          </cell>
          <cell r="BM812" t="str">
            <v>1</v>
          </cell>
          <cell r="BN812" t="str">
            <v/>
          </cell>
          <cell r="BO812" t="str">
            <v/>
          </cell>
        </row>
        <row r="813">
          <cell r="A813">
            <v>1</v>
          </cell>
          <cell r="B813">
            <v>5019004</v>
          </cell>
          <cell r="C813" t="str">
            <v>INFORMATIQUE</v>
          </cell>
          <cell r="D813" t="str">
            <v>TRANSFERT DIVISION BOITES</v>
          </cell>
          <cell r="E813" t="str">
            <v>O</v>
          </cell>
          <cell r="F813">
            <v>0</v>
          </cell>
          <cell r="G813">
            <v>0</v>
          </cell>
          <cell r="H813">
            <v>0</v>
          </cell>
          <cell r="I813">
            <v>35386</v>
          </cell>
          <cell r="J813">
            <v>35386</v>
          </cell>
          <cell r="K813">
            <v>0</v>
          </cell>
          <cell r="L813">
            <v>3481</v>
          </cell>
          <cell r="M813">
            <v>3481</v>
          </cell>
          <cell r="N813">
            <v>0</v>
          </cell>
          <cell r="O813">
            <v>0</v>
          </cell>
          <cell r="P813">
            <v>0</v>
          </cell>
          <cell r="Q813">
            <v>-1</v>
          </cell>
          <cell r="R813">
            <v>-1</v>
          </cell>
          <cell r="S813">
            <v>0</v>
          </cell>
          <cell r="T813">
            <v>1</v>
          </cell>
          <cell r="U813">
            <v>2</v>
          </cell>
          <cell r="V813">
            <v>2</v>
          </cell>
          <cell r="W813">
            <v>2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4</v>
          </cell>
          <cell r="AN813" t="str">
            <v/>
          </cell>
          <cell r="AO813">
            <v>0</v>
          </cell>
          <cell r="AP813">
            <v>0</v>
          </cell>
          <cell r="AQ813">
            <v>0</v>
          </cell>
          <cell r="AR813">
            <v>810</v>
          </cell>
          <cell r="AS813">
            <v>0</v>
          </cell>
          <cell r="AT813" t="str">
            <v/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 t="str">
            <v/>
          </cell>
          <cell r="BK813">
            <v>7200</v>
          </cell>
          <cell r="BL813" t="str">
            <v>0</v>
          </cell>
          <cell r="BM813" t="str">
            <v>1</v>
          </cell>
          <cell r="BN813" t="str">
            <v/>
          </cell>
          <cell r="BO813" t="str">
            <v/>
          </cell>
        </row>
        <row r="814">
          <cell r="A814">
            <v>1</v>
          </cell>
          <cell r="B814">
            <v>5021001</v>
          </cell>
          <cell r="C814" t="str">
            <v>FRAIS DE BUREAU</v>
          </cell>
          <cell r="D814" t="str">
            <v>FOURNITURE DE PAPETERIE</v>
          </cell>
          <cell r="E814" t="str">
            <v>O</v>
          </cell>
          <cell r="F814">
            <v>0</v>
          </cell>
          <cell r="G814">
            <v>0</v>
          </cell>
          <cell r="H814">
            <v>35038.83</v>
          </cell>
          <cell r="I814">
            <v>41062.519999999997</v>
          </cell>
          <cell r="J814">
            <v>6023.69</v>
          </cell>
          <cell r="K814">
            <v>0</v>
          </cell>
          <cell r="L814">
            <v>4808.3</v>
          </cell>
          <cell r="M814">
            <v>214.53</v>
          </cell>
          <cell r="N814">
            <v>4053.06</v>
          </cell>
          <cell r="O814">
            <v>7573.09</v>
          </cell>
          <cell r="P814">
            <v>9079.0499999999993</v>
          </cell>
          <cell r="Q814">
            <v>12872.34</v>
          </cell>
          <cell r="R814">
            <v>14766.3</v>
          </cell>
          <cell r="S814">
            <v>18569.560000000001</v>
          </cell>
          <cell r="T814">
            <v>21043.52</v>
          </cell>
          <cell r="U814">
            <v>22571.63</v>
          </cell>
          <cell r="V814">
            <v>26599.99</v>
          </cell>
          <cell r="W814">
            <v>30819.98</v>
          </cell>
          <cell r="X814">
            <v>35038.83</v>
          </cell>
          <cell r="Y814">
            <v>39632.6</v>
          </cell>
          <cell r="Z814">
            <v>3307.63</v>
          </cell>
          <cell r="AA814">
            <v>7596.81</v>
          </cell>
          <cell r="AB814">
            <v>12062.11</v>
          </cell>
          <cell r="AC814">
            <v>14007.85</v>
          </cell>
          <cell r="AD814">
            <v>16645.740000000002</v>
          </cell>
          <cell r="AE814">
            <v>18453.2</v>
          </cell>
          <cell r="AF814">
            <v>22667.54</v>
          </cell>
          <cell r="AG814">
            <v>25562.400000000001</v>
          </cell>
          <cell r="AH814">
            <v>30445.200000000001</v>
          </cell>
          <cell r="AI814">
            <v>34704.28</v>
          </cell>
          <cell r="AJ814">
            <v>40006.93</v>
          </cell>
          <cell r="AK814">
            <v>42769.68</v>
          </cell>
          <cell r="AL814">
            <v>0</v>
          </cell>
          <cell r="AM814">
            <v>1</v>
          </cell>
          <cell r="AN814" t="str">
            <v/>
          </cell>
          <cell r="AO814">
            <v>0</v>
          </cell>
          <cell r="AP814">
            <v>0</v>
          </cell>
          <cell r="AQ814">
            <v>0</v>
          </cell>
          <cell r="AR814">
            <v>810</v>
          </cell>
          <cell r="AS814">
            <v>0</v>
          </cell>
          <cell r="AT814" t="str">
            <v/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 t="str">
            <v/>
          </cell>
          <cell r="BK814">
            <v>7200</v>
          </cell>
          <cell r="BL814" t="str">
            <v/>
          </cell>
          <cell r="BM814" t="str">
            <v>1</v>
          </cell>
          <cell r="BN814" t="str">
            <v/>
          </cell>
          <cell r="BO814" t="str">
            <v/>
          </cell>
        </row>
        <row r="815">
          <cell r="A815">
            <v>1</v>
          </cell>
          <cell r="B815">
            <v>5021011</v>
          </cell>
          <cell r="C815" t="str">
            <v>FRAIS DE BUREAU</v>
          </cell>
          <cell r="D815" t="str">
            <v>TÉLÉPHONE</v>
          </cell>
          <cell r="E815" t="str">
            <v>O</v>
          </cell>
          <cell r="F815">
            <v>0</v>
          </cell>
          <cell r="G815">
            <v>0</v>
          </cell>
          <cell r="H815">
            <v>38894.06</v>
          </cell>
          <cell r="I815">
            <v>54021.57</v>
          </cell>
          <cell r="J815">
            <v>15127.51</v>
          </cell>
          <cell r="K815">
            <v>0</v>
          </cell>
          <cell r="L815">
            <v>3826.2</v>
          </cell>
          <cell r="M815">
            <v>1228.21</v>
          </cell>
          <cell r="N815">
            <v>3731.82</v>
          </cell>
          <cell r="O815">
            <v>6726.09</v>
          </cell>
          <cell r="P815">
            <v>9431.68</v>
          </cell>
          <cell r="Q815">
            <v>12705.28</v>
          </cell>
          <cell r="R815">
            <v>15943.81</v>
          </cell>
          <cell r="S815">
            <v>19686.82</v>
          </cell>
          <cell r="T815">
            <v>20900.23</v>
          </cell>
          <cell r="U815">
            <v>22772.3</v>
          </cell>
          <cell r="V815">
            <v>29129.91</v>
          </cell>
          <cell r="W815">
            <v>36102.99</v>
          </cell>
          <cell r="X815">
            <v>38894.06</v>
          </cell>
          <cell r="Y815">
            <v>41492.050000000003</v>
          </cell>
          <cell r="Z815">
            <v>2191.77</v>
          </cell>
          <cell r="AA815">
            <v>5333.86</v>
          </cell>
          <cell r="AB815">
            <v>14161.84</v>
          </cell>
          <cell r="AC815">
            <v>16798.84</v>
          </cell>
          <cell r="AD815">
            <v>21032.11</v>
          </cell>
          <cell r="AE815">
            <v>28892.47</v>
          </cell>
          <cell r="AF815">
            <v>30902.44</v>
          </cell>
          <cell r="AG815">
            <v>37820.639999999999</v>
          </cell>
          <cell r="AH815">
            <v>44199.09</v>
          </cell>
          <cell r="AI815">
            <v>46634.17</v>
          </cell>
          <cell r="AJ815">
            <v>48232.78</v>
          </cell>
          <cell r="AK815">
            <v>53116.49</v>
          </cell>
          <cell r="AL815">
            <v>0</v>
          </cell>
          <cell r="AM815">
            <v>1</v>
          </cell>
          <cell r="AN815" t="str">
            <v/>
          </cell>
          <cell r="AO815">
            <v>0</v>
          </cell>
          <cell r="AP815">
            <v>0</v>
          </cell>
          <cell r="AQ815">
            <v>0</v>
          </cell>
          <cell r="AR815">
            <v>810</v>
          </cell>
          <cell r="AS815">
            <v>0</v>
          </cell>
          <cell r="AT815" t="str">
            <v/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 t="str">
            <v/>
          </cell>
          <cell r="BK815">
            <v>7200</v>
          </cell>
          <cell r="BL815" t="str">
            <v/>
          </cell>
          <cell r="BM815" t="str">
            <v>1</v>
          </cell>
          <cell r="BN815" t="str">
            <v/>
          </cell>
          <cell r="BO815" t="str">
            <v/>
          </cell>
        </row>
        <row r="816">
          <cell r="A816">
            <v>1</v>
          </cell>
          <cell r="B816">
            <v>5021021</v>
          </cell>
          <cell r="C816" t="str">
            <v>FRAIS DE BUREAU</v>
          </cell>
          <cell r="D816" t="str">
            <v>CELLULAIRE ET PAGETTE</v>
          </cell>
          <cell r="E816" t="str">
            <v>O</v>
          </cell>
          <cell r="F816">
            <v>0</v>
          </cell>
          <cell r="G816">
            <v>0</v>
          </cell>
          <cell r="H816">
            <v>3164.98</v>
          </cell>
          <cell r="I816">
            <v>3909.08</v>
          </cell>
          <cell r="J816">
            <v>744.1</v>
          </cell>
          <cell r="K816">
            <v>0</v>
          </cell>
          <cell r="L816">
            <v>329.08</v>
          </cell>
          <cell r="M816">
            <v>81.95</v>
          </cell>
          <cell r="N816">
            <v>191.14</v>
          </cell>
          <cell r="O816">
            <v>426.59</v>
          </cell>
          <cell r="P816">
            <v>672.47</v>
          </cell>
          <cell r="Q816">
            <v>879.99</v>
          </cell>
          <cell r="R816">
            <v>1472.47</v>
          </cell>
          <cell r="S816">
            <v>1711</v>
          </cell>
          <cell r="T816">
            <v>2133.5</v>
          </cell>
          <cell r="U816">
            <v>2342.86</v>
          </cell>
          <cell r="V816">
            <v>2597.66</v>
          </cell>
          <cell r="W816">
            <v>2988.27</v>
          </cell>
          <cell r="X816">
            <v>3164.98</v>
          </cell>
          <cell r="Y816">
            <v>3412.11</v>
          </cell>
          <cell r="Z816">
            <v>283.92</v>
          </cell>
          <cell r="AA816">
            <v>449.15</v>
          </cell>
          <cell r="AB816">
            <v>746.51</v>
          </cell>
          <cell r="AC816">
            <v>1033.3699999999999</v>
          </cell>
          <cell r="AD816">
            <v>1147.8900000000001</v>
          </cell>
          <cell r="AE816">
            <v>1906.18</v>
          </cell>
          <cell r="AF816">
            <v>2108.94</v>
          </cell>
          <cell r="AG816">
            <v>2513.12</v>
          </cell>
          <cell r="AH816">
            <v>4808.1099999999997</v>
          </cell>
          <cell r="AI816">
            <v>5352.87</v>
          </cell>
          <cell r="AJ816">
            <v>5521.18</v>
          </cell>
          <cell r="AK816">
            <v>5796</v>
          </cell>
          <cell r="AL816">
            <v>0</v>
          </cell>
          <cell r="AM816">
            <v>1</v>
          </cell>
          <cell r="AN816" t="str">
            <v/>
          </cell>
          <cell r="AO816">
            <v>0</v>
          </cell>
          <cell r="AP816">
            <v>0</v>
          </cell>
          <cell r="AQ816">
            <v>0</v>
          </cell>
          <cell r="AR816">
            <v>810</v>
          </cell>
          <cell r="AS816">
            <v>0</v>
          </cell>
          <cell r="AT816" t="str">
            <v/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 t="str">
            <v/>
          </cell>
          <cell r="BK816">
            <v>7200</v>
          </cell>
          <cell r="BL816" t="str">
            <v>0</v>
          </cell>
          <cell r="BM816" t="str">
            <v>1</v>
          </cell>
          <cell r="BN816" t="str">
            <v/>
          </cell>
          <cell r="BO816" t="str">
            <v/>
          </cell>
        </row>
        <row r="817">
          <cell r="A817">
            <v>1</v>
          </cell>
          <cell r="B817">
            <v>5021031</v>
          </cell>
          <cell r="C817" t="str">
            <v>FRAIS DE BUREAU</v>
          </cell>
          <cell r="D817" t="str">
            <v>ASSOCIATION ABONNEMENT</v>
          </cell>
          <cell r="E817" t="str">
            <v>O</v>
          </cell>
          <cell r="F817">
            <v>0</v>
          </cell>
          <cell r="G817">
            <v>0</v>
          </cell>
          <cell r="H817">
            <v>7522.27</v>
          </cell>
          <cell r="I817">
            <v>13805.58</v>
          </cell>
          <cell r="J817">
            <v>6283.31</v>
          </cell>
          <cell r="K817">
            <v>0</v>
          </cell>
          <cell r="L817">
            <v>0</v>
          </cell>
          <cell r="M817">
            <v>0</v>
          </cell>
          <cell r="N817">
            <v>1214</v>
          </cell>
          <cell r="O817">
            <v>1424.98</v>
          </cell>
          <cell r="P817">
            <v>5743.31</v>
          </cell>
          <cell r="Q817">
            <v>5743.31</v>
          </cell>
          <cell r="R817">
            <v>5748.31</v>
          </cell>
          <cell r="S817">
            <v>5808.27</v>
          </cell>
          <cell r="T817">
            <v>5808.27</v>
          </cell>
          <cell r="U817">
            <v>7522.27</v>
          </cell>
          <cell r="V817">
            <v>7522.27</v>
          </cell>
          <cell r="W817">
            <v>7522.27</v>
          </cell>
          <cell r="X817">
            <v>7522.27</v>
          </cell>
          <cell r="Y817">
            <v>7522.27</v>
          </cell>
          <cell r="Z817">
            <v>1209.2</v>
          </cell>
          <cell r="AA817">
            <v>1927.4</v>
          </cell>
          <cell r="AB817">
            <v>4934.3</v>
          </cell>
          <cell r="AC817">
            <v>4934.3</v>
          </cell>
          <cell r="AD817">
            <v>4994.26</v>
          </cell>
          <cell r="AE817">
            <v>6784.21</v>
          </cell>
          <cell r="AF817">
            <v>7026.46</v>
          </cell>
          <cell r="AG817">
            <v>7026.46</v>
          </cell>
          <cell r="AH817">
            <v>7307.74</v>
          </cell>
          <cell r="AI817">
            <v>7407.74</v>
          </cell>
          <cell r="AJ817">
            <v>7407.74</v>
          </cell>
          <cell r="AK817">
            <v>9067.74</v>
          </cell>
          <cell r="AL817">
            <v>0</v>
          </cell>
          <cell r="AM817">
            <v>1</v>
          </cell>
          <cell r="AN817" t="str">
            <v/>
          </cell>
          <cell r="AO817">
            <v>0</v>
          </cell>
          <cell r="AP817">
            <v>0</v>
          </cell>
          <cell r="AQ817">
            <v>0</v>
          </cell>
          <cell r="AR817">
            <v>810</v>
          </cell>
          <cell r="AS817">
            <v>0</v>
          </cell>
          <cell r="AT817" t="str">
            <v/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 t="str">
            <v/>
          </cell>
          <cell r="BK817">
            <v>7200</v>
          </cell>
          <cell r="BL817" t="str">
            <v/>
          </cell>
          <cell r="BM817" t="str">
            <v>1</v>
          </cell>
          <cell r="BN817" t="str">
            <v/>
          </cell>
          <cell r="BO817" t="str">
            <v/>
          </cell>
        </row>
        <row r="818">
          <cell r="A818">
            <v>1</v>
          </cell>
          <cell r="B818">
            <v>5021041</v>
          </cell>
          <cell r="C818" t="str">
            <v>FRAIS DE BUREAU</v>
          </cell>
          <cell r="D818" t="str">
            <v>COURRIER</v>
          </cell>
          <cell r="E818" t="str">
            <v>O</v>
          </cell>
          <cell r="F818">
            <v>0</v>
          </cell>
          <cell r="G818">
            <v>0</v>
          </cell>
          <cell r="H818">
            <v>4681.8</v>
          </cell>
          <cell r="I818">
            <v>5504.94</v>
          </cell>
          <cell r="J818">
            <v>823.14</v>
          </cell>
          <cell r="K818">
            <v>0</v>
          </cell>
          <cell r="L818">
            <v>428.83</v>
          </cell>
          <cell r="M818">
            <v>0</v>
          </cell>
          <cell r="N818">
            <v>289.41000000000003</v>
          </cell>
          <cell r="O818">
            <v>1108.99</v>
          </cell>
          <cell r="P818">
            <v>1398.8</v>
          </cell>
          <cell r="Q818">
            <v>1945.26</v>
          </cell>
          <cell r="R818">
            <v>2422.25</v>
          </cell>
          <cell r="S818">
            <v>2620.12</v>
          </cell>
          <cell r="T818">
            <v>2968.23</v>
          </cell>
          <cell r="U818">
            <v>3451.92</v>
          </cell>
          <cell r="V818">
            <v>3940.08</v>
          </cell>
          <cell r="W818">
            <v>4345.63</v>
          </cell>
          <cell r="X818">
            <v>4681.8</v>
          </cell>
          <cell r="Y818">
            <v>5110.63</v>
          </cell>
          <cell r="Z818">
            <v>1081.98</v>
          </cell>
          <cell r="AA818">
            <v>3082.66</v>
          </cell>
          <cell r="AB818">
            <v>4692.58</v>
          </cell>
          <cell r="AC818">
            <v>6162.7</v>
          </cell>
          <cell r="AD818">
            <v>7270.53</v>
          </cell>
          <cell r="AE818">
            <v>7676.32</v>
          </cell>
          <cell r="AF818">
            <v>8208.68</v>
          </cell>
          <cell r="AG818">
            <v>8657.01</v>
          </cell>
          <cell r="AH818">
            <v>9281.6299999999992</v>
          </cell>
          <cell r="AI818">
            <v>9800.35</v>
          </cell>
          <cell r="AJ818">
            <v>10313.33</v>
          </cell>
          <cell r="AK818">
            <v>11153.33</v>
          </cell>
          <cell r="AL818">
            <v>0</v>
          </cell>
          <cell r="AM818">
            <v>1</v>
          </cell>
          <cell r="AN818" t="str">
            <v/>
          </cell>
          <cell r="AO818">
            <v>0</v>
          </cell>
          <cell r="AP818">
            <v>0</v>
          </cell>
          <cell r="AQ818">
            <v>0</v>
          </cell>
          <cell r="AR818">
            <v>810</v>
          </cell>
          <cell r="AS818">
            <v>0</v>
          </cell>
          <cell r="AT818" t="str">
            <v/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 t="str">
            <v/>
          </cell>
          <cell r="BK818">
            <v>7200</v>
          </cell>
          <cell r="BL818" t="str">
            <v/>
          </cell>
          <cell r="BM818" t="str">
            <v>1</v>
          </cell>
          <cell r="BN818" t="str">
            <v/>
          </cell>
          <cell r="BO818" t="str">
            <v/>
          </cell>
        </row>
        <row r="819">
          <cell r="A819">
            <v>1</v>
          </cell>
          <cell r="B819">
            <v>5021051</v>
          </cell>
          <cell r="C819" t="str">
            <v>FRAIS DE BUREAU</v>
          </cell>
          <cell r="D819" t="str">
            <v>POSTES</v>
          </cell>
          <cell r="E819" t="str">
            <v>O</v>
          </cell>
          <cell r="F819">
            <v>0</v>
          </cell>
          <cell r="G819">
            <v>0</v>
          </cell>
          <cell r="H819">
            <v>3571.22</v>
          </cell>
          <cell r="I819">
            <v>3877.22</v>
          </cell>
          <cell r="J819">
            <v>306</v>
          </cell>
          <cell r="K819">
            <v>0</v>
          </cell>
          <cell r="L819">
            <v>150</v>
          </cell>
          <cell r="M819">
            <v>0</v>
          </cell>
          <cell r="N819">
            <v>88</v>
          </cell>
          <cell r="O819">
            <v>317.36</v>
          </cell>
          <cell r="P819">
            <v>1150.3399999999999</v>
          </cell>
          <cell r="Q819">
            <v>1208.3399999999999</v>
          </cell>
          <cell r="R819">
            <v>1208.3399999999999</v>
          </cell>
          <cell r="S819">
            <v>1320.34</v>
          </cell>
          <cell r="T819">
            <v>2104.7800000000002</v>
          </cell>
          <cell r="U819">
            <v>2120.7800000000002</v>
          </cell>
          <cell r="V819">
            <v>2355.2199999999998</v>
          </cell>
          <cell r="W819">
            <v>2963.22</v>
          </cell>
          <cell r="X819">
            <v>3571.22</v>
          </cell>
          <cell r="Y819">
            <v>3721.22</v>
          </cell>
          <cell r="Z819">
            <v>608</v>
          </cell>
          <cell r="AA819">
            <v>345.07</v>
          </cell>
          <cell r="AB819">
            <v>1230.93</v>
          </cell>
          <cell r="AC819">
            <v>1230.93</v>
          </cell>
          <cell r="AD819">
            <v>1838.93</v>
          </cell>
          <cell r="AE819">
            <v>2124.9699999999998</v>
          </cell>
          <cell r="AF819">
            <v>2931.4</v>
          </cell>
          <cell r="AG819">
            <v>2931.4</v>
          </cell>
          <cell r="AH819">
            <v>3715.84</v>
          </cell>
          <cell r="AI819">
            <v>3783.84</v>
          </cell>
          <cell r="AJ819">
            <v>3873.84</v>
          </cell>
          <cell r="AK819">
            <v>4481.84</v>
          </cell>
          <cell r="AL819">
            <v>0</v>
          </cell>
          <cell r="AM819">
            <v>1</v>
          </cell>
          <cell r="AN819" t="str">
            <v/>
          </cell>
          <cell r="AO819">
            <v>0</v>
          </cell>
          <cell r="AP819">
            <v>0</v>
          </cell>
          <cell r="AQ819">
            <v>0</v>
          </cell>
          <cell r="AR819">
            <v>810</v>
          </cell>
          <cell r="AS819">
            <v>0</v>
          </cell>
          <cell r="AT819" t="str">
            <v/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 t="str">
            <v/>
          </cell>
          <cell r="BK819">
            <v>7200</v>
          </cell>
          <cell r="BL819" t="str">
            <v/>
          </cell>
          <cell r="BM819" t="str">
            <v>1</v>
          </cell>
          <cell r="BN819" t="str">
            <v/>
          </cell>
          <cell r="BO819" t="str">
            <v/>
          </cell>
        </row>
        <row r="820">
          <cell r="A820">
            <v>1</v>
          </cell>
          <cell r="B820">
            <v>5029001</v>
          </cell>
          <cell r="C820" t="str">
            <v>FRAIS DE BUREAU</v>
          </cell>
          <cell r="D820" t="str">
            <v>TRANSFERT DIVISION PAPIER</v>
          </cell>
          <cell r="E820" t="str">
            <v>O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500</v>
          </cell>
          <cell r="AE820">
            <v>700</v>
          </cell>
          <cell r="AF820">
            <v>700</v>
          </cell>
          <cell r="AG820">
            <v>700</v>
          </cell>
          <cell r="AH820">
            <v>700</v>
          </cell>
          <cell r="AI820">
            <v>700</v>
          </cell>
          <cell r="AJ820">
            <v>700</v>
          </cell>
          <cell r="AK820">
            <v>717.82</v>
          </cell>
          <cell r="AL820">
            <v>0</v>
          </cell>
          <cell r="AM820">
            <v>1</v>
          </cell>
          <cell r="AN820" t="str">
            <v/>
          </cell>
          <cell r="AO820">
            <v>0</v>
          </cell>
          <cell r="AP820">
            <v>0</v>
          </cell>
          <cell r="AQ820">
            <v>0</v>
          </cell>
          <cell r="AR820">
            <v>810</v>
          </cell>
          <cell r="AS820">
            <v>0</v>
          </cell>
          <cell r="AT820" t="str">
            <v/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 t="str">
            <v/>
          </cell>
          <cell r="BK820">
            <v>7200</v>
          </cell>
          <cell r="BL820" t="str">
            <v>0</v>
          </cell>
          <cell r="BM820" t="str">
            <v>1</v>
          </cell>
          <cell r="BN820" t="str">
            <v/>
          </cell>
          <cell r="BO820" t="str">
            <v/>
          </cell>
        </row>
        <row r="821">
          <cell r="A821">
            <v>1</v>
          </cell>
          <cell r="B821">
            <v>5029002</v>
          </cell>
          <cell r="C821" t="str">
            <v>FRAIS DE BUREAU</v>
          </cell>
          <cell r="D821" t="str">
            <v>TRANSFERT DIV. SERVIETTES</v>
          </cell>
          <cell r="E821" t="str">
            <v>O</v>
          </cell>
          <cell r="F821">
            <v>0</v>
          </cell>
          <cell r="G821">
            <v>0</v>
          </cell>
          <cell r="H821">
            <v>52704</v>
          </cell>
          <cell r="I821">
            <v>64629</v>
          </cell>
          <cell r="J821">
            <v>11925</v>
          </cell>
          <cell r="K821">
            <v>0</v>
          </cell>
          <cell r="L821">
            <v>4735</v>
          </cell>
          <cell r="M821">
            <v>0</v>
          </cell>
          <cell r="N821">
            <v>5166</v>
          </cell>
          <cell r="O821">
            <v>9491</v>
          </cell>
          <cell r="P821">
            <v>15402</v>
          </cell>
          <cell r="Q821">
            <v>27327</v>
          </cell>
          <cell r="R821">
            <v>23451</v>
          </cell>
          <cell r="S821">
            <v>28421</v>
          </cell>
          <cell r="T821">
            <v>31252</v>
          </cell>
          <cell r="U821">
            <v>34548</v>
          </cell>
          <cell r="V821">
            <v>41282</v>
          </cell>
          <cell r="W821">
            <v>48225</v>
          </cell>
          <cell r="X821">
            <v>52704</v>
          </cell>
          <cell r="Y821">
            <v>57439</v>
          </cell>
          <cell r="Z821">
            <v>3047</v>
          </cell>
          <cell r="AA821">
            <v>7275</v>
          </cell>
          <cell r="AB821">
            <v>14423</v>
          </cell>
          <cell r="AC821">
            <v>16743</v>
          </cell>
          <cell r="AD821">
            <v>20088</v>
          </cell>
          <cell r="AE821">
            <v>24980</v>
          </cell>
          <cell r="AF821">
            <v>27791</v>
          </cell>
          <cell r="AG821">
            <v>31134</v>
          </cell>
          <cell r="AH821">
            <v>37677</v>
          </cell>
          <cell r="AI821">
            <v>42064</v>
          </cell>
          <cell r="AJ821">
            <v>46644</v>
          </cell>
          <cell r="AK821">
            <v>53175</v>
          </cell>
          <cell r="AL821">
            <v>0</v>
          </cell>
          <cell r="AM821">
            <v>2</v>
          </cell>
          <cell r="AN821" t="str">
            <v/>
          </cell>
          <cell r="AO821">
            <v>0</v>
          </cell>
          <cell r="AP821">
            <v>0</v>
          </cell>
          <cell r="AQ821">
            <v>0</v>
          </cell>
          <cell r="AR821">
            <v>810</v>
          </cell>
          <cell r="AS821">
            <v>0</v>
          </cell>
          <cell r="AT821" t="str">
            <v/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 t="str">
            <v/>
          </cell>
          <cell r="BK821">
            <v>7200</v>
          </cell>
          <cell r="BL821" t="str">
            <v>0</v>
          </cell>
          <cell r="BM821" t="str">
            <v>1</v>
          </cell>
          <cell r="BN821" t="str">
            <v/>
          </cell>
          <cell r="BO821" t="str">
            <v/>
          </cell>
        </row>
        <row r="822">
          <cell r="A822">
            <v>1</v>
          </cell>
          <cell r="B822">
            <v>5029003</v>
          </cell>
          <cell r="C822" t="str">
            <v>FRAIS DE BUREAU</v>
          </cell>
          <cell r="D822" t="str">
            <v>TRANSFERT DIVISION SACS</v>
          </cell>
          <cell r="E822" t="str">
            <v>O</v>
          </cell>
          <cell r="F822">
            <v>0</v>
          </cell>
          <cell r="G822">
            <v>0</v>
          </cell>
          <cell r="H822">
            <v>15616</v>
          </cell>
          <cell r="I822">
            <v>19149</v>
          </cell>
          <cell r="J822">
            <v>3533</v>
          </cell>
          <cell r="K822">
            <v>0</v>
          </cell>
          <cell r="L822">
            <v>1402</v>
          </cell>
          <cell r="M822">
            <v>0</v>
          </cell>
          <cell r="N822">
            <v>1531</v>
          </cell>
          <cell r="O822">
            <v>2812</v>
          </cell>
          <cell r="P822">
            <v>4564</v>
          </cell>
          <cell r="Q822">
            <v>8097</v>
          </cell>
          <cell r="R822">
            <v>6948</v>
          </cell>
          <cell r="S822">
            <v>8421</v>
          </cell>
          <cell r="T822">
            <v>9260</v>
          </cell>
          <cell r="U822">
            <v>10237</v>
          </cell>
          <cell r="V822">
            <v>12232</v>
          </cell>
          <cell r="W822">
            <v>14289</v>
          </cell>
          <cell r="X822">
            <v>15616</v>
          </cell>
          <cell r="Y822">
            <v>17018</v>
          </cell>
          <cell r="Z822">
            <v>903</v>
          </cell>
          <cell r="AA822">
            <v>2156</v>
          </cell>
          <cell r="AB822">
            <v>4274</v>
          </cell>
          <cell r="AC822">
            <v>4961</v>
          </cell>
          <cell r="AD822">
            <v>5952</v>
          </cell>
          <cell r="AE822">
            <v>7405</v>
          </cell>
          <cell r="AF822">
            <v>8238</v>
          </cell>
          <cell r="AG822">
            <v>9229</v>
          </cell>
          <cell r="AH822">
            <v>11168</v>
          </cell>
          <cell r="AI822">
            <v>12468</v>
          </cell>
          <cell r="AJ822">
            <v>13825</v>
          </cell>
          <cell r="AK822">
            <v>15759</v>
          </cell>
          <cell r="AL822">
            <v>0</v>
          </cell>
          <cell r="AM822">
            <v>3</v>
          </cell>
          <cell r="AN822" t="str">
            <v/>
          </cell>
          <cell r="AO822">
            <v>0</v>
          </cell>
          <cell r="AP822">
            <v>0</v>
          </cell>
          <cell r="AQ822">
            <v>0</v>
          </cell>
          <cell r="AR822">
            <v>810</v>
          </cell>
          <cell r="AS822">
            <v>0</v>
          </cell>
          <cell r="AT822" t="str">
            <v/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 t="str">
            <v/>
          </cell>
          <cell r="BK822">
            <v>7200</v>
          </cell>
          <cell r="BL822" t="str">
            <v>0</v>
          </cell>
          <cell r="BM822" t="str">
            <v>1</v>
          </cell>
          <cell r="BN822" t="str">
            <v/>
          </cell>
          <cell r="BO822" t="str">
            <v/>
          </cell>
        </row>
        <row r="823">
          <cell r="A823">
            <v>1</v>
          </cell>
          <cell r="B823">
            <v>5029004</v>
          </cell>
          <cell r="C823" t="str">
            <v>FRAIS DE BUREAU</v>
          </cell>
          <cell r="D823" t="str">
            <v>TRANSFERT DIVISION BOITES</v>
          </cell>
          <cell r="E823" t="str">
            <v>O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4</v>
          </cell>
          <cell r="AN823" t="str">
            <v/>
          </cell>
          <cell r="AO823">
            <v>0</v>
          </cell>
          <cell r="AP823">
            <v>0</v>
          </cell>
          <cell r="AQ823">
            <v>0</v>
          </cell>
          <cell r="AR823">
            <v>810</v>
          </cell>
          <cell r="AS823">
            <v>0</v>
          </cell>
          <cell r="AT823" t="str">
            <v/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 t="str">
            <v/>
          </cell>
          <cell r="BK823">
            <v>7200</v>
          </cell>
          <cell r="BL823" t="str">
            <v>0</v>
          </cell>
          <cell r="BM823" t="str">
            <v>1</v>
          </cell>
          <cell r="BN823" t="str">
            <v/>
          </cell>
          <cell r="BO823" t="str">
            <v/>
          </cell>
        </row>
        <row r="824">
          <cell r="A824">
            <v>1</v>
          </cell>
          <cell r="B824">
            <v>5031001</v>
          </cell>
          <cell r="C824" t="str">
            <v>TAXES EN CAPITAL</v>
          </cell>
          <cell r="D824" t="str">
            <v>TAXE CAPITALE</v>
          </cell>
          <cell r="E824" t="str">
            <v>O</v>
          </cell>
          <cell r="F824">
            <v>0</v>
          </cell>
          <cell r="G824">
            <v>0</v>
          </cell>
          <cell r="H824">
            <v>187913</v>
          </cell>
          <cell r="I824">
            <v>251962</v>
          </cell>
          <cell r="J824">
            <v>64049</v>
          </cell>
          <cell r="K824">
            <v>0</v>
          </cell>
          <cell r="L824">
            <v>17083</v>
          </cell>
          <cell r="M824">
            <v>0</v>
          </cell>
          <cell r="N824">
            <v>12800</v>
          </cell>
          <cell r="O824">
            <v>34166</v>
          </cell>
          <cell r="P824">
            <v>51249</v>
          </cell>
          <cell r="Q824">
            <v>68332</v>
          </cell>
          <cell r="R824">
            <v>85415</v>
          </cell>
          <cell r="S824">
            <v>102498</v>
          </cell>
          <cell r="T824">
            <v>119581</v>
          </cell>
          <cell r="U824">
            <v>136664</v>
          </cell>
          <cell r="V824">
            <v>153747</v>
          </cell>
          <cell r="W824">
            <v>170830</v>
          </cell>
          <cell r="X824">
            <v>187913</v>
          </cell>
          <cell r="Y824">
            <v>204996</v>
          </cell>
          <cell r="Z824">
            <v>0</v>
          </cell>
          <cell r="AA824">
            <v>12800</v>
          </cell>
          <cell r="AB824">
            <v>25600</v>
          </cell>
          <cell r="AC824">
            <v>38400</v>
          </cell>
          <cell r="AD824">
            <v>51200</v>
          </cell>
          <cell r="AE824">
            <v>64000</v>
          </cell>
          <cell r="AF824">
            <v>76800</v>
          </cell>
          <cell r="AG824">
            <v>89600</v>
          </cell>
          <cell r="AH824">
            <v>102400</v>
          </cell>
          <cell r="AI824">
            <v>115200</v>
          </cell>
          <cell r="AJ824">
            <v>115200</v>
          </cell>
          <cell r="AK824">
            <v>128000</v>
          </cell>
          <cell r="AL824">
            <v>0</v>
          </cell>
          <cell r="AM824">
            <v>1</v>
          </cell>
          <cell r="AN824" t="str">
            <v/>
          </cell>
          <cell r="AO824">
            <v>0</v>
          </cell>
          <cell r="AP824">
            <v>0</v>
          </cell>
          <cell r="AQ824">
            <v>0</v>
          </cell>
          <cell r="AR824">
            <v>810</v>
          </cell>
          <cell r="AS824">
            <v>0</v>
          </cell>
          <cell r="AT824" t="str">
            <v/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 t="str">
            <v/>
          </cell>
          <cell r="BK824">
            <v>7200</v>
          </cell>
          <cell r="BL824" t="str">
            <v>0</v>
          </cell>
          <cell r="BM824" t="str">
            <v>1</v>
          </cell>
          <cell r="BN824" t="str">
            <v/>
          </cell>
          <cell r="BO824" t="str">
            <v/>
          </cell>
        </row>
        <row r="825">
          <cell r="A825">
            <v>1</v>
          </cell>
          <cell r="B825">
            <v>5031011</v>
          </cell>
          <cell r="C825" t="str">
            <v>TAXES EN CAPITAL</v>
          </cell>
          <cell r="D825" t="str">
            <v>TAXE CAPITALE 1.3</v>
          </cell>
          <cell r="E825" t="str">
            <v>O</v>
          </cell>
          <cell r="F825">
            <v>0</v>
          </cell>
          <cell r="G825">
            <v>0</v>
          </cell>
          <cell r="H825">
            <v>55000</v>
          </cell>
          <cell r="I825">
            <v>74800</v>
          </cell>
          <cell r="J825">
            <v>19800</v>
          </cell>
          <cell r="K825">
            <v>0</v>
          </cell>
          <cell r="L825">
            <v>5000</v>
          </cell>
          <cell r="M825">
            <v>0</v>
          </cell>
          <cell r="N825">
            <v>4800</v>
          </cell>
          <cell r="O825">
            <v>10000</v>
          </cell>
          <cell r="P825">
            <v>15000</v>
          </cell>
          <cell r="Q825">
            <v>20000</v>
          </cell>
          <cell r="R825">
            <v>25000</v>
          </cell>
          <cell r="S825">
            <v>30000</v>
          </cell>
          <cell r="T825">
            <v>35000</v>
          </cell>
          <cell r="U825">
            <v>40000</v>
          </cell>
          <cell r="V825">
            <v>45000</v>
          </cell>
          <cell r="W825">
            <v>50000</v>
          </cell>
          <cell r="X825">
            <v>55000</v>
          </cell>
          <cell r="Y825">
            <v>60000</v>
          </cell>
          <cell r="Z825">
            <v>3680</v>
          </cell>
          <cell r="AA825">
            <v>8480</v>
          </cell>
          <cell r="AB825">
            <v>13280</v>
          </cell>
          <cell r="AC825">
            <v>18080</v>
          </cell>
          <cell r="AD825">
            <v>22880</v>
          </cell>
          <cell r="AE825">
            <v>27680</v>
          </cell>
          <cell r="AF825">
            <v>32480</v>
          </cell>
          <cell r="AG825">
            <v>37280</v>
          </cell>
          <cell r="AH825">
            <v>42080</v>
          </cell>
          <cell r="AI825">
            <v>46880</v>
          </cell>
          <cell r="AJ825">
            <v>64480</v>
          </cell>
          <cell r="AK825">
            <v>69280</v>
          </cell>
          <cell r="AL825">
            <v>0</v>
          </cell>
          <cell r="AM825">
            <v>1</v>
          </cell>
          <cell r="AN825" t="str">
            <v/>
          </cell>
          <cell r="AO825">
            <v>0</v>
          </cell>
          <cell r="AP825">
            <v>0</v>
          </cell>
          <cell r="AQ825">
            <v>0</v>
          </cell>
          <cell r="AR825">
            <v>950</v>
          </cell>
          <cell r="AS825">
            <v>0</v>
          </cell>
          <cell r="AT825" t="str">
            <v/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 t="str">
            <v/>
          </cell>
          <cell r="BK825">
            <v>7200</v>
          </cell>
          <cell r="BL825" t="str">
            <v>0</v>
          </cell>
          <cell r="BM825" t="str">
            <v>1</v>
          </cell>
          <cell r="BN825" t="str">
            <v/>
          </cell>
          <cell r="BO825" t="str">
            <v/>
          </cell>
        </row>
        <row r="826">
          <cell r="A826">
            <v>1</v>
          </cell>
          <cell r="B826">
            <v>5039001</v>
          </cell>
          <cell r="C826" t="str">
            <v>TAXES EN CAPITAL</v>
          </cell>
          <cell r="D826" t="str">
            <v>TRANSFERT DIVISION PAPIER</v>
          </cell>
          <cell r="E826" t="str">
            <v>O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1</v>
          </cell>
          <cell r="AN826" t="str">
            <v/>
          </cell>
          <cell r="AO826">
            <v>0</v>
          </cell>
          <cell r="AP826">
            <v>0</v>
          </cell>
          <cell r="AQ826">
            <v>0</v>
          </cell>
          <cell r="AR826">
            <v>810</v>
          </cell>
          <cell r="AS826">
            <v>0</v>
          </cell>
          <cell r="AT826" t="str">
            <v/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 t="str">
            <v/>
          </cell>
          <cell r="BK826">
            <v>7200</v>
          </cell>
          <cell r="BL826" t="str">
            <v>0</v>
          </cell>
          <cell r="BM826" t="str">
            <v>1</v>
          </cell>
          <cell r="BN826" t="str">
            <v/>
          </cell>
          <cell r="BO826" t="str">
            <v/>
          </cell>
        </row>
        <row r="827">
          <cell r="A827">
            <v>1</v>
          </cell>
          <cell r="B827">
            <v>5039002</v>
          </cell>
          <cell r="C827" t="str">
            <v>TAXES EN CAPITAL</v>
          </cell>
          <cell r="D827" t="str">
            <v>TRASNFERT DIV. SERVIETTES</v>
          </cell>
          <cell r="E827" t="str">
            <v>O</v>
          </cell>
          <cell r="F827">
            <v>0</v>
          </cell>
          <cell r="G827">
            <v>0</v>
          </cell>
          <cell r="H827">
            <v>131175</v>
          </cell>
          <cell r="I827">
            <v>131391</v>
          </cell>
          <cell r="J827">
            <v>216</v>
          </cell>
          <cell r="K827">
            <v>0</v>
          </cell>
          <cell r="L827">
            <v>11925</v>
          </cell>
          <cell r="M827">
            <v>0</v>
          </cell>
          <cell r="N827">
            <v>9504</v>
          </cell>
          <cell r="O827">
            <v>23850</v>
          </cell>
          <cell r="P827">
            <v>35775</v>
          </cell>
          <cell r="Q827">
            <v>35991</v>
          </cell>
          <cell r="R827">
            <v>59625</v>
          </cell>
          <cell r="S827">
            <v>71550</v>
          </cell>
          <cell r="T827">
            <v>83475</v>
          </cell>
          <cell r="U827">
            <v>95400</v>
          </cell>
          <cell r="V827">
            <v>107325</v>
          </cell>
          <cell r="W827">
            <v>119250</v>
          </cell>
          <cell r="X827">
            <v>131175</v>
          </cell>
          <cell r="Y827">
            <v>143100</v>
          </cell>
          <cell r="Z827">
            <v>1987</v>
          </cell>
          <cell r="AA827">
            <v>11491</v>
          </cell>
          <cell r="AB827">
            <v>20995</v>
          </cell>
          <cell r="AC827">
            <v>30499</v>
          </cell>
          <cell r="AD827">
            <v>40003</v>
          </cell>
          <cell r="AE827">
            <v>49507</v>
          </cell>
          <cell r="AF827">
            <v>58307</v>
          </cell>
          <cell r="AG827">
            <v>67107</v>
          </cell>
          <cell r="AH827">
            <v>75907</v>
          </cell>
          <cell r="AI827">
            <v>84707</v>
          </cell>
          <cell r="AJ827">
            <v>84707</v>
          </cell>
          <cell r="AK827">
            <v>93507</v>
          </cell>
          <cell r="AL827">
            <v>0</v>
          </cell>
          <cell r="AM827">
            <v>2</v>
          </cell>
          <cell r="AN827" t="str">
            <v/>
          </cell>
          <cell r="AO827">
            <v>0</v>
          </cell>
          <cell r="AP827">
            <v>0</v>
          </cell>
          <cell r="AQ827">
            <v>0</v>
          </cell>
          <cell r="AR827">
            <v>810</v>
          </cell>
          <cell r="AS827">
            <v>0</v>
          </cell>
          <cell r="AT827" t="str">
            <v/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 t="str">
            <v/>
          </cell>
          <cell r="BK827">
            <v>7200</v>
          </cell>
          <cell r="BL827" t="str">
            <v>0</v>
          </cell>
          <cell r="BM827" t="str">
            <v>1</v>
          </cell>
          <cell r="BN827" t="str">
            <v/>
          </cell>
          <cell r="BO827" t="str">
            <v/>
          </cell>
        </row>
        <row r="828">
          <cell r="A828">
            <v>1</v>
          </cell>
          <cell r="B828">
            <v>5039003</v>
          </cell>
          <cell r="C828" t="str">
            <v>TAXES EN CAPITAL</v>
          </cell>
          <cell r="D828" t="str">
            <v>TRANSFERT DIVISION SACS</v>
          </cell>
          <cell r="E828" t="str">
            <v>O</v>
          </cell>
          <cell r="F828">
            <v>0</v>
          </cell>
          <cell r="G828">
            <v>0</v>
          </cell>
          <cell r="H828">
            <v>38864</v>
          </cell>
          <cell r="I828">
            <v>38928</v>
          </cell>
          <cell r="J828">
            <v>64</v>
          </cell>
          <cell r="K828">
            <v>0</v>
          </cell>
          <cell r="L828">
            <v>3533</v>
          </cell>
          <cell r="M828">
            <v>0</v>
          </cell>
          <cell r="N828">
            <v>2816</v>
          </cell>
          <cell r="O828">
            <v>7067</v>
          </cell>
          <cell r="P828">
            <v>10600</v>
          </cell>
          <cell r="Q828">
            <v>10664</v>
          </cell>
          <cell r="R828">
            <v>17666</v>
          </cell>
          <cell r="S828">
            <v>21199</v>
          </cell>
          <cell r="T828">
            <v>24732</v>
          </cell>
          <cell r="U828">
            <v>28265</v>
          </cell>
          <cell r="V828">
            <v>31798</v>
          </cell>
          <cell r="W828">
            <v>35331</v>
          </cell>
          <cell r="X828">
            <v>38864</v>
          </cell>
          <cell r="Y828">
            <v>42397</v>
          </cell>
          <cell r="Z828">
            <v>589</v>
          </cell>
          <cell r="AA828">
            <v>3405</v>
          </cell>
          <cell r="AB828">
            <v>6221</v>
          </cell>
          <cell r="AC828">
            <v>9037</v>
          </cell>
          <cell r="AD828">
            <v>11853</v>
          </cell>
          <cell r="AE828">
            <v>11853</v>
          </cell>
          <cell r="AF828">
            <v>11853</v>
          </cell>
          <cell r="AG828">
            <v>11853</v>
          </cell>
          <cell r="AH828">
            <v>11853</v>
          </cell>
          <cell r="AI828">
            <v>11853</v>
          </cell>
          <cell r="AJ828">
            <v>11853</v>
          </cell>
          <cell r="AK828">
            <v>11853</v>
          </cell>
          <cell r="AL828">
            <v>0</v>
          </cell>
          <cell r="AM828">
            <v>3</v>
          </cell>
          <cell r="AN828" t="str">
            <v/>
          </cell>
          <cell r="AO828">
            <v>0</v>
          </cell>
          <cell r="AP828">
            <v>0</v>
          </cell>
          <cell r="AQ828">
            <v>0</v>
          </cell>
          <cell r="AR828">
            <v>810</v>
          </cell>
          <cell r="AS828">
            <v>0</v>
          </cell>
          <cell r="AT828" t="str">
            <v/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 t="str">
            <v/>
          </cell>
          <cell r="BK828">
            <v>7200</v>
          </cell>
          <cell r="BL828" t="str">
            <v>0</v>
          </cell>
          <cell r="BM828" t="str">
            <v>1</v>
          </cell>
          <cell r="BN828" t="str">
            <v/>
          </cell>
          <cell r="BO828" t="str">
            <v/>
          </cell>
        </row>
        <row r="829">
          <cell r="A829">
            <v>1</v>
          </cell>
          <cell r="B829">
            <v>5039004</v>
          </cell>
          <cell r="C829" t="str">
            <v>TAXES EN CAPITAL</v>
          </cell>
          <cell r="D829" t="str">
            <v>TRANSFERT DIVISION BOITES</v>
          </cell>
          <cell r="E829" t="str">
            <v>O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4</v>
          </cell>
          <cell r="AN829" t="str">
            <v/>
          </cell>
          <cell r="AO829">
            <v>0</v>
          </cell>
          <cell r="AP829">
            <v>0</v>
          </cell>
          <cell r="AQ829">
            <v>0</v>
          </cell>
          <cell r="AR829">
            <v>810</v>
          </cell>
          <cell r="AS829">
            <v>0</v>
          </cell>
          <cell r="AT829" t="str">
            <v/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 t="str">
            <v/>
          </cell>
          <cell r="BK829">
            <v>7200</v>
          </cell>
          <cell r="BL829" t="str">
            <v>0</v>
          </cell>
          <cell r="BM829" t="str">
            <v>1</v>
          </cell>
          <cell r="BN829" t="str">
            <v/>
          </cell>
          <cell r="BO829" t="str">
            <v/>
          </cell>
        </row>
        <row r="830">
          <cell r="A830">
            <v>1</v>
          </cell>
          <cell r="B830">
            <v>5121001</v>
          </cell>
          <cell r="C830" t="str">
            <v>INTERETS FRAIS BANCAIRE</v>
          </cell>
          <cell r="D830" t="str">
            <v>FRAIS BANQUE</v>
          </cell>
          <cell r="E830" t="str">
            <v>O</v>
          </cell>
          <cell r="F830">
            <v>0</v>
          </cell>
          <cell r="G830">
            <v>0</v>
          </cell>
          <cell r="H830">
            <v>-4177.01</v>
          </cell>
          <cell r="I830">
            <v>9785.77</v>
          </cell>
          <cell r="J830">
            <v>13962.78</v>
          </cell>
          <cell r="K830">
            <v>0</v>
          </cell>
          <cell r="L830">
            <v>466.57</v>
          </cell>
          <cell r="M830">
            <v>43.15</v>
          </cell>
          <cell r="N830">
            <v>1040.19</v>
          </cell>
          <cell r="O830">
            <v>1470.64</v>
          </cell>
          <cell r="P830">
            <v>2225.1</v>
          </cell>
          <cell r="Q830">
            <v>3147.22</v>
          </cell>
          <cell r="R830">
            <v>3977.79</v>
          </cell>
          <cell r="S830">
            <v>5033.88</v>
          </cell>
          <cell r="T830">
            <v>6046.62</v>
          </cell>
          <cell r="U830">
            <v>-5827.39</v>
          </cell>
          <cell r="V830">
            <v>-4949.08</v>
          </cell>
          <cell r="W830">
            <v>-4585.1400000000003</v>
          </cell>
          <cell r="X830">
            <v>-4177.01</v>
          </cell>
          <cell r="Y830">
            <v>-3753.59</v>
          </cell>
          <cell r="Z830">
            <v>20283.63</v>
          </cell>
          <cell r="AA830">
            <v>45214.34</v>
          </cell>
          <cell r="AB830">
            <v>6703.53</v>
          </cell>
          <cell r="AC830">
            <v>7947.24</v>
          </cell>
          <cell r="AD830">
            <v>9087.64</v>
          </cell>
          <cell r="AE830">
            <v>9608.93</v>
          </cell>
          <cell r="AF830">
            <v>11567.24</v>
          </cell>
          <cell r="AG830">
            <v>12451.61</v>
          </cell>
          <cell r="AH830">
            <v>13513.3</v>
          </cell>
          <cell r="AI830">
            <v>14645.39</v>
          </cell>
          <cell r="AJ830">
            <v>16052.07</v>
          </cell>
          <cell r="AK830">
            <v>17043.650000000001</v>
          </cell>
          <cell r="AL830">
            <v>0</v>
          </cell>
          <cell r="AM830">
            <v>1</v>
          </cell>
          <cell r="AN830" t="str">
            <v/>
          </cell>
          <cell r="AO830">
            <v>0</v>
          </cell>
          <cell r="AP830">
            <v>0</v>
          </cell>
          <cell r="AQ830">
            <v>0</v>
          </cell>
          <cell r="AR830">
            <v>820</v>
          </cell>
          <cell r="AS830">
            <v>0</v>
          </cell>
          <cell r="AT830" t="str">
            <v/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 t="str">
            <v/>
          </cell>
          <cell r="BK830">
            <v>7300</v>
          </cell>
          <cell r="BL830" t="str">
            <v/>
          </cell>
          <cell r="BM830" t="str">
            <v>1</v>
          </cell>
          <cell r="BN830" t="str">
            <v/>
          </cell>
          <cell r="BO830" t="str">
            <v/>
          </cell>
        </row>
        <row r="831">
          <cell r="A831">
            <v>1</v>
          </cell>
          <cell r="B831">
            <v>5122001</v>
          </cell>
          <cell r="C831" t="str">
            <v>INTERETS FRAIS BANCAIRE</v>
          </cell>
          <cell r="D831" t="str">
            <v>INTERET COURT TERME</v>
          </cell>
          <cell r="E831" t="str">
            <v>O</v>
          </cell>
          <cell r="F831">
            <v>0</v>
          </cell>
          <cell r="G831">
            <v>0</v>
          </cell>
          <cell r="H831">
            <v>-90242.09</v>
          </cell>
          <cell r="I831">
            <v>120564.36</v>
          </cell>
          <cell r="J831">
            <v>210806.45</v>
          </cell>
          <cell r="K831">
            <v>0</v>
          </cell>
          <cell r="L831">
            <v>0</v>
          </cell>
          <cell r="M831">
            <v>77379.92</v>
          </cell>
          <cell r="N831">
            <v>9455.23</v>
          </cell>
          <cell r="O831">
            <v>11279.86</v>
          </cell>
          <cell r="P831">
            <v>-6810.21</v>
          </cell>
          <cell r="Q831">
            <v>-7331.71</v>
          </cell>
          <cell r="R831">
            <v>-14593.53</v>
          </cell>
          <cell r="S831">
            <v>-28310.400000000001</v>
          </cell>
          <cell r="T831">
            <v>-62189.82</v>
          </cell>
          <cell r="U831">
            <v>-76932.639999999999</v>
          </cell>
          <cell r="V831">
            <v>-95558.95</v>
          </cell>
          <cell r="W831">
            <v>-114121.52</v>
          </cell>
          <cell r="X831">
            <v>-90242.09</v>
          </cell>
          <cell r="Y831">
            <v>-167622.01</v>
          </cell>
          <cell r="Z831">
            <v>0</v>
          </cell>
          <cell r="AA831">
            <v>0</v>
          </cell>
          <cell r="AB831">
            <v>63136.78</v>
          </cell>
          <cell r="AC831">
            <v>60318.05</v>
          </cell>
          <cell r="AD831">
            <v>110671.26</v>
          </cell>
          <cell r="AE831">
            <v>152158.42000000001</v>
          </cell>
          <cell r="AF831">
            <v>171723.3</v>
          </cell>
          <cell r="AG831">
            <v>173136.48</v>
          </cell>
          <cell r="AH831">
            <v>172934.19</v>
          </cell>
          <cell r="AI831">
            <v>172000.75</v>
          </cell>
          <cell r="AJ831">
            <v>171346.3</v>
          </cell>
          <cell r="AK831">
            <v>167850.74</v>
          </cell>
          <cell r="AL831">
            <v>0</v>
          </cell>
          <cell r="AM831">
            <v>1</v>
          </cell>
          <cell r="AN831" t="str">
            <v/>
          </cell>
          <cell r="AO831">
            <v>0</v>
          </cell>
          <cell r="AP831">
            <v>0</v>
          </cell>
          <cell r="AQ831">
            <v>0</v>
          </cell>
          <cell r="AR831">
            <v>820</v>
          </cell>
          <cell r="AS831">
            <v>0</v>
          </cell>
          <cell r="AT831" t="str">
            <v/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 t="str">
            <v/>
          </cell>
          <cell r="BK831">
            <v>7300</v>
          </cell>
          <cell r="BL831" t="str">
            <v/>
          </cell>
          <cell r="BM831" t="str">
            <v>1</v>
          </cell>
          <cell r="BN831" t="str">
            <v/>
          </cell>
          <cell r="BO831" t="str">
            <v/>
          </cell>
        </row>
        <row r="832">
          <cell r="A832">
            <v>1</v>
          </cell>
          <cell r="B832">
            <v>5125001</v>
          </cell>
          <cell r="C832" t="str">
            <v>INTERETS FRAIS BANCAIRE</v>
          </cell>
          <cell r="D832" t="str">
            <v>REVENU  D'INTERET</v>
          </cell>
          <cell r="E832" t="str">
            <v>O</v>
          </cell>
          <cell r="F832">
            <v>0</v>
          </cell>
          <cell r="G832">
            <v>0</v>
          </cell>
          <cell r="H832">
            <v>560.02</v>
          </cell>
          <cell r="I832">
            <v>560.02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560.02</v>
          </cell>
          <cell r="X832">
            <v>560.02</v>
          </cell>
          <cell r="Y832">
            <v>560.02</v>
          </cell>
          <cell r="Z832">
            <v>0</v>
          </cell>
          <cell r="AA832">
            <v>376.68</v>
          </cell>
          <cell r="AB832">
            <v>376.68</v>
          </cell>
          <cell r="AC832">
            <v>309.57</v>
          </cell>
          <cell r="AD832">
            <v>-19463.43</v>
          </cell>
          <cell r="AE832">
            <v>-41620.43</v>
          </cell>
          <cell r="AF832">
            <v>-63499.43</v>
          </cell>
          <cell r="AG832">
            <v>-63499.43</v>
          </cell>
          <cell r="AH832">
            <v>-62731.77</v>
          </cell>
          <cell r="AI832">
            <v>-62531.25</v>
          </cell>
          <cell r="AJ832">
            <v>-62531.25</v>
          </cell>
          <cell r="AK832">
            <v>-87686.25</v>
          </cell>
          <cell r="AL832">
            <v>0</v>
          </cell>
          <cell r="AM832">
            <v>1</v>
          </cell>
          <cell r="AN832" t="str">
            <v/>
          </cell>
          <cell r="AO832">
            <v>0</v>
          </cell>
          <cell r="AP832">
            <v>0</v>
          </cell>
          <cell r="AQ832">
            <v>0</v>
          </cell>
          <cell r="AR832">
            <v>910</v>
          </cell>
          <cell r="AS832">
            <v>0</v>
          </cell>
          <cell r="AT832" t="str">
            <v/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 t="str">
            <v/>
          </cell>
          <cell r="BK832">
            <v>7300</v>
          </cell>
          <cell r="BL832" t="str">
            <v/>
          </cell>
          <cell r="BM832" t="str">
            <v>1</v>
          </cell>
          <cell r="BN832" t="str">
            <v/>
          </cell>
          <cell r="BO832" t="str">
            <v/>
          </cell>
        </row>
        <row r="833">
          <cell r="A833">
            <v>1</v>
          </cell>
          <cell r="B833">
            <v>5129001</v>
          </cell>
          <cell r="C833" t="str">
            <v>INTERETS FRAIS BANCAIRE</v>
          </cell>
          <cell r="D833" t="str">
            <v>TRANSFERT DIVISION PAPIER</v>
          </cell>
          <cell r="E833" t="str">
            <v>O</v>
          </cell>
          <cell r="F833">
            <v>0</v>
          </cell>
          <cell r="G833">
            <v>0</v>
          </cell>
          <cell r="H833">
            <v>-332.87</v>
          </cell>
          <cell r="I833">
            <v>480.79</v>
          </cell>
          <cell r="J833">
            <v>813.66</v>
          </cell>
          <cell r="K833">
            <v>0</v>
          </cell>
          <cell r="L833">
            <v>0</v>
          </cell>
          <cell r="M833">
            <v>0</v>
          </cell>
          <cell r="N833">
            <v>480.79</v>
          </cell>
          <cell r="O833">
            <v>480.79</v>
          </cell>
          <cell r="P833">
            <v>480.79</v>
          </cell>
          <cell r="Q833">
            <v>480.79</v>
          </cell>
          <cell r="R833">
            <v>480.79</v>
          </cell>
          <cell r="S833">
            <v>480.79</v>
          </cell>
          <cell r="T833">
            <v>480.79</v>
          </cell>
          <cell r="U833">
            <v>480.79</v>
          </cell>
          <cell r="V833">
            <v>480.79</v>
          </cell>
          <cell r="W833">
            <v>-332.87</v>
          </cell>
          <cell r="X833">
            <v>-332.87</v>
          </cell>
          <cell r="Y833">
            <v>-332.87</v>
          </cell>
          <cell r="Z833">
            <v>0</v>
          </cell>
          <cell r="AA833">
            <v>0</v>
          </cell>
          <cell r="AB833">
            <v>-41049</v>
          </cell>
          <cell r="AC833">
            <v>-87568</v>
          </cell>
          <cell r="AD833">
            <v>-87531.49</v>
          </cell>
          <cell r="AE833">
            <v>-87158.75</v>
          </cell>
          <cell r="AF833">
            <v>-87124.66</v>
          </cell>
          <cell r="AG833">
            <v>-87124.66</v>
          </cell>
          <cell r="AH833">
            <v>-87124.66</v>
          </cell>
          <cell r="AI833">
            <v>-87124.66</v>
          </cell>
          <cell r="AJ833">
            <v>-87124.66</v>
          </cell>
          <cell r="AK833">
            <v>-87124.66</v>
          </cell>
          <cell r="AL833">
            <v>0</v>
          </cell>
          <cell r="AM833">
            <v>1</v>
          </cell>
          <cell r="AN833" t="str">
            <v/>
          </cell>
          <cell r="AO833">
            <v>0</v>
          </cell>
          <cell r="AP833">
            <v>0</v>
          </cell>
          <cell r="AQ833">
            <v>0</v>
          </cell>
          <cell r="AR833">
            <v>820</v>
          </cell>
          <cell r="AS833">
            <v>0</v>
          </cell>
          <cell r="AT833" t="str">
            <v/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 t="str">
            <v/>
          </cell>
          <cell r="BK833">
            <v>7300</v>
          </cell>
          <cell r="BL833" t="str">
            <v>0</v>
          </cell>
          <cell r="BM833" t="str">
            <v>1</v>
          </cell>
          <cell r="BN833" t="str">
            <v/>
          </cell>
          <cell r="BO833" t="str">
            <v/>
          </cell>
        </row>
        <row r="834">
          <cell r="A834">
            <v>1</v>
          </cell>
          <cell r="B834">
            <v>5129002</v>
          </cell>
          <cell r="C834" t="str">
            <v>INTERETS FRAIS BANCAIRES</v>
          </cell>
          <cell r="D834" t="str">
            <v>TRANSFERT DIV. SERVIETTES</v>
          </cell>
          <cell r="E834" t="str">
            <v>O</v>
          </cell>
          <cell r="F834">
            <v>0</v>
          </cell>
          <cell r="G834">
            <v>0</v>
          </cell>
          <cell r="H834">
            <v>-18414</v>
          </cell>
          <cell r="I834">
            <v>12907</v>
          </cell>
          <cell r="J834">
            <v>31321</v>
          </cell>
          <cell r="K834">
            <v>0</v>
          </cell>
          <cell r="L834">
            <v>0</v>
          </cell>
          <cell r="M834">
            <v>15780</v>
          </cell>
          <cell r="N834">
            <v>2195</v>
          </cell>
          <cell r="O834">
            <v>2646</v>
          </cell>
          <cell r="P834">
            <v>-823</v>
          </cell>
          <cell r="Q834">
            <v>4500</v>
          </cell>
          <cell r="R834">
            <v>-2029</v>
          </cell>
          <cell r="S834">
            <v>-4561</v>
          </cell>
          <cell r="T834">
            <v>-11134</v>
          </cell>
          <cell r="U834">
            <v>-16457</v>
          </cell>
          <cell r="V834">
            <v>-20007</v>
          </cell>
          <cell r="W834">
            <v>-23272</v>
          </cell>
          <cell r="X834">
            <v>-18414</v>
          </cell>
          <cell r="Y834">
            <v>-34194</v>
          </cell>
          <cell r="Z834">
            <v>4057</v>
          </cell>
          <cell r="AA834">
            <v>9118</v>
          </cell>
          <cell r="AB834">
            <v>6390</v>
          </cell>
          <cell r="AC834">
            <v>-2567</v>
          </cell>
          <cell r="AD834">
            <v>4139</v>
          </cell>
          <cell r="AE834">
            <v>8313</v>
          </cell>
          <cell r="AF834">
            <v>8627</v>
          </cell>
          <cell r="AG834">
            <v>9093</v>
          </cell>
          <cell r="AH834">
            <v>9093</v>
          </cell>
          <cell r="AI834">
            <v>9093</v>
          </cell>
          <cell r="AJ834">
            <v>9093</v>
          </cell>
          <cell r="AK834">
            <v>-2408</v>
          </cell>
          <cell r="AL834">
            <v>0</v>
          </cell>
          <cell r="AM834">
            <v>2</v>
          </cell>
          <cell r="AN834" t="str">
            <v/>
          </cell>
          <cell r="AO834">
            <v>0</v>
          </cell>
          <cell r="AP834">
            <v>0</v>
          </cell>
          <cell r="AQ834">
            <v>0</v>
          </cell>
          <cell r="AR834">
            <v>820</v>
          </cell>
          <cell r="AS834">
            <v>0</v>
          </cell>
          <cell r="AT834" t="str">
            <v/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 t="str">
            <v/>
          </cell>
          <cell r="BK834">
            <v>7300</v>
          </cell>
          <cell r="BL834" t="str">
            <v>0</v>
          </cell>
          <cell r="BM834" t="str">
            <v>1</v>
          </cell>
          <cell r="BN834" t="str">
            <v/>
          </cell>
          <cell r="BO834" t="str">
            <v/>
          </cell>
        </row>
        <row r="835">
          <cell r="A835">
            <v>1</v>
          </cell>
          <cell r="B835">
            <v>5129003</v>
          </cell>
          <cell r="C835" t="str">
            <v>INTERETS FRAIS BANCAIRES</v>
          </cell>
          <cell r="D835" t="str">
            <v>TRANSFERT DIVISION SACS</v>
          </cell>
          <cell r="E835" t="str">
            <v>O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-5000</v>
          </cell>
          <cell r="AL835">
            <v>0</v>
          </cell>
          <cell r="AM835">
            <v>3</v>
          </cell>
          <cell r="AN835" t="str">
            <v/>
          </cell>
          <cell r="AO835">
            <v>0</v>
          </cell>
          <cell r="AP835">
            <v>0</v>
          </cell>
          <cell r="AQ835">
            <v>0</v>
          </cell>
          <cell r="AR835">
            <v>820</v>
          </cell>
          <cell r="AS835">
            <v>0</v>
          </cell>
          <cell r="AT835" t="str">
            <v/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 t="str">
            <v/>
          </cell>
          <cell r="BK835">
            <v>7300</v>
          </cell>
          <cell r="BL835" t="str">
            <v>0</v>
          </cell>
          <cell r="BM835" t="str">
            <v>1</v>
          </cell>
          <cell r="BN835" t="str">
            <v/>
          </cell>
          <cell r="BO835" t="str">
            <v/>
          </cell>
        </row>
        <row r="836">
          <cell r="A836">
            <v>1</v>
          </cell>
          <cell r="B836">
            <v>5129004</v>
          </cell>
          <cell r="C836" t="str">
            <v>INTERETS FRAIS BANCAIRES</v>
          </cell>
          <cell r="D836" t="str">
            <v>TRANSFERT DIVISION BOITES</v>
          </cell>
          <cell r="E836" t="str">
            <v>O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4</v>
          </cell>
          <cell r="AN836" t="str">
            <v/>
          </cell>
          <cell r="AO836">
            <v>0</v>
          </cell>
          <cell r="AP836">
            <v>0</v>
          </cell>
          <cell r="AQ836">
            <v>0</v>
          </cell>
          <cell r="AR836">
            <v>820</v>
          </cell>
          <cell r="AS836">
            <v>0</v>
          </cell>
          <cell r="AT836" t="str">
            <v/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 t="str">
            <v/>
          </cell>
          <cell r="BK836">
            <v>7300</v>
          </cell>
          <cell r="BL836" t="str">
            <v>0</v>
          </cell>
          <cell r="BM836" t="str">
            <v>1</v>
          </cell>
          <cell r="BN836" t="str">
            <v/>
          </cell>
          <cell r="BO836" t="str">
            <v/>
          </cell>
        </row>
        <row r="837">
          <cell r="A837">
            <v>1</v>
          </cell>
          <cell r="B837">
            <v>5161001</v>
          </cell>
          <cell r="C837" t="str">
            <v>INTERETS DETTE LONG TERME</v>
          </cell>
          <cell r="D837" t="str">
            <v/>
          </cell>
          <cell r="E837" t="str">
            <v>O</v>
          </cell>
          <cell r="F837">
            <v>0</v>
          </cell>
          <cell r="G837">
            <v>0</v>
          </cell>
          <cell r="H837">
            <v>301144.12</v>
          </cell>
          <cell r="I837">
            <v>321614</v>
          </cell>
          <cell r="J837">
            <v>20469.88</v>
          </cell>
          <cell r="K837">
            <v>0</v>
          </cell>
          <cell r="L837">
            <v>62029</v>
          </cell>
          <cell r="M837">
            <v>40938</v>
          </cell>
          <cell r="N837">
            <v>26308</v>
          </cell>
          <cell r="O837">
            <v>51047.92</v>
          </cell>
          <cell r="P837">
            <v>77907.12</v>
          </cell>
          <cell r="Q837">
            <v>104524.12</v>
          </cell>
          <cell r="R837">
            <v>135044.12</v>
          </cell>
          <cell r="S837">
            <v>165669.12</v>
          </cell>
          <cell r="T837">
            <v>197672.12</v>
          </cell>
          <cell r="U837">
            <v>229599.12</v>
          </cell>
          <cell r="V837">
            <v>259467.12</v>
          </cell>
          <cell r="W837">
            <v>280675.12</v>
          </cell>
          <cell r="X837">
            <v>301144.12</v>
          </cell>
          <cell r="Y837">
            <v>322235.12</v>
          </cell>
          <cell r="Z837">
            <v>29000</v>
          </cell>
          <cell r="AA837">
            <v>57609</v>
          </cell>
          <cell r="AB837">
            <v>83058</v>
          </cell>
          <cell r="AC837">
            <v>111398.58</v>
          </cell>
          <cell r="AD837">
            <v>139352</v>
          </cell>
          <cell r="AE837">
            <v>165408</v>
          </cell>
          <cell r="AF837">
            <v>192333</v>
          </cell>
          <cell r="AG837">
            <v>220012</v>
          </cell>
          <cell r="AH837">
            <v>246798</v>
          </cell>
          <cell r="AI837">
            <v>274477</v>
          </cell>
          <cell r="AJ837">
            <v>299045</v>
          </cell>
          <cell r="AK837">
            <v>325353</v>
          </cell>
          <cell r="AL837">
            <v>0</v>
          </cell>
          <cell r="AM837">
            <v>1</v>
          </cell>
          <cell r="AN837" t="str">
            <v/>
          </cell>
          <cell r="AO837">
            <v>0</v>
          </cell>
          <cell r="AP837">
            <v>0</v>
          </cell>
          <cell r="AQ837">
            <v>0</v>
          </cell>
          <cell r="AR837">
            <v>830</v>
          </cell>
          <cell r="AS837">
            <v>0</v>
          </cell>
          <cell r="AT837" t="str">
            <v/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 t="str">
            <v/>
          </cell>
          <cell r="BK837">
            <v>7300</v>
          </cell>
          <cell r="BL837" t="str">
            <v/>
          </cell>
          <cell r="BM837" t="str">
            <v>1</v>
          </cell>
          <cell r="BN837" t="str">
            <v/>
          </cell>
          <cell r="BO837" t="str">
            <v/>
          </cell>
        </row>
        <row r="838">
          <cell r="A838">
            <v>1</v>
          </cell>
          <cell r="B838">
            <v>5169001</v>
          </cell>
          <cell r="C838" t="str">
            <v>INTERETS DETTE LONG TERME</v>
          </cell>
          <cell r="D838" t="str">
            <v>TRANSFERT DIVISION PAPIER</v>
          </cell>
          <cell r="E838" t="str">
            <v>O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1</v>
          </cell>
          <cell r="AN838" t="str">
            <v/>
          </cell>
          <cell r="AO838">
            <v>0</v>
          </cell>
          <cell r="AP838">
            <v>0</v>
          </cell>
          <cell r="AQ838">
            <v>0</v>
          </cell>
          <cell r="AR838">
            <v>830</v>
          </cell>
          <cell r="AS838">
            <v>0</v>
          </cell>
          <cell r="AT838" t="str">
            <v/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 t="str">
            <v/>
          </cell>
          <cell r="BK838">
            <v>7300</v>
          </cell>
          <cell r="BL838" t="str">
            <v>0</v>
          </cell>
          <cell r="BM838" t="str">
            <v>1</v>
          </cell>
          <cell r="BN838" t="str">
            <v/>
          </cell>
          <cell r="BO838" t="str">
            <v/>
          </cell>
        </row>
        <row r="839">
          <cell r="A839">
            <v>1</v>
          </cell>
          <cell r="B839">
            <v>5169002</v>
          </cell>
          <cell r="C839" t="str">
            <v>INTERETS DETTE LONG TERME</v>
          </cell>
          <cell r="D839" t="str">
            <v>TRANSFERT DIV. SERVIETTES</v>
          </cell>
          <cell r="E839" t="str">
            <v>O</v>
          </cell>
          <cell r="F839">
            <v>0</v>
          </cell>
          <cell r="G839">
            <v>0</v>
          </cell>
          <cell r="H839">
            <v>60230</v>
          </cell>
          <cell r="I839">
            <v>60230</v>
          </cell>
          <cell r="J839">
            <v>0</v>
          </cell>
          <cell r="K839">
            <v>0</v>
          </cell>
          <cell r="L839">
            <v>4218</v>
          </cell>
          <cell r="M839">
            <v>0</v>
          </cell>
          <cell r="N839">
            <v>5262</v>
          </cell>
          <cell r="O839">
            <v>10210</v>
          </cell>
          <cell r="P839">
            <v>15582</v>
          </cell>
          <cell r="Q839">
            <v>15582</v>
          </cell>
          <cell r="R839">
            <v>27009</v>
          </cell>
          <cell r="S839">
            <v>33134</v>
          </cell>
          <cell r="T839">
            <v>39535</v>
          </cell>
          <cell r="U839">
            <v>45920</v>
          </cell>
          <cell r="V839">
            <v>51894</v>
          </cell>
          <cell r="W839">
            <v>56136</v>
          </cell>
          <cell r="X839">
            <v>60230</v>
          </cell>
          <cell r="Y839">
            <v>64448</v>
          </cell>
          <cell r="Z839">
            <v>7250</v>
          </cell>
          <cell r="AA839">
            <v>14402</v>
          </cell>
          <cell r="AB839">
            <v>20764</v>
          </cell>
          <cell r="AC839">
            <v>27849</v>
          </cell>
          <cell r="AD839">
            <v>36235</v>
          </cell>
          <cell r="AE839">
            <v>44052</v>
          </cell>
          <cell r="AF839">
            <v>52130</v>
          </cell>
          <cell r="AG839">
            <v>60434</v>
          </cell>
          <cell r="AH839">
            <v>68470</v>
          </cell>
          <cell r="AI839">
            <v>76774</v>
          </cell>
          <cell r="AJ839">
            <v>84147</v>
          </cell>
          <cell r="AK839">
            <v>84147</v>
          </cell>
          <cell r="AL839">
            <v>0</v>
          </cell>
          <cell r="AM839">
            <v>2</v>
          </cell>
          <cell r="AN839" t="str">
            <v/>
          </cell>
          <cell r="AO839">
            <v>0</v>
          </cell>
          <cell r="AP839">
            <v>0</v>
          </cell>
          <cell r="AQ839">
            <v>0</v>
          </cell>
          <cell r="AR839">
            <v>830</v>
          </cell>
          <cell r="AS839">
            <v>0</v>
          </cell>
          <cell r="AT839" t="str">
            <v/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 t="str">
            <v/>
          </cell>
          <cell r="BK839">
            <v>7300</v>
          </cell>
          <cell r="BL839" t="str">
            <v>0</v>
          </cell>
          <cell r="BM839" t="str">
            <v>1</v>
          </cell>
          <cell r="BN839" t="str">
            <v/>
          </cell>
          <cell r="BO839" t="str">
            <v/>
          </cell>
        </row>
        <row r="840">
          <cell r="A840">
            <v>1</v>
          </cell>
          <cell r="B840">
            <v>5169003</v>
          </cell>
          <cell r="C840" t="str">
            <v>INTERETS DETTE LONG TERME</v>
          </cell>
          <cell r="D840" t="str">
            <v>TRANSFERT DIVISION SACS</v>
          </cell>
          <cell r="E840" t="str">
            <v>O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1450</v>
          </cell>
          <cell r="AA840">
            <v>2880</v>
          </cell>
          <cell r="AB840">
            <v>4152</v>
          </cell>
          <cell r="AC840">
            <v>5569</v>
          </cell>
          <cell r="AD840">
            <v>5569</v>
          </cell>
          <cell r="AE840">
            <v>5569</v>
          </cell>
          <cell r="AF840">
            <v>5569</v>
          </cell>
          <cell r="AG840">
            <v>5569</v>
          </cell>
          <cell r="AH840">
            <v>5569</v>
          </cell>
          <cell r="AI840">
            <v>5569</v>
          </cell>
          <cell r="AJ840">
            <v>5569</v>
          </cell>
          <cell r="AK840">
            <v>5569</v>
          </cell>
          <cell r="AL840">
            <v>0</v>
          </cell>
          <cell r="AM840">
            <v>3</v>
          </cell>
          <cell r="AN840" t="str">
            <v/>
          </cell>
          <cell r="AO840">
            <v>0</v>
          </cell>
          <cell r="AP840">
            <v>0</v>
          </cell>
          <cell r="AQ840">
            <v>0</v>
          </cell>
          <cell r="AR840">
            <v>830</v>
          </cell>
          <cell r="AS840">
            <v>0</v>
          </cell>
          <cell r="AT840" t="str">
            <v/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 t="str">
            <v/>
          </cell>
          <cell r="BK840">
            <v>7300</v>
          </cell>
          <cell r="BL840" t="str">
            <v>0</v>
          </cell>
          <cell r="BM840" t="str">
            <v>1</v>
          </cell>
          <cell r="BN840" t="str">
            <v/>
          </cell>
          <cell r="BO840" t="str">
            <v/>
          </cell>
        </row>
        <row r="841">
          <cell r="A841">
            <v>1</v>
          </cell>
          <cell r="B841">
            <v>5169004</v>
          </cell>
          <cell r="C841" t="str">
            <v>INTERETS DETTE LONG TERME</v>
          </cell>
          <cell r="D841" t="str">
            <v>TRANSFERT DIVISION BOITES</v>
          </cell>
          <cell r="E841" t="str">
            <v>O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4</v>
          </cell>
          <cell r="AN841" t="str">
            <v/>
          </cell>
          <cell r="AO841">
            <v>0</v>
          </cell>
          <cell r="AP841">
            <v>0</v>
          </cell>
          <cell r="AQ841">
            <v>0</v>
          </cell>
          <cell r="AR841">
            <v>830</v>
          </cell>
          <cell r="AS841">
            <v>0</v>
          </cell>
          <cell r="AT841" t="str">
            <v/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 t="str">
            <v/>
          </cell>
          <cell r="BK841">
            <v>7300</v>
          </cell>
          <cell r="BL841" t="str">
            <v>0</v>
          </cell>
          <cell r="BM841" t="str">
            <v>1</v>
          </cell>
          <cell r="BN841" t="str">
            <v/>
          </cell>
          <cell r="BO841" t="str">
            <v/>
          </cell>
        </row>
        <row r="842">
          <cell r="A842">
            <v>1</v>
          </cell>
          <cell r="B842">
            <v>5201001</v>
          </cell>
          <cell r="C842" t="str">
            <v>AUTRES REVENUS</v>
          </cell>
          <cell r="D842" t="str">
            <v>GAINS OU PERTE DE CHANGES</v>
          </cell>
          <cell r="E842" t="str">
            <v>O</v>
          </cell>
          <cell r="F842">
            <v>0</v>
          </cell>
          <cell r="G842">
            <v>0</v>
          </cell>
          <cell r="H842">
            <v>235290.54</v>
          </cell>
          <cell r="I842">
            <v>2695072.09</v>
          </cell>
          <cell r="J842">
            <v>2930362.63</v>
          </cell>
          <cell r="K842">
            <v>0</v>
          </cell>
          <cell r="L842">
            <v>326469.45</v>
          </cell>
          <cell r="M842">
            <v>207502.04</v>
          </cell>
          <cell r="N842">
            <v>-18712.23</v>
          </cell>
          <cell r="O842">
            <v>-1465.51</v>
          </cell>
          <cell r="P842">
            <v>24022.47</v>
          </cell>
          <cell r="Q842">
            <v>100259.44</v>
          </cell>
          <cell r="R842">
            <v>126906.75</v>
          </cell>
          <cell r="S842">
            <v>46327.03</v>
          </cell>
          <cell r="T842">
            <v>110018.58</v>
          </cell>
          <cell r="U842">
            <v>55905.09</v>
          </cell>
          <cell r="V842">
            <v>193487.45</v>
          </cell>
          <cell r="W842">
            <v>238167.56</v>
          </cell>
          <cell r="X842">
            <v>235290.54</v>
          </cell>
          <cell r="Y842">
            <v>116323.13</v>
          </cell>
          <cell r="Z842">
            <v>-2464.02</v>
          </cell>
          <cell r="AA842">
            <v>47085.9</v>
          </cell>
          <cell r="AB842">
            <v>52070.19</v>
          </cell>
          <cell r="AC842">
            <v>-91393.2</v>
          </cell>
          <cell r="AD842">
            <v>6322.49</v>
          </cell>
          <cell r="AE842">
            <v>-29870.77</v>
          </cell>
          <cell r="AF842">
            <v>110833.01</v>
          </cell>
          <cell r="AG842">
            <v>42482.38</v>
          </cell>
          <cell r="AH842">
            <v>-35564.379999999997</v>
          </cell>
          <cell r="AI842">
            <v>24479.68</v>
          </cell>
          <cell r="AJ842">
            <v>28150.080000000002</v>
          </cell>
          <cell r="AK842">
            <v>14274.56</v>
          </cell>
          <cell r="AL842">
            <v>0</v>
          </cell>
          <cell r="AM842">
            <v>1</v>
          </cell>
          <cell r="AN842" t="str">
            <v/>
          </cell>
          <cell r="AO842">
            <v>0</v>
          </cell>
          <cell r="AP842">
            <v>0</v>
          </cell>
          <cell r="AQ842">
            <v>0</v>
          </cell>
          <cell r="AR842">
            <v>840</v>
          </cell>
          <cell r="AS842">
            <v>0</v>
          </cell>
          <cell r="AT842" t="str">
            <v/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 t="str">
            <v/>
          </cell>
          <cell r="BK842">
            <v>8000</v>
          </cell>
          <cell r="BL842" t="str">
            <v>0</v>
          </cell>
          <cell r="BM842" t="str">
            <v>1</v>
          </cell>
          <cell r="BN842" t="str">
            <v/>
          </cell>
          <cell r="BO842" t="str">
            <v/>
          </cell>
        </row>
        <row r="843">
          <cell r="A843">
            <v>1</v>
          </cell>
          <cell r="B843">
            <v>5209001</v>
          </cell>
          <cell r="C843" t="str">
            <v>GAIN (PERTE) CHANGE</v>
          </cell>
          <cell r="D843" t="str">
            <v>TRANSFERT DIVISION PAPIER</v>
          </cell>
          <cell r="E843" t="str">
            <v>O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1863.79</v>
          </cell>
          <cell r="AA843">
            <v>4361.82</v>
          </cell>
          <cell r="AB843">
            <v>6005.37</v>
          </cell>
          <cell r="AC843">
            <v>5929.15</v>
          </cell>
          <cell r="AD843">
            <v>7229.16</v>
          </cell>
          <cell r="AE843">
            <v>9700.56</v>
          </cell>
          <cell r="AF843">
            <v>9217.44</v>
          </cell>
          <cell r="AG843">
            <v>9217.44</v>
          </cell>
          <cell r="AH843">
            <v>11517.44</v>
          </cell>
          <cell r="AI843">
            <v>11517.44</v>
          </cell>
          <cell r="AJ843">
            <v>11302.44</v>
          </cell>
          <cell r="AK843">
            <v>11302.44</v>
          </cell>
          <cell r="AL843">
            <v>0</v>
          </cell>
          <cell r="AM843">
            <v>1</v>
          </cell>
          <cell r="AN843" t="str">
            <v/>
          </cell>
          <cell r="AO843">
            <v>0</v>
          </cell>
          <cell r="AP843">
            <v>0</v>
          </cell>
          <cell r="AQ843">
            <v>0</v>
          </cell>
          <cell r="AR843">
            <v>840</v>
          </cell>
          <cell r="AS843">
            <v>0</v>
          </cell>
          <cell r="AT843" t="str">
            <v/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 t="str">
            <v/>
          </cell>
          <cell r="BK843">
            <v>8000</v>
          </cell>
          <cell r="BL843" t="str">
            <v>0</v>
          </cell>
          <cell r="BM843" t="str">
            <v>1</v>
          </cell>
          <cell r="BN843" t="str">
            <v/>
          </cell>
          <cell r="BO843" t="str">
            <v/>
          </cell>
        </row>
        <row r="844">
          <cell r="A844">
            <v>1</v>
          </cell>
          <cell r="B844">
            <v>5209002</v>
          </cell>
          <cell r="C844" t="str">
            <v>GAIN (PERTE) CHANGE</v>
          </cell>
          <cell r="D844" t="str">
            <v>TRANSFERT DIV. SERVIETTES</v>
          </cell>
          <cell r="E844" t="str">
            <v>O</v>
          </cell>
          <cell r="F844">
            <v>0</v>
          </cell>
          <cell r="G844">
            <v>0</v>
          </cell>
          <cell r="H844">
            <v>145240.93</v>
          </cell>
          <cell r="I844">
            <v>676614.36</v>
          </cell>
          <cell r="J844">
            <v>821855.29</v>
          </cell>
          <cell r="K844">
            <v>0</v>
          </cell>
          <cell r="L844">
            <v>95174</v>
          </cell>
          <cell r="M844">
            <v>0</v>
          </cell>
          <cell r="N844">
            <v>-14970</v>
          </cell>
          <cell r="O844">
            <v>-16930</v>
          </cell>
          <cell r="P844">
            <v>3455.29</v>
          </cell>
          <cell r="Q844">
            <v>64444.29</v>
          </cell>
          <cell r="R844">
            <v>85761.29</v>
          </cell>
          <cell r="S844">
            <v>21297.29</v>
          </cell>
          <cell r="T844">
            <v>70238.289999999994</v>
          </cell>
          <cell r="U844">
            <v>113529.29</v>
          </cell>
          <cell r="V844">
            <v>137013.29</v>
          </cell>
          <cell r="W844">
            <v>172757.29</v>
          </cell>
          <cell r="X844">
            <v>145240.93</v>
          </cell>
          <cell r="Y844">
            <v>50066.93</v>
          </cell>
          <cell r="Z844">
            <v>0</v>
          </cell>
          <cell r="AA844">
            <v>35675</v>
          </cell>
          <cell r="AB844">
            <v>39262</v>
          </cell>
          <cell r="AC844">
            <v>-75569</v>
          </cell>
          <cell r="AD844">
            <v>2443</v>
          </cell>
          <cell r="AE844">
            <v>-21335</v>
          </cell>
          <cell r="AF844">
            <v>90841</v>
          </cell>
          <cell r="AG844">
            <v>36161</v>
          </cell>
          <cell r="AH844">
            <v>-24436</v>
          </cell>
          <cell r="AI844">
            <v>23600.12</v>
          </cell>
          <cell r="AJ844">
            <v>23600.12</v>
          </cell>
          <cell r="AK844">
            <v>13200.12</v>
          </cell>
          <cell r="AL844">
            <v>0</v>
          </cell>
          <cell r="AM844">
            <v>2</v>
          </cell>
          <cell r="AN844" t="str">
            <v/>
          </cell>
          <cell r="AO844">
            <v>0</v>
          </cell>
          <cell r="AP844">
            <v>0</v>
          </cell>
          <cell r="AQ844">
            <v>0</v>
          </cell>
          <cell r="AR844">
            <v>840</v>
          </cell>
          <cell r="AS844">
            <v>0</v>
          </cell>
          <cell r="AT844" t="str">
            <v/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 t="str">
            <v/>
          </cell>
          <cell r="BK844">
            <v>8000</v>
          </cell>
          <cell r="BL844" t="str">
            <v>0</v>
          </cell>
          <cell r="BM844" t="str">
            <v>1</v>
          </cell>
          <cell r="BN844" t="str">
            <v/>
          </cell>
          <cell r="BO844" t="str">
            <v/>
          </cell>
        </row>
        <row r="845">
          <cell r="A845">
            <v>1</v>
          </cell>
          <cell r="B845">
            <v>5209003</v>
          </cell>
          <cell r="C845" t="str">
            <v>GAIN (PERTE) CHANGE</v>
          </cell>
          <cell r="D845" t="str">
            <v>TRANSFERT DIVISION SACS</v>
          </cell>
          <cell r="E845" t="str">
            <v>O</v>
          </cell>
          <cell r="F845">
            <v>0</v>
          </cell>
          <cell r="G845">
            <v>0</v>
          </cell>
          <cell r="H845">
            <v>55594.53</v>
          </cell>
          <cell r="I845">
            <v>118542</v>
          </cell>
          <cell r="J845">
            <v>174136.53</v>
          </cell>
          <cell r="K845">
            <v>0</v>
          </cell>
          <cell r="L845">
            <v>23793</v>
          </cell>
          <cell r="M845">
            <v>0</v>
          </cell>
          <cell r="N845">
            <v>-2433</v>
          </cell>
          <cell r="O845">
            <v>-2752</v>
          </cell>
          <cell r="P845">
            <v>566.53</v>
          </cell>
          <cell r="Q845">
            <v>10477.530000000001</v>
          </cell>
          <cell r="R845">
            <v>13941.53</v>
          </cell>
          <cell r="S845">
            <v>3466.53</v>
          </cell>
          <cell r="T845">
            <v>11419.53</v>
          </cell>
          <cell r="U845">
            <v>18454.53</v>
          </cell>
          <cell r="V845">
            <v>22270.53</v>
          </cell>
          <cell r="W845">
            <v>28078.53</v>
          </cell>
          <cell r="X845">
            <v>55594.53</v>
          </cell>
          <cell r="Y845">
            <v>31801.53</v>
          </cell>
          <cell r="Z845">
            <v>0</v>
          </cell>
          <cell r="AA845">
            <v>10407</v>
          </cell>
          <cell r="AB845">
            <v>11454</v>
          </cell>
          <cell r="AC845">
            <v>-7206</v>
          </cell>
          <cell r="AD845">
            <v>5470</v>
          </cell>
          <cell r="AE845">
            <v>2156</v>
          </cell>
          <cell r="AF845">
            <v>20385</v>
          </cell>
          <cell r="AG845">
            <v>11499</v>
          </cell>
          <cell r="AH845">
            <v>1652</v>
          </cell>
          <cell r="AI845">
            <v>12459</v>
          </cell>
          <cell r="AJ845">
            <v>12459</v>
          </cell>
          <cell r="AK845">
            <v>10769</v>
          </cell>
          <cell r="AL845">
            <v>0</v>
          </cell>
          <cell r="AM845">
            <v>3</v>
          </cell>
          <cell r="AN845" t="str">
            <v/>
          </cell>
          <cell r="AO845">
            <v>0</v>
          </cell>
          <cell r="AP845">
            <v>0</v>
          </cell>
          <cell r="AQ845">
            <v>0</v>
          </cell>
          <cell r="AR845">
            <v>840</v>
          </cell>
          <cell r="AS845">
            <v>0</v>
          </cell>
          <cell r="AT845" t="str">
            <v/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 t="str">
            <v/>
          </cell>
          <cell r="BK845">
            <v>8000</v>
          </cell>
          <cell r="BL845" t="str">
            <v>0</v>
          </cell>
          <cell r="BM845" t="str">
            <v>1</v>
          </cell>
          <cell r="BN845" t="str">
            <v/>
          </cell>
          <cell r="BO845" t="str">
            <v/>
          </cell>
        </row>
        <row r="846">
          <cell r="A846">
            <v>1</v>
          </cell>
          <cell r="B846">
            <v>5209004</v>
          </cell>
          <cell r="C846" t="str">
            <v>GAIN (PERTE) CHANGE</v>
          </cell>
          <cell r="D846" t="str">
            <v>TRANSFERT DIVISION BOITES</v>
          </cell>
          <cell r="E846" t="str">
            <v>O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4</v>
          </cell>
          <cell r="AN846" t="str">
            <v/>
          </cell>
          <cell r="AO846">
            <v>0</v>
          </cell>
          <cell r="AP846">
            <v>0</v>
          </cell>
          <cell r="AQ846">
            <v>0</v>
          </cell>
          <cell r="AR846">
            <v>840</v>
          </cell>
          <cell r="AS846">
            <v>0</v>
          </cell>
          <cell r="AT846" t="str">
            <v/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 t="str">
            <v/>
          </cell>
          <cell r="BK846">
            <v>8000</v>
          </cell>
          <cell r="BL846" t="str">
            <v>0</v>
          </cell>
          <cell r="BM846" t="str">
            <v>1</v>
          </cell>
          <cell r="BN846" t="str">
            <v/>
          </cell>
          <cell r="BO846" t="str">
            <v/>
          </cell>
        </row>
        <row r="847">
          <cell r="A847">
            <v>1</v>
          </cell>
          <cell r="B847">
            <v>5219001</v>
          </cell>
          <cell r="C847" t="str">
            <v>AUTRE DEPENSE         ADM</v>
          </cell>
          <cell r="D847" t="str">
            <v>TRANSFERT DIVISION PAPIER</v>
          </cell>
          <cell r="E847" t="str">
            <v>O</v>
          </cell>
          <cell r="F847">
            <v>0</v>
          </cell>
          <cell r="G847">
            <v>0</v>
          </cell>
          <cell r="H847">
            <v>43.18</v>
          </cell>
          <cell r="I847">
            <v>43.18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43.18</v>
          </cell>
          <cell r="Q847">
            <v>43.18</v>
          </cell>
          <cell r="R847">
            <v>43.18</v>
          </cell>
          <cell r="S847">
            <v>43.18</v>
          </cell>
          <cell r="T847">
            <v>43.18</v>
          </cell>
          <cell r="U847">
            <v>43.18</v>
          </cell>
          <cell r="V847">
            <v>43.18</v>
          </cell>
          <cell r="W847">
            <v>43.18</v>
          </cell>
          <cell r="X847">
            <v>43.18</v>
          </cell>
          <cell r="Y847">
            <v>43.18</v>
          </cell>
          <cell r="Z847">
            <v>0</v>
          </cell>
          <cell r="AA847">
            <v>0</v>
          </cell>
          <cell r="AB847">
            <v>87.68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1</v>
          </cell>
          <cell r="AN847" t="str">
            <v/>
          </cell>
          <cell r="AO847">
            <v>0</v>
          </cell>
          <cell r="AP847">
            <v>0</v>
          </cell>
          <cell r="AQ847">
            <v>0</v>
          </cell>
          <cell r="AR847">
            <v>810</v>
          </cell>
          <cell r="AS847">
            <v>0</v>
          </cell>
          <cell r="AT847" t="str">
            <v/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 t="str">
            <v/>
          </cell>
          <cell r="BK847">
            <v>8000</v>
          </cell>
          <cell r="BL847" t="str">
            <v>0</v>
          </cell>
          <cell r="BM847" t="str">
            <v>1</v>
          </cell>
          <cell r="BN847" t="str">
            <v/>
          </cell>
          <cell r="BO847" t="str">
            <v/>
          </cell>
        </row>
        <row r="848">
          <cell r="A848">
            <v>1</v>
          </cell>
          <cell r="B848">
            <v>5219002</v>
          </cell>
          <cell r="C848" t="str">
            <v>AUTRE DEPENSE         ADM</v>
          </cell>
          <cell r="D848" t="str">
            <v>TRANSFERT DIV. SERVIETTES</v>
          </cell>
          <cell r="E848" t="str">
            <v>O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2</v>
          </cell>
          <cell r="AN848" t="str">
            <v/>
          </cell>
          <cell r="AO848">
            <v>0</v>
          </cell>
          <cell r="AP848">
            <v>0</v>
          </cell>
          <cell r="AQ848">
            <v>0</v>
          </cell>
          <cell r="AR848">
            <v>810</v>
          </cell>
          <cell r="AS848">
            <v>0</v>
          </cell>
          <cell r="AT848" t="str">
            <v/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 t="str">
            <v/>
          </cell>
          <cell r="BK848">
            <v>8000</v>
          </cell>
          <cell r="BL848" t="str">
            <v>0</v>
          </cell>
          <cell r="BM848" t="str">
            <v>1</v>
          </cell>
          <cell r="BN848" t="str">
            <v/>
          </cell>
          <cell r="BO848" t="str">
            <v/>
          </cell>
        </row>
        <row r="849">
          <cell r="A849">
            <v>1</v>
          </cell>
          <cell r="B849">
            <v>5219003</v>
          </cell>
          <cell r="C849" t="str">
            <v>AUTRE DEPENSE         ADM</v>
          </cell>
          <cell r="D849" t="str">
            <v>TRANSFERT DIVISION SACS</v>
          </cell>
          <cell r="E849" t="str">
            <v>O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3</v>
          </cell>
          <cell r="AN849" t="str">
            <v/>
          </cell>
          <cell r="AO849">
            <v>0</v>
          </cell>
          <cell r="AP849">
            <v>0</v>
          </cell>
          <cell r="AQ849">
            <v>0</v>
          </cell>
          <cell r="AR849">
            <v>810</v>
          </cell>
          <cell r="AS849">
            <v>0</v>
          </cell>
          <cell r="AT849" t="str">
            <v/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 t="str">
            <v/>
          </cell>
          <cell r="BK849">
            <v>8000</v>
          </cell>
          <cell r="BL849" t="str">
            <v>0</v>
          </cell>
          <cell r="BM849" t="str">
            <v>1</v>
          </cell>
          <cell r="BN849" t="str">
            <v/>
          </cell>
          <cell r="BO849" t="str">
            <v/>
          </cell>
        </row>
        <row r="850">
          <cell r="A850">
            <v>1</v>
          </cell>
          <cell r="B850">
            <v>5219004</v>
          </cell>
          <cell r="C850" t="str">
            <v>AUTRE DEPENSE         ADM</v>
          </cell>
          <cell r="D850" t="str">
            <v>TRANSFERT DIVISION BOITES</v>
          </cell>
          <cell r="E850" t="str">
            <v>O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4</v>
          </cell>
          <cell r="AN850" t="str">
            <v/>
          </cell>
          <cell r="AO850">
            <v>0</v>
          </cell>
          <cell r="AP850">
            <v>0</v>
          </cell>
          <cell r="AQ850">
            <v>0</v>
          </cell>
          <cell r="AR850">
            <v>810</v>
          </cell>
          <cell r="AS850">
            <v>0</v>
          </cell>
          <cell r="AT850" t="str">
            <v/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 t="str">
            <v/>
          </cell>
          <cell r="BK850">
            <v>8000</v>
          </cell>
          <cell r="BL850" t="str">
            <v>0</v>
          </cell>
          <cell r="BM850" t="str">
            <v>1</v>
          </cell>
          <cell r="BN850" t="str">
            <v/>
          </cell>
          <cell r="BO850" t="str">
            <v/>
          </cell>
        </row>
        <row r="851">
          <cell r="A851">
            <v>1</v>
          </cell>
          <cell r="B851">
            <v>5251001</v>
          </cell>
          <cell r="C851" t="str">
            <v>FRAIS DE GESTION</v>
          </cell>
          <cell r="D851" t="str">
            <v>PAPIER</v>
          </cell>
          <cell r="E851" t="str">
            <v>O</v>
          </cell>
          <cell r="F851">
            <v>0</v>
          </cell>
          <cell r="G851">
            <v>0</v>
          </cell>
          <cell r="H851">
            <v>1005336.48</v>
          </cell>
          <cell r="I851">
            <v>1377969.08</v>
          </cell>
          <cell r="J851">
            <v>372632.6</v>
          </cell>
          <cell r="K851">
            <v>0</v>
          </cell>
          <cell r="L851">
            <v>94578.62</v>
          </cell>
          <cell r="M851">
            <v>0</v>
          </cell>
          <cell r="N851">
            <v>64376.36</v>
          </cell>
          <cell r="O851">
            <v>127166.57</v>
          </cell>
          <cell r="P851">
            <v>198719.49</v>
          </cell>
          <cell r="Q851">
            <v>263866.78999999998</v>
          </cell>
          <cell r="R851">
            <v>371462.76</v>
          </cell>
          <cell r="S851">
            <v>440562.33</v>
          </cell>
          <cell r="T851">
            <v>548840.38</v>
          </cell>
          <cell r="U851">
            <v>642766.14</v>
          </cell>
          <cell r="V851">
            <v>756506.64</v>
          </cell>
          <cell r="W851">
            <v>872200.54</v>
          </cell>
          <cell r="X851">
            <v>1005336.48</v>
          </cell>
          <cell r="Y851">
            <v>1099915.1000000001</v>
          </cell>
          <cell r="Z851">
            <v>12057.91</v>
          </cell>
          <cell r="AA851">
            <v>42032.88</v>
          </cell>
          <cell r="AB851">
            <v>111090.37</v>
          </cell>
          <cell r="AC851">
            <v>216543.24</v>
          </cell>
          <cell r="AD851">
            <v>315730.28000000003</v>
          </cell>
          <cell r="AE851">
            <v>407466.87</v>
          </cell>
          <cell r="AF851">
            <v>471648.05</v>
          </cell>
          <cell r="AG851">
            <v>536118.01</v>
          </cell>
          <cell r="AH851">
            <v>609037.78</v>
          </cell>
          <cell r="AI851">
            <v>675161.61</v>
          </cell>
          <cell r="AJ851">
            <v>757698.36</v>
          </cell>
          <cell r="AK851">
            <v>833125.8</v>
          </cell>
          <cell r="AL851">
            <v>0</v>
          </cell>
          <cell r="AM851">
            <v>1</v>
          </cell>
          <cell r="AN851" t="str">
            <v/>
          </cell>
          <cell r="AO851">
            <v>0</v>
          </cell>
          <cell r="AP851">
            <v>0</v>
          </cell>
          <cell r="AQ851">
            <v>0</v>
          </cell>
          <cell r="AR851">
            <v>810</v>
          </cell>
          <cell r="AS851">
            <v>0</v>
          </cell>
          <cell r="AT851" t="str">
            <v/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 t="str">
            <v/>
          </cell>
          <cell r="BK851">
            <v>8000</v>
          </cell>
          <cell r="BL851" t="str">
            <v>0</v>
          </cell>
          <cell r="BM851" t="str">
            <v>1</v>
          </cell>
          <cell r="BN851" t="str">
            <v/>
          </cell>
          <cell r="BO851" t="str">
            <v/>
          </cell>
        </row>
        <row r="852">
          <cell r="A852">
            <v>1</v>
          </cell>
          <cell r="B852">
            <v>5251002</v>
          </cell>
          <cell r="C852" t="str">
            <v>FRAIS DE GESTION</v>
          </cell>
          <cell r="D852" t="str">
            <v>SERVIETTES</v>
          </cell>
          <cell r="E852" t="str">
            <v>O</v>
          </cell>
          <cell r="F852">
            <v>0</v>
          </cell>
          <cell r="G852">
            <v>0</v>
          </cell>
          <cell r="H852">
            <v>935268.28</v>
          </cell>
          <cell r="I852">
            <v>1306432.6000000001</v>
          </cell>
          <cell r="J852">
            <v>371164.32</v>
          </cell>
          <cell r="K852">
            <v>0</v>
          </cell>
          <cell r="L852">
            <v>68398.11</v>
          </cell>
          <cell r="M852">
            <v>0</v>
          </cell>
          <cell r="N852">
            <v>83560.37</v>
          </cell>
          <cell r="O852">
            <v>55036.37</v>
          </cell>
          <cell r="P852">
            <v>109820.87</v>
          </cell>
          <cell r="Q852">
            <v>193913.64</v>
          </cell>
          <cell r="R852">
            <v>304121.28999999998</v>
          </cell>
          <cell r="S852">
            <v>416853.11</v>
          </cell>
          <cell r="T852">
            <v>540212.09</v>
          </cell>
          <cell r="U852">
            <v>648571.56999999995</v>
          </cell>
          <cell r="V852">
            <v>728249.48</v>
          </cell>
          <cell r="W852">
            <v>828526.25</v>
          </cell>
          <cell r="X852">
            <v>935268.28</v>
          </cell>
          <cell r="Y852">
            <v>1003666.39</v>
          </cell>
          <cell r="Z852">
            <v>119718.75</v>
          </cell>
          <cell r="AA852">
            <v>213012.28</v>
          </cell>
          <cell r="AB852">
            <v>290745.2</v>
          </cell>
          <cell r="AC852">
            <v>358201.84</v>
          </cell>
          <cell r="AD852">
            <v>462765.89</v>
          </cell>
          <cell r="AE852">
            <v>581149.49</v>
          </cell>
          <cell r="AF852">
            <v>744450.7</v>
          </cell>
          <cell r="AG852">
            <v>898151.59</v>
          </cell>
          <cell r="AH852">
            <v>963973.41</v>
          </cell>
          <cell r="AI852">
            <v>1023526.73</v>
          </cell>
          <cell r="AJ852">
            <v>1108038.01</v>
          </cell>
          <cell r="AK852">
            <v>1200792.55</v>
          </cell>
          <cell r="AL852">
            <v>0</v>
          </cell>
          <cell r="AM852">
            <v>2</v>
          </cell>
          <cell r="AN852" t="str">
            <v/>
          </cell>
          <cell r="AO852">
            <v>0</v>
          </cell>
          <cell r="AP852">
            <v>0</v>
          </cell>
          <cell r="AQ852">
            <v>0</v>
          </cell>
          <cell r="AR852">
            <v>810</v>
          </cell>
          <cell r="AS852">
            <v>0</v>
          </cell>
          <cell r="AT852" t="str">
            <v/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 t="str">
            <v/>
          </cell>
          <cell r="BK852">
            <v>8000</v>
          </cell>
          <cell r="BL852" t="str">
            <v/>
          </cell>
          <cell r="BM852" t="str">
            <v>1</v>
          </cell>
          <cell r="BN852" t="str">
            <v/>
          </cell>
          <cell r="BO852" t="str">
            <v/>
          </cell>
        </row>
        <row r="853">
          <cell r="A853">
            <v>1</v>
          </cell>
          <cell r="B853">
            <v>5251003</v>
          </cell>
          <cell r="C853" t="str">
            <v>FRAIS DE GESTION</v>
          </cell>
          <cell r="D853" t="str">
            <v>SACS</v>
          </cell>
          <cell r="E853" t="str">
            <v>O</v>
          </cell>
          <cell r="F853">
            <v>0</v>
          </cell>
          <cell r="G853">
            <v>0</v>
          </cell>
          <cell r="H853">
            <v>-77793.11</v>
          </cell>
          <cell r="I853">
            <v>50862.03</v>
          </cell>
          <cell r="J853">
            <v>128655.14</v>
          </cell>
          <cell r="K853">
            <v>0</v>
          </cell>
          <cell r="L853">
            <v>0</v>
          </cell>
          <cell r="M853">
            <v>29843.599999999999</v>
          </cell>
          <cell r="N853">
            <v>-11577.35</v>
          </cell>
          <cell r="O853">
            <v>-13253.48</v>
          </cell>
          <cell r="P853">
            <v>-20447.55</v>
          </cell>
          <cell r="Q853">
            <v>-24265.09</v>
          </cell>
          <cell r="R853">
            <v>-28639.93</v>
          </cell>
          <cell r="S853">
            <v>-37444.1</v>
          </cell>
          <cell r="T853">
            <v>-32102.87</v>
          </cell>
          <cell r="U853">
            <v>-46636.87</v>
          </cell>
          <cell r="V853">
            <v>-63154.04</v>
          </cell>
          <cell r="W853">
            <v>-71808.13</v>
          </cell>
          <cell r="X853">
            <v>-77793.11</v>
          </cell>
          <cell r="Y853">
            <v>-107636.71</v>
          </cell>
          <cell r="Z853">
            <v>-17871.330000000002</v>
          </cell>
          <cell r="AA853">
            <v>-24708.65</v>
          </cell>
          <cell r="AB853">
            <v>-9688.9500000000007</v>
          </cell>
          <cell r="AC853">
            <v>-30153.29</v>
          </cell>
          <cell r="AD853">
            <v>-40393.47</v>
          </cell>
          <cell r="AE853">
            <v>-38760.879999999997</v>
          </cell>
          <cell r="AF853">
            <v>-45844.21</v>
          </cell>
          <cell r="AG853">
            <v>-50014.64</v>
          </cell>
          <cell r="AH853">
            <v>-48648.800000000003</v>
          </cell>
          <cell r="AI853">
            <v>-64058.239999999998</v>
          </cell>
          <cell r="AJ853">
            <v>-54542.9</v>
          </cell>
          <cell r="AK853">
            <v>-56060.14</v>
          </cell>
          <cell r="AL853">
            <v>0</v>
          </cell>
          <cell r="AM853">
            <v>3</v>
          </cell>
          <cell r="AN853" t="str">
            <v/>
          </cell>
          <cell r="AO853">
            <v>0</v>
          </cell>
          <cell r="AP853">
            <v>0</v>
          </cell>
          <cell r="AQ853">
            <v>0</v>
          </cell>
          <cell r="AR853">
            <v>810</v>
          </cell>
          <cell r="AS853">
            <v>0</v>
          </cell>
          <cell r="AT853" t="str">
            <v/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 t="str">
            <v/>
          </cell>
          <cell r="BK853">
            <v>8000</v>
          </cell>
          <cell r="BL853" t="str">
            <v/>
          </cell>
          <cell r="BM853" t="str">
            <v>1</v>
          </cell>
          <cell r="BN853" t="str">
            <v/>
          </cell>
          <cell r="BO853" t="str">
            <v/>
          </cell>
        </row>
        <row r="854">
          <cell r="A854">
            <v>1</v>
          </cell>
          <cell r="B854">
            <v>5251004</v>
          </cell>
          <cell r="C854" t="str">
            <v>FRAIS DE GESTION</v>
          </cell>
          <cell r="D854" t="str">
            <v>BOITES</v>
          </cell>
          <cell r="E854" t="str">
            <v>O</v>
          </cell>
          <cell r="F854">
            <v>0</v>
          </cell>
          <cell r="G854">
            <v>0</v>
          </cell>
          <cell r="H854">
            <v>0</v>
          </cell>
          <cell r="I854">
            <v>11.25</v>
          </cell>
          <cell r="J854">
            <v>11.25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-10.89</v>
          </cell>
          <cell r="U854">
            <v>-11.07</v>
          </cell>
          <cell r="V854">
            <v>-11.07</v>
          </cell>
          <cell r="W854">
            <v>-11.07</v>
          </cell>
          <cell r="X854">
            <v>0</v>
          </cell>
          <cell r="Y854">
            <v>0</v>
          </cell>
          <cell r="Z854">
            <v>-1095.28</v>
          </cell>
          <cell r="AA854">
            <v>2144.2600000000002</v>
          </cell>
          <cell r="AB854">
            <v>2151.87</v>
          </cell>
          <cell r="AC854">
            <v>2263.5100000000002</v>
          </cell>
          <cell r="AD854">
            <v>2229.9899999999998</v>
          </cell>
          <cell r="AE854">
            <v>2188.83</v>
          </cell>
          <cell r="AF854">
            <v>2188.83</v>
          </cell>
          <cell r="AG854">
            <v>2172.89</v>
          </cell>
          <cell r="AH854">
            <v>2132.6799999999998</v>
          </cell>
          <cell r="AI854">
            <v>2132.6799999999998</v>
          </cell>
          <cell r="AJ854">
            <v>2132.6799999999998</v>
          </cell>
          <cell r="AK854">
            <v>2115.9499999999998</v>
          </cell>
          <cell r="AL854">
            <v>0</v>
          </cell>
          <cell r="AM854">
            <v>4</v>
          </cell>
          <cell r="AN854" t="str">
            <v/>
          </cell>
          <cell r="AO854">
            <v>0</v>
          </cell>
          <cell r="AP854">
            <v>0</v>
          </cell>
          <cell r="AQ854">
            <v>0</v>
          </cell>
          <cell r="AR854">
            <v>810</v>
          </cell>
          <cell r="AS854">
            <v>0</v>
          </cell>
          <cell r="AT854" t="str">
            <v/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 t="str">
            <v/>
          </cell>
          <cell r="BK854">
            <v>8000</v>
          </cell>
          <cell r="BL854" t="str">
            <v/>
          </cell>
          <cell r="BM854" t="str">
            <v>1</v>
          </cell>
          <cell r="BN854" t="str">
            <v/>
          </cell>
          <cell r="BO854" t="str">
            <v/>
          </cell>
        </row>
        <row r="855">
          <cell r="A855">
            <v>1</v>
          </cell>
          <cell r="B855">
            <v>5252001</v>
          </cell>
          <cell r="C855" t="str">
            <v>FRAIS DE GESTION</v>
          </cell>
          <cell r="D855" t="str">
            <v>PARTAGE PROFITS PAPIER</v>
          </cell>
          <cell r="E855" t="str">
            <v>O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1</v>
          </cell>
          <cell r="AN855" t="str">
            <v/>
          </cell>
          <cell r="AO855">
            <v>0</v>
          </cell>
          <cell r="AP855">
            <v>0</v>
          </cell>
          <cell r="AQ855">
            <v>0</v>
          </cell>
          <cell r="AR855">
            <v>690</v>
          </cell>
          <cell r="AS855">
            <v>0</v>
          </cell>
          <cell r="AT855" t="str">
            <v/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 t="str">
            <v/>
          </cell>
          <cell r="BK855">
            <v>8000</v>
          </cell>
          <cell r="BL855" t="str">
            <v>0</v>
          </cell>
          <cell r="BM855" t="str">
            <v>1</v>
          </cell>
          <cell r="BN855" t="str">
            <v/>
          </cell>
          <cell r="BO855" t="str">
            <v/>
          </cell>
        </row>
        <row r="856">
          <cell r="A856">
            <v>1</v>
          </cell>
          <cell r="B856">
            <v>5252002</v>
          </cell>
          <cell r="C856" t="str">
            <v>FRAIS DE GESTION</v>
          </cell>
          <cell r="D856" t="str">
            <v>PARTAGE PROFITS SERVIETTE</v>
          </cell>
          <cell r="E856" t="str">
            <v>O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2</v>
          </cell>
          <cell r="AN856" t="str">
            <v/>
          </cell>
          <cell r="AO856">
            <v>0</v>
          </cell>
          <cell r="AP856">
            <v>0</v>
          </cell>
          <cell r="AQ856">
            <v>0</v>
          </cell>
          <cell r="AR856">
            <v>690</v>
          </cell>
          <cell r="AS856">
            <v>0</v>
          </cell>
          <cell r="AT856" t="str">
            <v/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 t="str">
            <v/>
          </cell>
          <cell r="BK856">
            <v>8000</v>
          </cell>
          <cell r="BL856" t="str">
            <v>0</v>
          </cell>
          <cell r="BM856" t="str">
            <v>1</v>
          </cell>
          <cell r="BN856" t="str">
            <v/>
          </cell>
          <cell r="BO856" t="str">
            <v/>
          </cell>
        </row>
        <row r="857">
          <cell r="A857">
            <v>1</v>
          </cell>
          <cell r="B857">
            <v>5252003</v>
          </cell>
          <cell r="C857" t="str">
            <v>FRAIS DE GESTION</v>
          </cell>
          <cell r="D857" t="str">
            <v>PARTAGE PROFITS SACS</v>
          </cell>
          <cell r="E857" t="str">
            <v>O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3</v>
          </cell>
          <cell r="AN857" t="str">
            <v/>
          </cell>
          <cell r="AO857">
            <v>0</v>
          </cell>
          <cell r="AP857">
            <v>0</v>
          </cell>
          <cell r="AQ857">
            <v>0</v>
          </cell>
          <cell r="AR857">
            <v>690</v>
          </cell>
          <cell r="AS857">
            <v>0</v>
          </cell>
          <cell r="AT857" t="str">
            <v/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 t="str">
            <v/>
          </cell>
          <cell r="BK857">
            <v>8000</v>
          </cell>
          <cell r="BL857" t="str">
            <v>0</v>
          </cell>
          <cell r="BM857" t="str">
            <v>1</v>
          </cell>
          <cell r="BN857" t="str">
            <v/>
          </cell>
          <cell r="BO857" t="str">
            <v/>
          </cell>
        </row>
        <row r="858">
          <cell r="A858">
            <v>1</v>
          </cell>
          <cell r="B858">
            <v>5252004</v>
          </cell>
          <cell r="C858" t="str">
            <v>FRAIS DE GESTION</v>
          </cell>
          <cell r="D858" t="str">
            <v>PARTAGE PROFITS BOITES</v>
          </cell>
          <cell r="E858" t="str">
            <v>O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4</v>
          </cell>
          <cell r="AN858" t="str">
            <v/>
          </cell>
          <cell r="AO858">
            <v>0</v>
          </cell>
          <cell r="AP858">
            <v>0</v>
          </cell>
          <cell r="AQ858">
            <v>0</v>
          </cell>
          <cell r="AR858">
            <v>690</v>
          </cell>
          <cell r="AS858">
            <v>0</v>
          </cell>
          <cell r="AT858" t="str">
            <v/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 t="str">
            <v/>
          </cell>
          <cell r="BK858">
            <v>8000</v>
          </cell>
          <cell r="BL858" t="str">
            <v>0</v>
          </cell>
          <cell r="BM858" t="str">
            <v>1</v>
          </cell>
          <cell r="BN858" t="str">
            <v/>
          </cell>
          <cell r="BO858" t="str">
            <v/>
          </cell>
        </row>
        <row r="859">
          <cell r="A859">
            <v>1</v>
          </cell>
          <cell r="B859">
            <v>5309001</v>
          </cell>
          <cell r="C859" t="str">
            <v>AUTRES REVENUS NON ADMISS</v>
          </cell>
          <cell r="D859" t="str">
            <v>TRANSFERT DE DIVISION</v>
          </cell>
          <cell r="E859" t="str">
            <v>O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1</v>
          </cell>
          <cell r="AN859" t="str">
            <v/>
          </cell>
          <cell r="AO859">
            <v>0</v>
          </cell>
          <cell r="AP859">
            <v>0</v>
          </cell>
          <cell r="AQ859">
            <v>0</v>
          </cell>
          <cell r="AR859">
            <v>810</v>
          </cell>
          <cell r="AS859">
            <v>0</v>
          </cell>
          <cell r="AT859" t="str">
            <v/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 t="str">
            <v/>
          </cell>
          <cell r="BK859">
            <v>8000</v>
          </cell>
          <cell r="BL859" t="str">
            <v>0</v>
          </cell>
          <cell r="BM859" t="str">
            <v>1</v>
          </cell>
          <cell r="BN859" t="str">
            <v/>
          </cell>
          <cell r="BO859" t="str">
            <v/>
          </cell>
        </row>
        <row r="860">
          <cell r="A860">
            <v>1</v>
          </cell>
          <cell r="B860">
            <v>5309002</v>
          </cell>
          <cell r="C860" t="str">
            <v>AUTRES REVENUS NON ADMISS</v>
          </cell>
          <cell r="D860" t="str">
            <v>TRNASFERT DE DIVISION</v>
          </cell>
          <cell r="E860" t="str">
            <v>O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2</v>
          </cell>
          <cell r="AN860" t="str">
            <v/>
          </cell>
          <cell r="AO860">
            <v>0</v>
          </cell>
          <cell r="AP860">
            <v>0</v>
          </cell>
          <cell r="AQ860">
            <v>0</v>
          </cell>
          <cell r="AR860">
            <v>810</v>
          </cell>
          <cell r="AS860">
            <v>0</v>
          </cell>
          <cell r="AT860" t="str">
            <v/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 t="str">
            <v/>
          </cell>
          <cell r="BK860">
            <v>8000</v>
          </cell>
          <cell r="BL860" t="str">
            <v>0</v>
          </cell>
          <cell r="BM860" t="str">
            <v>1</v>
          </cell>
          <cell r="BN860" t="str">
            <v/>
          </cell>
          <cell r="BO860" t="str">
            <v/>
          </cell>
        </row>
        <row r="861">
          <cell r="A861">
            <v>1</v>
          </cell>
          <cell r="B861">
            <v>5309003</v>
          </cell>
          <cell r="C861" t="str">
            <v>AUTRES REVENUS NON ADMISS</v>
          </cell>
          <cell r="D861" t="str">
            <v>TRANSFERT DE DIVISION</v>
          </cell>
          <cell r="E861" t="str">
            <v>O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3</v>
          </cell>
          <cell r="AN861" t="str">
            <v/>
          </cell>
          <cell r="AO861">
            <v>0</v>
          </cell>
          <cell r="AP861">
            <v>0</v>
          </cell>
          <cell r="AQ861">
            <v>0</v>
          </cell>
          <cell r="AR861">
            <v>810</v>
          </cell>
          <cell r="AS861">
            <v>0</v>
          </cell>
          <cell r="AT861" t="str">
            <v/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 t="str">
            <v/>
          </cell>
          <cell r="BK861">
            <v>8000</v>
          </cell>
          <cell r="BL861" t="str">
            <v>0</v>
          </cell>
          <cell r="BM861" t="str">
            <v>1</v>
          </cell>
          <cell r="BN861" t="str">
            <v/>
          </cell>
          <cell r="BO861" t="str">
            <v/>
          </cell>
        </row>
        <row r="862">
          <cell r="A862">
            <v>1</v>
          </cell>
          <cell r="B862">
            <v>5309004</v>
          </cell>
          <cell r="C862" t="str">
            <v>AUTRES REVENUS NON ADMISS</v>
          </cell>
          <cell r="D862" t="str">
            <v>TRANSFERT DE DIVISION</v>
          </cell>
          <cell r="E862" t="str">
            <v>O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4</v>
          </cell>
          <cell r="AN862" t="str">
            <v/>
          </cell>
          <cell r="AO862">
            <v>0</v>
          </cell>
          <cell r="AP862">
            <v>0</v>
          </cell>
          <cell r="AQ862">
            <v>0</v>
          </cell>
          <cell r="AR862">
            <v>810</v>
          </cell>
          <cell r="AS862">
            <v>0</v>
          </cell>
          <cell r="AT862" t="str">
            <v/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 t="str">
            <v/>
          </cell>
          <cell r="BK862">
            <v>8000</v>
          </cell>
          <cell r="BL862" t="str">
            <v>0</v>
          </cell>
          <cell r="BM862" t="str">
            <v>1</v>
          </cell>
          <cell r="BN862" t="str">
            <v/>
          </cell>
          <cell r="BO862" t="str">
            <v/>
          </cell>
        </row>
        <row r="863">
          <cell r="A863">
            <v>1</v>
          </cell>
          <cell r="B863">
            <v>5319001</v>
          </cell>
          <cell r="C863" t="str">
            <v>AUTRES DEPENSE NON ADMISS</v>
          </cell>
          <cell r="D863" t="str">
            <v>TRANSFERT DE DIVISION</v>
          </cell>
          <cell r="E863" t="str">
            <v>O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1</v>
          </cell>
          <cell r="AN863" t="str">
            <v/>
          </cell>
          <cell r="AO863">
            <v>0</v>
          </cell>
          <cell r="AP863">
            <v>0</v>
          </cell>
          <cell r="AQ863">
            <v>0</v>
          </cell>
          <cell r="AR863">
            <v>810</v>
          </cell>
          <cell r="AS863">
            <v>0</v>
          </cell>
          <cell r="AT863" t="str">
            <v/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 t="str">
            <v/>
          </cell>
          <cell r="BK863">
            <v>8000</v>
          </cell>
          <cell r="BL863" t="str">
            <v>0</v>
          </cell>
          <cell r="BM863" t="str">
            <v>1</v>
          </cell>
          <cell r="BN863" t="str">
            <v/>
          </cell>
          <cell r="BO863" t="str">
            <v/>
          </cell>
        </row>
        <row r="864">
          <cell r="A864">
            <v>1</v>
          </cell>
          <cell r="B864">
            <v>5319002</v>
          </cell>
          <cell r="C864" t="str">
            <v>AUTRES DEPENSE NON ADMISS</v>
          </cell>
          <cell r="D864" t="str">
            <v>TRANSFERT DE DIVISION</v>
          </cell>
          <cell r="E864" t="str">
            <v>O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2</v>
          </cell>
          <cell r="AN864" t="str">
            <v/>
          </cell>
          <cell r="AO864">
            <v>0</v>
          </cell>
          <cell r="AP864">
            <v>0</v>
          </cell>
          <cell r="AQ864">
            <v>0</v>
          </cell>
          <cell r="AR864">
            <v>810</v>
          </cell>
          <cell r="AS864">
            <v>0</v>
          </cell>
          <cell r="AT864" t="str">
            <v/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 t="str">
            <v/>
          </cell>
          <cell r="BK864">
            <v>8000</v>
          </cell>
          <cell r="BL864" t="str">
            <v>0</v>
          </cell>
          <cell r="BM864" t="str">
            <v>1</v>
          </cell>
          <cell r="BN864" t="str">
            <v/>
          </cell>
          <cell r="BO864" t="str">
            <v/>
          </cell>
        </row>
        <row r="865">
          <cell r="A865">
            <v>1</v>
          </cell>
          <cell r="B865">
            <v>5319003</v>
          </cell>
          <cell r="C865" t="str">
            <v>AUTRES DEPENSE NON ADMISS</v>
          </cell>
          <cell r="D865" t="str">
            <v>TRANSFERT DE DIVISION</v>
          </cell>
          <cell r="E865" t="str">
            <v>O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3</v>
          </cell>
          <cell r="AN865" t="str">
            <v/>
          </cell>
          <cell r="AO865">
            <v>0</v>
          </cell>
          <cell r="AP865">
            <v>0</v>
          </cell>
          <cell r="AQ865">
            <v>0</v>
          </cell>
          <cell r="AR865">
            <v>810</v>
          </cell>
          <cell r="AS865">
            <v>0</v>
          </cell>
          <cell r="AT865" t="str">
            <v/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 t="str">
            <v/>
          </cell>
          <cell r="BK865">
            <v>8000</v>
          </cell>
          <cell r="BL865" t="str">
            <v>0</v>
          </cell>
          <cell r="BM865" t="str">
            <v>1</v>
          </cell>
          <cell r="BN865" t="str">
            <v/>
          </cell>
          <cell r="BO865" t="str">
            <v/>
          </cell>
        </row>
        <row r="866">
          <cell r="A866">
            <v>1</v>
          </cell>
          <cell r="B866">
            <v>5319004</v>
          </cell>
          <cell r="C866" t="str">
            <v>AUTRES DEPENSE NON ADMISS</v>
          </cell>
          <cell r="D866" t="str">
            <v>TRANSFERT DE DIVISION</v>
          </cell>
          <cell r="E866" t="str">
            <v>O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4</v>
          </cell>
          <cell r="AN866" t="str">
            <v/>
          </cell>
          <cell r="AO866">
            <v>0</v>
          </cell>
          <cell r="AP866">
            <v>0</v>
          </cell>
          <cell r="AQ866">
            <v>0</v>
          </cell>
          <cell r="AR866">
            <v>810</v>
          </cell>
          <cell r="AS866">
            <v>0</v>
          </cell>
          <cell r="AT866" t="str">
            <v/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 t="str">
            <v/>
          </cell>
          <cell r="BK866">
            <v>8000</v>
          </cell>
          <cell r="BL866" t="str">
            <v>0</v>
          </cell>
          <cell r="BM866" t="str">
            <v>1</v>
          </cell>
          <cell r="BN866" t="str">
            <v/>
          </cell>
          <cell r="BO866" t="str">
            <v/>
          </cell>
        </row>
        <row r="867">
          <cell r="A867">
            <v>1</v>
          </cell>
          <cell r="B867">
            <v>5351001</v>
          </cell>
          <cell r="C867" t="str">
            <v>AMORTISSEMENT</v>
          </cell>
          <cell r="D867" t="str">
            <v>PAPIER</v>
          </cell>
          <cell r="E867" t="str">
            <v>N</v>
          </cell>
          <cell r="F867">
            <v>0</v>
          </cell>
          <cell r="G867">
            <v>0</v>
          </cell>
          <cell r="H867">
            <v>2459662.69</v>
          </cell>
          <cell r="I867">
            <v>2687924.66</v>
          </cell>
          <cell r="J867">
            <v>228261.97</v>
          </cell>
          <cell r="K867">
            <v>0</v>
          </cell>
          <cell r="L867">
            <v>234236.76</v>
          </cell>
          <cell r="M867">
            <v>0</v>
          </cell>
          <cell r="N867">
            <v>214976.55</v>
          </cell>
          <cell r="O867">
            <v>430079.17</v>
          </cell>
          <cell r="P867">
            <v>645123.56000000006</v>
          </cell>
          <cell r="Q867">
            <v>860197.81</v>
          </cell>
          <cell r="R867">
            <v>1089304.8</v>
          </cell>
          <cell r="S867">
            <v>1315249.18</v>
          </cell>
          <cell r="T867">
            <v>1541737.69</v>
          </cell>
          <cell r="U867">
            <v>1768901.98</v>
          </cell>
          <cell r="V867">
            <v>1997163.95</v>
          </cell>
          <cell r="W867">
            <v>2225425.92</v>
          </cell>
          <cell r="X867">
            <v>2459662.69</v>
          </cell>
          <cell r="Y867">
            <v>2693899.45</v>
          </cell>
          <cell r="Z867">
            <v>196504.43</v>
          </cell>
          <cell r="AA867">
            <v>397003.43</v>
          </cell>
          <cell r="AB867">
            <v>588808.54</v>
          </cell>
          <cell r="AC867">
            <v>795071.42</v>
          </cell>
          <cell r="AD867">
            <v>1002235.54</v>
          </cell>
          <cell r="AE867">
            <v>1193842.19</v>
          </cell>
          <cell r="AF867">
            <v>1399329.82</v>
          </cell>
          <cell r="AG867">
            <v>1605064.95</v>
          </cell>
          <cell r="AH867">
            <v>1811766.38</v>
          </cell>
          <cell r="AI867">
            <v>2019573.58</v>
          </cell>
          <cell r="AJ867">
            <v>2228016.66</v>
          </cell>
          <cell r="AK867">
            <v>2436656.2000000002</v>
          </cell>
          <cell r="AL867">
            <v>0</v>
          </cell>
          <cell r="AM867">
            <v>1</v>
          </cell>
          <cell r="AN867" t="str">
            <v/>
          </cell>
          <cell r="AO867">
            <v>0</v>
          </cell>
          <cell r="AP867">
            <v>0</v>
          </cell>
          <cell r="AQ867">
            <v>0</v>
          </cell>
          <cell r="AR867">
            <v>850</v>
          </cell>
          <cell r="AS867">
            <v>0</v>
          </cell>
          <cell r="AT867" t="str">
            <v/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 t="str">
            <v/>
          </cell>
          <cell r="BK867">
            <v>8500</v>
          </cell>
          <cell r="BL867" t="str">
            <v>0</v>
          </cell>
          <cell r="BM867" t="str">
            <v>1</v>
          </cell>
          <cell r="BN867" t="str">
            <v/>
          </cell>
          <cell r="BO867" t="str">
            <v/>
          </cell>
        </row>
        <row r="868">
          <cell r="A868">
            <v>1</v>
          </cell>
          <cell r="B868">
            <v>5391001</v>
          </cell>
          <cell r="C868" t="str">
            <v>IMPOTS EXIGIBLES</v>
          </cell>
          <cell r="D868" t="str">
            <v>IMPOTS PAPIER</v>
          </cell>
          <cell r="E868" t="str">
            <v>N</v>
          </cell>
          <cell r="F868">
            <v>0</v>
          </cell>
          <cell r="G868">
            <v>0</v>
          </cell>
          <cell r="H868">
            <v>669739.66</v>
          </cell>
          <cell r="I868">
            <v>767977.81</v>
          </cell>
          <cell r="J868">
            <v>98238.15</v>
          </cell>
          <cell r="K868">
            <v>0</v>
          </cell>
          <cell r="L868">
            <v>129257.47</v>
          </cell>
          <cell r="M868">
            <v>0</v>
          </cell>
          <cell r="N868">
            <v>23488.05</v>
          </cell>
          <cell r="O868">
            <v>44770.55</v>
          </cell>
          <cell r="P868">
            <v>78046.22</v>
          </cell>
          <cell r="Q868">
            <v>102558.59</v>
          </cell>
          <cell r="R868">
            <v>180874.32</v>
          </cell>
          <cell r="S868">
            <v>207527.09</v>
          </cell>
          <cell r="T868">
            <v>320043.96000000002</v>
          </cell>
          <cell r="U868">
            <v>380259.87</v>
          </cell>
          <cell r="V868">
            <v>467226.64</v>
          </cell>
          <cell r="W868">
            <v>558058.18999999994</v>
          </cell>
          <cell r="X868">
            <v>669739.66</v>
          </cell>
          <cell r="Y868">
            <v>798997.13</v>
          </cell>
          <cell r="Z868">
            <v>-27182.2</v>
          </cell>
          <cell r="AA868">
            <v>-39459.9</v>
          </cell>
          <cell r="AB868">
            <v>-14860.76</v>
          </cell>
          <cell r="AC868">
            <v>37772.870000000003</v>
          </cell>
          <cell r="AD868">
            <v>78454.87</v>
          </cell>
          <cell r="AE868">
            <v>121904.18</v>
          </cell>
          <cell r="AF868">
            <v>138630.18</v>
          </cell>
          <cell r="AG868">
            <v>155518.76</v>
          </cell>
          <cell r="AH868">
            <v>179612.61</v>
          </cell>
          <cell r="AI868">
            <v>197549.93</v>
          </cell>
          <cell r="AJ868">
            <v>229721.01</v>
          </cell>
          <cell r="AK868">
            <v>256609.01</v>
          </cell>
          <cell r="AL868">
            <v>0</v>
          </cell>
          <cell r="AM868">
            <v>1</v>
          </cell>
          <cell r="AN868" t="str">
            <v/>
          </cell>
          <cell r="AO868">
            <v>0</v>
          </cell>
          <cell r="AP868">
            <v>0</v>
          </cell>
          <cell r="AQ868">
            <v>0</v>
          </cell>
          <cell r="AR868">
            <v>950</v>
          </cell>
          <cell r="AS868">
            <v>0</v>
          </cell>
          <cell r="AT868" t="str">
            <v/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 t="str">
            <v/>
          </cell>
          <cell r="BK868">
            <v>8800</v>
          </cell>
          <cell r="BL868" t="str">
            <v>0</v>
          </cell>
          <cell r="BM868" t="str">
            <v>1</v>
          </cell>
          <cell r="BN868" t="str">
            <v/>
          </cell>
          <cell r="BO868" t="str">
            <v/>
          </cell>
        </row>
        <row r="869">
          <cell r="A869">
            <v>1</v>
          </cell>
          <cell r="B869">
            <v>5401001</v>
          </cell>
          <cell r="C869" t="str">
            <v>IMPOT REPORTE</v>
          </cell>
          <cell r="D869" t="str">
            <v/>
          </cell>
          <cell r="E869" t="str">
            <v>N</v>
          </cell>
          <cell r="F869">
            <v>0</v>
          </cell>
          <cell r="G869">
            <v>0</v>
          </cell>
          <cell r="H869">
            <v>43374.49</v>
          </cell>
          <cell r="I869">
            <v>49923.68</v>
          </cell>
          <cell r="J869">
            <v>6549.19</v>
          </cell>
          <cell r="K869">
            <v>0</v>
          </cell>
          <cell r="L869">
            <v>8617.16</v>
          </cell>
          <cell r="M869">
            <v>0</v>
          </cell>
          <cell r="N869">
            <v>1565.87</v>
          </cell>
          <cell r="O869">
            <v>2984.7</v>
          </cell>
          <cell r="P869">
            <v>5203.08</v>
          </cell>
          <cell r="Q869">
            <v>6837.24</v>
          </cell>
          <cell r="R869">
            <v>12058.29</v>
          </cell>
          <cell r="S869">
            <v>13835.14</v>
          </cell>
          <cell r="T869">
            <v>21336.26</v>
          </cell>
          <cell r="U869">
            <v>25350.65</v>
          </cell>
          <cell r="V869">
            <v>31148.43</v>
          </cell>
          <cell r="W869">
            <v>35929.040000000001</v>
          </cell>
          <cell r="X869">
            <v>43374.49</v>
          </cell>
          <cell r="Y869">
            <v>51991.65</v>
          </cell>
          <cell r="Z869">
            <v>-18121.46</v>
          </cell>
          <cell r="AA869">
            <v>-26306.6</v>
          </cell>
          <cell r="AB869">
            <v>-9907.17</v>
          </cell>
          <cell r="AC869">
            <v>25181.919999999998</v>
          </cell>
          <cell r="AD869">
            <v>52303.92</v>
          </cell>
          <cell r="AE869">
            <v>81270.13</v>
          </cell>
          <cell r="AF869">
            <v>92420.13</v>
          </cell>
          <cell r="AG869">
            <v>103679.19</v>
          </cell>
          <cell r="AH869">
            <v>119741.75999999999</v>
          </cell>
          <cell r="AI869">
            <v>131699.98000000001</v>
          </cell>
          <cell r="AJ869">
            <v>153147.35999999999</v>
          </cell>
          <cell r="AK869">
            <v>171072.36</v>
          </cell>
          <cell r="AL869">
            <v>0</v>
          </cell>
          <cell r="AM869">
            <v>1</v>
          </cell>
          <cell r="AN869" t="str">
            <v/>
          </cell>
          <cell r="AO869">
            <v>0</v>
          </cell>
          <cell r="AP869">
            <v>0</v>
          </cell>
          <cell r="AQ869">
            <v>0</v>
          </cell>
          <cell r="AR869">
            <v>960</v>
          </cell>
          <cell r="AS869">
            <v>0</v>
          </cell>
          <cell r="AT869" t="str">
            <v/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 t="str">
            <v/>
          </cell>
          <cell r="BK869">
            <v>8900</v>
          </cell>
          <cell r="BL869" t="str">
            <v/>
          </cell>
          <cell r="BM869" t="str">
            <v>1</v>
          </cell>
          <cell r="BN869" t="str">
            <v/>
          </cell>
          <cell r="BO869" t="str">
            <v/>
          </cell>
        </row>
        <row r="870">
          <cell r="A870">
            <v>1</v>
          </cell>
          <cell r="B870">
            <v>1127005</v>
          </cell>
          <cell r="C870" t="str">
            <v>C.A.R. (TVH)</v>
          </cell>
          <cell r="D870" t="str">
            <v>TVH A RECEVOIR</v>
          </cell>
          <cell r="E870" t="str">
            <v>N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5</v>
          </cell>
          <cell r="AN870" t="str">
            <v/>
          </cell>
          <cell r="AO870">
            <v>0</v>
          </cell>
          <cell r="AP870">
            <v>0</v>
          </cell>
          <cell r="AQ870">
            <v>0</v>
          </cell>
          <cell r="AR870">
            <v>50</v>
          </cell>
          <cell r="AS870">
            <v>0</v>
          </cell>
          <cell r="AT870" t="str">
            <v/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 t="str">
            <v/>
          </cell>
          <cell r="BK870">
            <v>1100</v>
          </cell>
          <cell r="BL870" t="str">
            <v>0</v>
          </cell>
          <cell r="BM870" t="str">
            <v>1</v>
          </cell>
          <cell r="BN870" t="str">
            <v/>
          </cell>
          <cell r="BO870" t="str">
            <v/>
          </cell>
        </row>
        <row r="871">
          <cell r="A871">
            <v>1</v>
          </cell>
          <cell r="B871">
            <v>2117005</v>
          </cell>
          <cell r="C871" t="str">
            <v>C.A.P</v>
          </cell>
          <cell r="D871" t="str">
            <v>TVH A PAYER</v>
          </cell>
          <cell r="E871" t="str">
            <v>N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5</v>
          </cell>
          <cell r="AN871" t="str">
            <v/>
          </cell>
          <cell r="AO871">
            <v>0</v>
          </cell>
          <cell r="AP871">
            <v>0</v>
          </cell>
          <cell r="AQ871">
            <v>0</v>
          </cell>
          <cell r="AR871">
            <v>420</v>
          </cell>
          <cell r="AS871">
            <v>0</v>
          </cell>
          <cell r="AT871" t="str">
            <v/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 t="str">
            <v/>
          </cell>
          <cell r="BK871">
            <v>2100</v>
          </cell>
          <cell r="BL871" t="str">
            <v>0</v>
          </cell>
          <cell r="BM871" t="str">
            <v>1</v>
          </cell>
          <cell r="BN871" t="str">
            <v/>
          </cell>
          <cell r="BO871" t="str">
            <v/>
          </cell>
        </row>
        <row r="872">
          <cell r="A872">
            <v>1</v>
          </cell>
          <cell r="B872">
            <v>4119001</v>
          </cell>
          <cell r="C872" t="str">
            <v>VENTES</v>
          </cell>
          <cell r="D872" t="str">
            <v>TRANSFERT DIVISION PAPIER</v>
          </cell>
          <cell r="E872" t="str">
            <v>O</v>
          </cell>
          <cell r="F872">
            <v>0</v>
          </cell>
          <cell r="G872">
            <v>0</v>
          </cell>
          <cell r="H872">
            <v>-324.47000000000003</v>
          </cell>
          <cell r="I872">
            <v>7215.7</v>
          </cell>
          <cell r="J872">
            <v>6891.23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234</v>
          </cell>
          <cell r="Q872">
            <v>967</v>
          </cell>
          <cell r="R872">
            <v>1245.01</v>
          </cell>
          <cell r="S872">
            <v>1245.01</v>
          </cell>
          <cell r="T872">
            <v>942.01</v>
          </cell>
          <cell r="U872">
            <v>-7.99</v>
          </cell>
          <cell r="V872">
            <v>524.01</v>
          </cell>
          <cell r="W872">
            <v>-324.47000000000003</v>
          </cell>
          <cell r="X872">
            <v>-324.47000000000003</v>
          </cell>
          <cell r="Y872">
            <v>-324.47000000000003</v>
          </cell>
          <cell r="Z872">
            <v>0</v>
          </cell>
          <cell r="AA872">
            <v>0</v>
          </cell>
          <cell r="AB872">
            <v>0</v>
          </cell>
          <cell r="AC872">
            <v>-759</v>
          </cell>
          <cell r="AD872">
            <v>-759</v>
          </cell>
          <cell r="AE872">
            <v>-1095</v>
          </cell>
          <cell r="AF872">
            <v>-1003</v>
          </cell>
          <cell r="AG872">
            <v>-1250</v>
          </cell>
          <cell r="AH872">
            <v>-3725.2</v>
          </cell>
          <cell r="AI872">
            <v>-3655.2</v>
          </cell>
          <cell r="AJ872">
            <v>-3908.2</v>
          </cell>
          <cell r="AK872">
            <v>-4010.2</v>
          </cell>
          <cell r="AL872">
            <v>0</v>
          </cell>
          <cell r="AM872">
            <v>1</v>
          </cell>
          <cell r="AN872" t="str">
            <v/>
          </cell>
          <cell r="AO872">
            <v>0</v>
          </cell>
          <cell r="AP872">
            <v>0</v>
          </cell>
          <cell r="AQ872">
            <v>0</v>
          </cell>
          <cell r="AR872">
            <v>600</v>
          </cell>
          <cell r="AS872">
            <v>0</v>
          </cell>
          <cell r="AT872" t="str">
            <v/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 t="str">
            <v/>
          </cell>
          <cell r="BK872">
            <v>4000</v>
          </cell>
          <cell r="BL872" t="str">
            <v>0</v>
          </cell>
          <cell r="BM872" t="str">
            <v>1</v>
          </cell>
          <cell r="BN872" t="str">
            <v/>
          </cell>
          <cell r="BO872" t="str">
            <v/>
          </cell>
        </row>
        <row r="873">
          <cell r="A873">
            <v>1</v>
          </cell>
          <cell r="B873">
            <v>4119002</v>
          </cell>
          <cell r="C873" t="str">
            <v>VENTES</v>
          </cell>
          <cell r="D873" t="str">
            <v>TRANSFERT DIV. SERVIETTE</v>
          </cell>
          <cell r="E873" t="str">
            <v>O</v>
          </cell>
          <cell r="F873">
            <v>0</v>
          </cell>
          <cell r="G873">
            <v>0</v>
          </cell>
          <cell r="H873">
            <v>-80447.97</v>
          </cell>
          <cell r="I873">
            <v>588692.61</v>
          </cell>
          <cell r="J873">
            <v>508244.64</v>
          </cell>
          <cell r="K873">
            <v>0</v>
          </cell>
          <cell r="L873">
            <v>52644</v>
          </cell>
          <cell r="M873">
            <v>207.36</v>
          </cell>
          <cell r="N873">
            <v>8031</v>
          </cell>
          <cell r="O873">
            <v>-1294</v>
          </cell>
          <cell r="P873">
            <v>4514</v>
          </cell>
          <cell r="Q873">
            <v>21286</v>
          </cell>
          <cell r="R873">
            <v>21286</v>
          </cell>
          <cell r="S873">
            <v>-13906.22</v>
          </cell>
          <cell r="T873">
            <v>-20439.36</v>
          </cell>
          <cell r="U873">
            <v>-33278.36</v>
          </cell>
          <cell r="V873">
            <v>-20277.97</v>
          </cell>
          <cell r="W873">
            <v>-47310.97</v>
          </cell>
          <cell r="X873">
            <v>-80447.97</v>
          </cell>
          <cell r="Y873">
            <v>-132884.60999999999</v>
          </cell>
          <cell r="Z873">
            <v>63094.080000000002</v>
          </cell>
          <cell r="AA873">
            <v>214129.35</v>
          </cell>
          <cell r="AB873">
            <v>87205.23</v>
          </cell>
          <cell r="AC873">
            <v>122769.51</v>
          </cell>
          <cell r="AD873">
            <v>56457.760000000002</v>
          </cell>
          <cell r="AE873">
            <v>-102128.28</v>
          </cell>
          <cell r="AF873">
            <v>-421495.25</v>
          </cell>
          <cell r="AG873">
            <v>-157093.17000000001</v>
          </cell>
          <cell r="AH873">
            <v>-229800.02</v>
          </cell>
          <cell r="AI873">
            <v>-226538.15</v>
          </cell>
          <cell r="AJ873">
            <v>-233760.29</v>
          </cell>
          <cell r="AK873">
            <v>-234138.95</v>
          </cell>
          <cell r="AL873">
            <v>0</v>
          </cell>
          <cell r="AM873">
            <v>2</v>
          </cell>
          <cell r="AN873" t="str">
            <v/>
          </cell>
          <cell r="AO873">
            <v>0</v>
          </cell>
          <cell r="AP873">
            <v>0</v>
          </cell>
          <cell r="AQ873">
            <v>0</v>
          </cell>
          <cell r="AR873">
            <v>600</v>
          </cell>
          <cell r="AS873">
            <v>0</v>
          </cell>
          <cell r="AT873" t="str">
            <v/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 t="str">
            <v/>
          </cell>
          <cell r="BK873">
            <v>4000</v>
          </cell>
          <cell r="BL873" t="str">
            <v>0</v>
          </cell>
          <cell r="BM873" t="str">
            <v>1</v>
          </cell>
          <cell r="BN873" t="str">
            <v/>
          </cell>
          <cell r="BO873" t="str">
            <v/>
          </cell>
        </row>
        <row r="874">
          <cell r="A874">
            <v>1</v>
          </cell>
          <cell r="B874">
            <v>4119003</v>
          </cell>
          <cell r="C874" t="str">
            <v>VENTES</v>
          </cell>
          <cell r="D874" t="str">
            <v>TRANSFERT DIVISION SACS</v>
          </cell>
          <cell r="E874" t="str">
            <v>O</v>
          </cell>
          <cell r="F874">
            <v>0</v>
          </cell>
          <cell r="G874">
            <v>0</v>
          </cell>
          <cell r="H874">
            <v>103732.39</v>
          </cell>
          <cell r="I874">
            <v>58380.56</v>
          </cell>
          <cell r="J874">
            <v>162112.95000000001</v>
          </cell>
          <cell r="K874">
            <v>0</v>
          </cell>
          <cell r="L874">
            <v>9902.85</v>
          </cell>
          <cell r="M874">
            <v>7745.65</v>
          </cell>
          <cell r="N874">
            <v>15016.04</v>
          </cell>
          <cell r="O874">
            <v>24155.07</v>
          </cell>
          <cell r="P874">
            <v>31024.67</v>
          </cell>
          <cell r="Q874">
            <v>40830.53</v>
          </cell>
          <cell r="R874">
            <v>55262.59</v>
          </cell>
          <cell r="S874">
            <v>58316.76</v>
          </cell>
          <cell r="T874">
            <v>65532.41</v>
          </cell>
          <cell r="U874">
            <v>72907.039999999994</v>
          </cell>
          <cell r="V874">
            <v>89182.82</v>
          </cell>
          <cell r="W874">
            <v>93487.65</v>
          </cell>
          <cell r="X874">
            <v>103732.39</v>
          </cell>
          <cell r="Y874">
            <v>101575.19</v>
          </cell>
          <cell r="Z874">
            <v>16703.82</v>
          </cell>
          <cell r="AA874">
            <v>25606.6</v>
          </cell>
          <cell r="AB874">
            <v>31051.63</v>
          </cell>
          <cell r="AC874">
            <v>37574.01</v>
          </cell>
          <cell r="AD874">
            <v>49615.99</v>
          </cell>
          <cell r="AE874">
            <v>63866.85</v>
          </cell>
          <cell r="AF874">
            <v>56201.53</v>
          </cell>
          <cell r="AG874">
            <v>102124.9</v>
          </cell>
          <cell r="AH874">
            <v>112690.43</v>
          </cell>
          <cell r="AI874">
            <v>130803.63</v>
          </cell>
          <cell r="AJ874">
            <v>215549.85</v>
          </cell>
          <cell r="AK874">
            <v>155471.56</v>
          </cell>
          <cell r="AL874">
            <v>0</v>
          </cell>
          <cell r="AM874">
            <v>3</v>
          </cell>
          <cell r="AN874" t="str">
            <v/>
          </cell>
          <cell r="AO874">
            <v>0</v>
          </cell>
          <cell r="AP874">
            <v>0</v>
          </cell>
          <cell r="AQ874">
            <v>0</v>
          </cell>
          <cell r="AR874">
            <v>600</v>
          </cell>
          <cell r="AS874">
            <v>0</v>
          </cell>
          <cell r="AT874" t="str">
            <v/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 t="str">
            <v/>
          </cell>
          <cell r="BK874">
            <v>4000</v>
          </cell>
          <cell r="BL874" t="str">
            <v>0</v>
          </cell>
          <cell r="BM874" t="str">
            <v>1</v>
          </cell>
          <cell r="BN874" t="str">
            <v/>
          </cell>
          <cell r="BO874" t="str">
            <v/>
          </cell>
        </row>
        <row r="875">
          <cell r="A875">
            <v>1</v>
          </cell>
          <cell r="B875">
            <v>4119004</v>
          </cell>
          <cell r="C875" t="str">
            <v>VENTES</v>
          </cell>
          <cell r="D875" t="str">
            <v>TRANFERTS DIVISION BOITES</v>
          </cell>
          <cell r="E875" t="str">
            <v>O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4</v>
          </cell>
          <cell r="AN875" t="str">
            <v/>
          </cell>
          <cell r="AO875">
            <v>0</v>
          </cell>
          <cell r="AP875">
            <v>0</v>
          </cell>
          <cell r="AQ875">
            <v>0</v>
          </cell>
          <cell r="AR875">
            <v>600</v>
          </cell>
          <cell r="AS875">
            <v>0</v>
          </cell>
          <cell r="AT875" t="str">
            <v/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 t="str">
            <v/>
          </cell>
          <cell r="BK875">
            <v>4000</v>
          </cell>
          <cell r="BL875" t="str">
            <v>0</v>
          </cell>
          <cell r="BM875" t="str">
            <v>1</v>
          </cell>
          <cell r="BN875" t="str">
            <v/>
          </cell>
          <cell r="BO875" t="str">
            <v/>
          </cell>
        </row>
        <row r="876">
          <cell r="A876">
            <v>1</v>
          </cell>
          <cell r="B876">
            <v>4139001</v>
          </cell>
          <cell r="C876" t="str">
            <v>ESCOMPTES</v>
          </cell>
          <cell r="D876" t="str">
            <v>TRANSFERT DIVISION PAPIER</v>
          </cell>
          <cell r="E876" t="str">
            <v>O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304.49</v>
          </cell>
          <cell r="AA876">
            <v>304.49</v>
          </cell>
          <cell r="AB876">
            <v>304.49</v>
          </cell>
          <cell r="AC876">
            <v>304.49</v>
          </cell>
          <cell r="AD876">
            <v>304.49</v>
          </cell>
          <cell r="AE876">
            <v>304.49</v>
          </cell>
          <cell r="AF876">
            <v>304.49</v>
          </cell>
          <cell r="AG876">
            <v>304.49</v>
          </cell>
          <cell r="AH876">
            <v>304.49</v>
          </cell>
          <cell r="AI876">
            <v>304.49</v>
          </cell>
          <cell r="AJ876">
            <v>304.49</v>
          </cell>
          <cell r="AK876">
            <v>304.49</v>
          </cell>
          <cell r="AL876">
            <v>0</v>
          </cell>
          <cell r="AM876">
            <v>1</v>
          </cell>
          <cell r="AN876" t="str">
            <v/>
          </cell>
          <cell r="AO876">
            <v>0</v>
          </cell>
          <cell r="AP876">
            <v>0</v>
          </cell>
          <cell r="AQ876">
            <v>0</v>
          </cell>
          <cell r="AR876">
            <v>600</v>
          </cell>
          <cell r="AS876">
            <v>0</v>
          </cell>
          <cell r="AT876" t="str">
            <v/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 t="str">
            <v/>
          </cell>
          <cell r="BK876">
            <v>4300</v>
          </cell>
          <cell r="BL876" t="str">
            <v>0</v>
          </cell>
          <cell r="BM876" t="str">
            <v>1</v>
          </cell>
          <cell r="BN876" t="str">
            <v/>
          </cell>
          <cell r="BO876" t="str">
            <v/>
          </cell>
        </row>
        <row r="877">
          <cell r="A877">
            <v>1</v>
          </cell>
          <cell r="B877">
            <v>4139002</v>
          </cell>
          <cell r="C877" t="str">
            <v>ESCOMPTES</v>
          </cell>
          <cell r="D877" t="str">
            <v>TRANSFERT DIV. SERVIETTES</v>
          </cell>
          <cell r="E877" t="str">
            <v>O</v>
          </cell>
          <cell r="F877">
            <v>0</v>
          </cell>
          <cell r="G877">
            <v>0</v>
          </cell>
          <cell r="H877">
            <v>1924282.79</v>
          </cell>
          <cell r="I877">
            <v>4177506.32</v>
          </cell>
          <cell r="J877">
            <v>2253223.5299999998</v>
          </cell>
          <cell r="K877">
            <v>0</v>
          </cell>
          <cell r="L877">
            <v>191870.16</v>
          </cell>
          <cell r="M877">
            <v>260616</v>
          </cell>
          <cell r="N877">
            <v>383995.14</v>
          </cell>
          <cell r="O877">
            <v>705265.22</v>
          </cell>
          <cell r="P877">
            <v>898068.97</v>
          </cell>
          <cell r="Q877">
            <v>1196516.6499999999</v>
          </cell>
          <cell r="R877">
            <v>1351599.65</v>
          </cell>
          <cell r="S877">
            <v>1307031.6499999999</v>
          </cell>
          <cell r="T877">
            <v>1371202.65</v>
          </cell>
          <cell r="U877">
            <v>1523766.8</v>
          </cell>
          <cell r="V877">
            <v>1714237.15</v>
          </cell>
          <cell r="W877">
            <v>1737244.53</v>
          </cell>
          <cell r="X877">
            <v>1924282.79</v>
          </cell>
          <cell r="Y877">
            <v>1855536.95</v>
          </cell>
          <cell r="Z877">
            <v>311585.84000000003</v>
          </cell>
          <cell r="AA877">
            <v>536073.51</v>
          </cell>
          <cell r="AB877">
            <v>817265.89</v>
          </cell>
          <cell r="AC877">
            <v>997288.19</v>
          </cell>
          <cell r="AD877">
            <v>1144677.05</v>
          </cell>
          <cell r="AE877">
            <v>1331838.95</v>
          </cell>
          <cell r="AF877">
            <v>1593351.95</v>
          </cell>
          <cell r="AG877">
            <v>1816013.95</v>
          </cell>
          <cell r="AH877">
            <v>2070513.95</v>
          </cell>
          <cell r="AI877">
            <v>2288208.06</v>
          </cell>
          <cell r="AJ877">
            <v>2600035.4300000002</v>
          </cell>
          <cell r="AK877">
            <v>2942786.56</v>
          </cell>
          <cell r="AL877">
            <v>0</v>
          </cell>
          <cell r="AM877">
            <v>2</v>
          </cell>
          <cell r="AN877" t="str">
            <v/>
          </cell>
          <cell r="AO877">
            <v>0</v>
          </cell>
          <cell r="AP877">
            <v>0</v>
          </cell>
          <cell r="AQ877">
            <v>0</v>
          </cell>
          <cell r="AR877">
            <v>600</v>
          </cell>
          <cell r="AS877">
            <v>0</v>
          </cell>
          <cell r="AT877" t="str">
            <v/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 t="str">
            <v/>
          </cell>
          <cell r="BK877">
            <v>4300</v>
          </cell>
          <cell r="BL877" t="str">
            <v>0</v>
          </cell>
          <cell r="BM877" t="str">
            <v>1</v>
          </cell>
          <cell r="BN877" t="str">
            <v/>
          </cell>
          <cell r="BO877" t="str">
            <v/>
          </cell>
        </row>
        <row r="878">
          <cell r="A878">
            <v>1</v>
          </cell>
          <cell r="B878">
            <v>4139003</v>
          </cell>
          <cell r="C878" t="str">
            <v>ESCOMPTES</v>
          </cell>
          <cell r="D878" t="str">
            <v>TRANSFERT DIVISION SACS</v>
          </cell>
          <cell r="E878" t="str">
            <v>O</v>
          </cell>
          <cell r="F878">
            <v>0</v>
          </cell>
          <cell r="G878">
            <v>0</v>
          </cell>
          <cell r="H878">
            <v>399960.96</v>
          </cell>
          <cell r="I878">
            <v>669681.34</v>
          </cell>
          <cell r="J878">
            <v>269720.38</v>
          </cell>
          <cell r="K878">
            <v>0</v>
          </cell>
          <cell r="L878">
            <v>29627.02</v>
          </cell>
          <cell r="M878">
            <v>17748</v>
          </cell>
          <cell r="N878">
            <v>25183.37</v>
          </cell>
          <cell r="O878">
            <v>52377.04</v>
          </cell>
          <cell r="P878">
            <v>85651.92</v>
          </cell>
          <cell r="Q878">
            <v>113395.93</v>
          </cell>
          <cell r="R878">
            <v>175658.64</v>
          </cell>
          <cell r="S878">
            <v>221529.34</v>
          </cell>
          <cell r="T878">
            <v>255453.38</v>
          </cell>
          <cell r="U878">
            <v>299633.96999999997</v>
          </cell>
          <cell r="V878">
            <v>333831.96999999997</v>
          </cell>
          <cell r="W878">
            <v>340807.39</v>
          </cell>
          <cell r="X878">
            <v>399960.96</v>
          </cell>
          <cell r="Y878">
            <v>411839.98</v>
          </cell>
          <cell r="Z878">
            <v>38527</v>
          </cell>
          <cell r="AA878">
            <v>70379</v>
          </cell>
          <cell r="AB878">
            <v>104927</v>
          </cell>
          <cell r="AC878">
            <v>141619</v>
          </cell>
          <cell r="AD878">
            <v>173778.11</v>
          </cell>
          <cell r="AE878">
            <v>141111.10999999999</v>
          </cell>
          <cell r="AF878">
            <v>185672.11</v>
          </cell>
          <cell r="AG878">
            <v>200265.11</v>
          </cell>
          <cell r="AH878">
            <v>232803.11</v>
          </cell>
          <cell r="AI878">
            <v>269108.21000000002</v>
          </cell>
          <cell r="AJ878">
            <v>310480.03999999998</v>
          </cell>
          <cell r="AK878">
            <v>344308.1</v>
          </cell>
          <cell r="AL878">
            <v>0</v>
          </cell>
          <cell r="AM878">
            <v>3</v>
          </cell>
          <cell r="AN878" t="str">
            <v/>
          </cell>
          <cell r="AO878">
            <v>0</v>
          </cell>
          <cell r="AP878">
            <v>0</v>
          </cell>
          <cell r="AQ878">
            <v>0</v>
          </cell>
          <cell r="AR878">
            <v>600</v>
          </cell>
          <cell r="AS878">
            <v>0</v>
          </cell>
          <cell r="AT878" t="str">
            <v/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 t="str">
            <v/>
          </cell>
          <cell r="BK878">
            <v>4300</v>
          </cell>
          <cell r="BL878" t="str">
            <v>0</v>
          </cell>
          <cell r="BM878" t="str">
            <v>1</v>
          </cell>
          <cell r="BN878" t="str">
            <v/>
          </cell>
          <cell r="BO878" t="str">
            <v/>
          </cell>
        </row>
        <row r="879">
          <cell r="A879">
            <v>1</v>
          </cell>
          <cell r="B879">
            <v>4139004</v>
          </cell>
          <cell r="C879" t="str">
            <v>ESCOMPTES</v>
          </cell>
          <cell r="D879" t="str">
            <v>TRANSFERT DIVISION BOITES</v>
          </cell>
          <cell r="E879" t="str">
            <v>O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4</v>
          </cell>
          <cell r="AN879" t="str">
            <v/>
          </cell>
          <cell r="AO879">
            <v>0</v>
          </cell>
          <cell r="AP879">
            <v>0</v>
          </cell>
          <cell r="AQ879">
            <v>0</v>
          </cell>
          <cell r="AR879">
            <v>600</v>
          </cell>
          <cell r="AS879">
            <v>0</v>
          </cell>
          <cell r="AT879" t="str">
            <v/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 t="str">
            <v/>
          </cell>
          <cell r="BK879">
            <v>4300</v>
          </cell>
          <cell r="BL879" t="str">
            <v>0</v>
          </cell>
          <cell r="BM879" t="str">
            <v>1</v>
          </cell>
          <cell r="BN879" t="str">
            <v/>
          </cell>
          <cell r="BO879" t="str">
            <v/>
          </cell>
        </row>
        <row r="880">
          <cell r="A880">
            <v>1</v>
          </cell>
          <cell r="B880">
            <v>4149001</v>
          </cell>
          <cell r="C880" t="str">
            <v>TRANSPORT</v>
          </cell>
          <cell r="D880" t="str">
            <v>TRANSFERT DIVISION PAPIER</v>
          </cell>
          <cell r="E880" t="str">
            <v>O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-387.67</v>
          </cell>
          <cell r="AA880">
            <v>-387.67</v>
          </cell>
          <cell r="AB880">
            <v>-387.67</v>
          </cell>
          <cell r="AC880">
            <v>-369.55</v>
          </cell>
          <cell r="AD880">
            <v>-369.55</v>
          </cell>
          <cell r="AE880">
            <v>250.67</v>
          </cell>
          <cell r="AF880">
            <v>1044.17</v>
          </cell>
          <cell r="AG880">
            <v>4346.57</v>
          </cell>
          <cell r="AH880">
            <v>5656.57</v>
          </cell>
          <cell r="AI880">
            <v>5692.18</v>
          </cell>
          <cell r="AJ880">
            <v>5692.18</v>
          </cell>
          <cell r="AK880">
            <v>5892.18</v>
          </cell>
          <cell r="AL880">
            <v>0</v>
          </cell>
          <cell r="AM880">
            <v>1</v>
          </cell>
          <cell r="AN880" t="str">
            <v/>
          </cell>
          <cell r="AO880">
            <v>0</v>
          </cell>
          <cell r="AP880">
            <v>0</v>
          </cell>
          <cell r="AQ880">
            <v>0</v>
          </cell>
          <cell r="AR880">
            <v>610</v>
          </cell>
          <cell r="AS880">
            <v>0</v>
          </cell>
          <cell r="AT880" t="str">
            <v/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 t="str">
            <v/>
          </cell>
          <cell r="BK880">
            <v>4200</v>
          </cell>
          <cell r="BL880" t="str">
            <v>0</v>
          </cell>
          <cell r="BM880" t="str">
            <v>1</v>
          </cell>
          <cell r="BN880" t="str">
            <v/>
          </cell>
          <cell r="BO880" t="str">
            <v/>
          </cell>
        </row>
        <row r="881">
          <cell r="A881">
            <v>1</v>
          </cell>
          <cell r="B881">
            <v>4149002</v>
          </cell>
          <cell r="C881" t="str">
            <v>TRANSPORT</v>
          </cell>
          <cell r="D881" t="str">
            <v>TRANSFERT DIV. SERVIETTES</v>
          </cell>
          <cell r="E881" t="str">
            <v>O</v>
          </cell>
          <cell r="F881">
            <v>0</v>
          </cell>
          <cell r="G881">
            <v>0</v>
          </cell>
          <cell r="H881">
            <v>681067.54</v>
          </cell>
          <cell r="I881">
            <v>1658614.53</v>
          </cell>
          <cell r="J881">
            <v>977546.99</v>
          </cell>
          <cell r="K881">
            <v>0</v>
          </cell>
          <cell r="L881">
            <v>13580.77</v>
          </cell>
          <cell r="M881">
            <v>27355.86</v>
          </cell>
          <cell r="N881">
            <v>127107.46</v>
          </cell>
          <cell r="O881">
            <v>255827.07</v>
          </cell>
          <cell r="P881">
            <v>457669.37</v>
          </cell>
          <cell r="Q881">
            <v>661809.09</v>
          </cell>
          <cell r="R881">
            <v>661809.09</v>
          </cell>
          <cell r="S881">
            <v>717987.83999999997</v>
          </cell>
          <cell r="T881">
            <v>661922.84</v>
          </cell>
          <cell r="U881">
            <v>661922.84</v>
          </cell>
          <cell r="V881">
            <v>703093.56</v>
          </cell>
          <cell r="W881">
            <v>662069.09</v>
          </cell>
          <cell r="X881">
            <v>681067.54</v>
          </cell>
          <cell r="Y881">
            <v>667292.44999999995</v>
          </cell>
          <cell r="Z881">
            <v>115482.81</v>
          </cell>
          <cell r="AA881">
            <v>196377.38</v>
          </cell>
          <cell r="AB881">
            <v>463612</v>
          </cell>
          <cell r="AC881">
            <v>626879.63</v>
          </cell>
          <cell r="AD881">
            <v>752265.63</v>
          </cell>
          <cell r="AE881">
            <v>993488.66</v>
          </cell>
          <cell r="AF881">
            <v>1120151.51</v>
          </cell>
          <cell r="AG881">
            <v>1371179.04</v>
          </cell>
          <cell r="AH881">
            <v>1662235.93</v>
          </cell>
          <cell r="AI881">
            <v>2135184.7000000002</v>
          </cell>
          <cell r="AJ881">
            <v>2365379.7599999998</v>
          </cell>
          <cell r="AK881">
            <v>2437929.14</v>
          </cell>
          <cell r="AL881">
            <v>0</v>
          </cell>
          <cell r="AM881">
            <v>2</v>
          </cell>
          <cell r="AN881" t="str">
            <v/>
          </cell>
          <cell r="AO881">
            <v>0</v>
          </cell>
          <cell r="AP881">
            <v>0</v>
          </cell>
          <cell r="AQ881">
            <v>0</v>
          </cell>
          <cell r="AR881">
            <v>610</v>
          </cell>
          <cell r="AS881">
            <v>0</v>
          </cell>
          <cell r="AT881" t="str">
            <v/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 t="str">
            <v/>
          </cell>
          <cell r="BK881">
            <v>4200</v>
          </cell>
          <cell r="BL881" t="str">
            <v>0</v>
          </cell>
          <cell r="BM881" t="str">
            <v>1</v>
          </cell>
          <cell r="BN881" t="str">
            <v/>
          </cell>
          <cell r="BO881" t="str">
            <v/>
          </cell>
        </row>
        <row r="882">
          <cell r="A882">
            <v>1</v>
          </cell>
          <cell r="B882">
            <v>4149003</v>
          </cell>
          <cell r="C882" t="str">
            <v>TRANSPORT</v>
          </cell>
          <cell r="D882" t="str">
            <v>TRANSFERT DIVISION SACS</v>
          </cell>
          <cell r="E882" t="str">
            <v>O</v>
          </cell>
          <cell r="F882">
            <v>0</v>
          </cell>
          <cell r="G882">
            <v>0</v>
          </cell>
          <cell r="H882">
            <v>295352.40000000002</v>
          </cell>
          <cell r="I882">
            <v>885188.4</v>
          </cell>
          <cell r="J882">
            <v>589836</v>
          </cell>
          <cell r="K882">
            <v>0</v>
          </cell>
          <cell r="L882">
            <v>52.13</v>
          </cell>
          <cell r="M882">
            <v>0</v>
          </cell>
          <cell r="N882">
            <v>31405.32</v>
          </cell>
          <cell r="O882">
            <v>53405.32</v>
          </cell>
          <cell r="P882">
            <v>83810.320000000007</v>
          </cell>
          <cell r="Q882">
            <v>105810.32</v>
          </cell>
          <cell r="R882">
            <v>137810.32</v>
          </cell>
          <cell r="S882">
            <v>163810.32</v>
          </cell>
          <cell r="T882">
            <v>193110.32</v>
          </cell>
          <cell r="U882">
            <v>225110.32</v>
          </cell>
          <cell r="V882">
            <v>255266.32</v>
          </cell>
          <cell r="W882">
            <v>281941.32</v>
          </cell>
          <cell r="X882">
            <v>295352.40000000002</v>
          </cell>
          <cell r="Y882">
            <v>295404.53000000003</v>
          </cell>
          <cell r="Z882">
            <v>21543.759999999998</v>
          </cell>
          <cell r="AA882">
            <v>52543.65</v>
          </cell>
          <cell r="AB882">
            <v>98872.65</v>
          </cell>
          <cell r="AC882">
            <v>128928.94</v>
          </cell>
          <cell r="AD882">
            <v>150146.94</v>
          </cell>
          <cell r="AE882">
            <v>205705.81</v>
          </cell>
          <cell r="AF882">
            <v>227248.99</v>
          </cell>
          <cell r="AG882">
            <v>263153.90999999997</v>
          </cell>
          <cell r="AH882">
            <v>317929.33</v>
          </cell>
          <cell r="AI882">
            <v>359231.56</v>
          </cell>
          <cell r="AJ882">
            <v>401232.1</v>
          </cell>
          <cell r="AK882">
            <v>420492.2</v>
          </cell>
          <cell r="AL882">
            <v>0</v>
          </cell>
          <cell r="AM882">
            <v>3</v>
          </cell>
          <cell r="AN882" t="str">
            <v/>
          </cell>
          <cell r="AO882">
            <v>0</v>
          </cell>
          <cell r="AP882">
            <v>0</v>
          </cell>
          <cell r="AQ882">
            <v>0</v>
          </cell>
          <cell r="AR882">
            <v>610</v>
          </cell>
          <cell r="AS882">
            <v>0</v>
          </cell>
          <cell r="AT882" t="str">
            <v/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 t="str">
            <v/>
          </cell>
          <cell r="BK882">
            <v>4200</v>
          </cell>
          <cell r="BL882" t="str">
            <v>0</v>
          </cell>
          <cell r="BM882" t="str">
            <v>1</v>
          </cell>
          <cell r="BN882" t="str">
            <v/>
          </cell>
          <cell r="BO882" t="str">
            <v/>
          </cell>
        </row>
        <row r="883">
          <cell r="A883">
            <v>1</v>
          </cell>
          <cell r="B883">
            <v>4149004</v>
          </cell>
          <cell r="C883" t="str">
            <v>TRANSPORT</v>
          </cell>
          <cell r="D883" t="str">
            <v>TRANSFERT DIVISION BOITES</v>
          </cell>
          <cell r="E883" t="str">
            <v>O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185.22</v>
          </cell>
          <cell r="AF883">
            <v>185.22</v>
          </cell>
          <cell r="AG883">
            <v>185.22</v>
          </cell>
          <cell r="AH883">
            <v>230.88</v>
          </cell>
          <cell r="AI883">
            <v>230.88</v>
          </cell>
          <cell r="AJ883">
            <v>230.88</v>
          </cell>
          <cell r="AK883">
            <v>230.88</v>
          </cell>
          <cell r="AL883">
            <v>0</v>
          </cell>
          <cell r="AM883">
            <v>4</v>
          </cell>
          <cell r="AN883" t="str">
            <v/>
          </cell>
          <cell r="AO883">
            <v>0</v>
          </cell>
          <cell r="AP883">
            <v>0</v>
          </cell>
          <cell r="AQ883">
            <v>0</v>
          </cell>
          <cell r="AR883">
            <v>610</v>
          </cell>
          <cell r="AS883">
            <v>0</v>
          </cell>
          <cell r="AT883" t="str">
            <v/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 t="str">
            <v/>
          </cell>
          <cell r="BK883">
            <v>4200</v>
          </cell>
          <cell r="BL883" t="str">
            <v>0</v>
          </cell>
          <cell r="BM883" t="str">
            <v>1</v>
          </cell>
          <cell r="BN883" t="str">
            <v/>
          </cell>
          <cell r="BO883" t="str">
            <v/>
          </cell>
        </row>
        <row r="884">
          <cell r="A884">
            <v>1</v>
          </cell>
          <cell r="B884">
            <v>5351002</v>
          </cell>
          <cell r="C884" t="str">
            <v>AMORTISSEMENT</v>
          </cell>
          <cell r="D884" t="str">
            <v>SERVIETTES</v>
          </cell>
          <cell r="E884" t="str">
            <v>N</v>
          </cell>
          <cell r="F884">
            <v>0</v>
          </cell>
          <cell r="G884">
            <v>0</v>
          </cell>
          <cell r="H884">
            <v>568987.61</v>
          </cell>
          <cell r="I884">
            <v>609269.14</v>
          </cell>
          <cell r="J884">
            <v>40281.53</v>
          </cell>
          <cell r="K884">
            <v>0</v>
          </cell>
          <cell r="L884">
            <v>41335.9</v>
          </cell>
          <cell r="M884">
            <v>0</v>
          </cell>
          <cell r="N884">
            <v>71655.350000000006</v>
          </cell>
          <cell r="O884">
            <v>143356.22</v>
          </cell>
          <cell r="P884">
            <v>215037.68</v>
          </cell>
          <cell r="Q884">
            <v>286729.09999999998</v>
          </cell>
          <cell r="R884">
            <v>327159.74</v>
          </cell>
          <cell r="S884">
            <v>367032.28</v>
          </cell>
          <cell r="T884">
            <v>407000.84</v>
          </cell>
          <cell r="U884">
            <v>447088.66</v>
          </cell>
          <cell r="V884">
            <v>487370.19</v>
          </cell>
          <cell r="W884">
            <v>527651.72</v>
          </cell>
          <cell r="X884">
            <v>568987.61</v>
          </cell>
          <cell r="Y884">
            <v>610323.51</v>
          </cell>
          <cell r="Z884">
            <v>67426.48</v>
          </cell>
          <cell r="AA884">
            <v>135593.1</v>
          </cell>
          <cell r="AB884">
            <v>205197.87</v>
          </cell>
          <cell r="AC884">
            <v>273952.17</v>
          </cell>
          <cell r="AD884">
            <v>343006.88</v>
          </cell>
          <cell r="AE884">
            <v>412650.77</v>
          </cell>
          <cell r="AF884">
            <v>481146.65</v>
          </cell>
          <cell r="AG884">
            <v>549725.02</v>
          </cell>
          <cell r="AH884">
            <v>618625.5</v>
          </cell>
          <cell r="AI884">
            <v>687894.57</v>
          </cell>
          <cell r="AJ884">
            <v>757375.59</v>
          </cell>
          <cell r="AK884">
            <v>826922.1</v>
          </cell>
          <cell r="AL884">
            <v>0</v>
          </cell>
          <cell r="AM884">
            <v>2</v>
          </cell>
          <cell r="AN884" t="str">
            <v/>
          </cell>
          <cell r="AO884">
            <v>0</v>
          </cell>
          <cell r="AP884">
            <v>0</v>
          </cell>
          <cell r="AQ884">
            <v>0</v>
          </cell>
          <cell r="AR884">
            <v>850</v>
          </cell>
          <cell r="AS884">
            <v>0</v>
          </cell>
          <cell r="AT884" t="str">
            <v/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 t="str">
            <v/>
          </cell>
          <cell r="BK884">
            <v>8500</v>
          </cell>
          <cell r="BL884" t="str">
            <v>0</v>
          </cell>
          <cell r="BM884" t="str">
            <v>1</v>
          </cell>
          <cell r="BN884" t="str">
            <v/>
          </cell>
          <cell r="BO884" t="str">
            <v/>
          </cell>
        </row>
        <row r="885">
          <cell r="A885">
            <v>1</v>
          </cell>
          <cell r="B885">
            <v>5351003</v>
          </cell>
          <cell r="C885" t="str">
            <v>AMORTISSEMENT</v>
          </cell>
          <cell r="D885" t="str">
            <v>SACS</v>
          </cell>
          <cell r="E885" t="str">
            <v>N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3</v>
          </cell>
          <cell r="AN885" t="str">
            <v/>
          </cell>
          <cell r="AO885">
            <v>0</v>
          </cell>
          <cell r="AP885">
            <v>0</v>
          </cell>
          <cell r="AQ885">
            <v>0</v>
          </cell>
          <cell r="AR885">
            <v>850</v>
          </cell>
          <cell r="AS885">
            <v>0</v>
          </cell>
          <cell r="AT885" t="str">
            <v/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 t="str">
            <v/>
          </cell>
          <cell r="BK885">
            <v>8500</v>
          </cell>
          <cell r="BL885" t="str">
            <v>0</v>
          </cell>
          <cell r="BM885" t="str">
            <v>1</v>
          </cell>
          <cell r="BN885" t="str">
            <v/>
          </cell>
          <cell r="BO885" t="str">
            <v/>
          </cell>
        </row>
        <row r="886">
          <cell r="A886">
            <v>1</v>
          </cell>
          <cell r="B886">
            <v>5351004</v>
          </cell>
          <cell r="C886" t="str">
            <v>AMORTISSEMENT</v>
          </cell>
          <cell r="D886" t="str">
            <v>BOITES</v>
          </cell>
          <cell r="E886" t="str">
            <v>N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4</v>
          </cell>
          <cell r="AN886" t="str">
            <v/>
          </cell>
          <cell r="AO886">
            <v>0</v>
          </cell>
          <cell r="AP886">
            <v>0</v>
          </cell>
          <cell r="AQ886">
            <v>0</v>
          </cell>
          <cell r="AR886">
            <v>850</v>
          </cell>
          <cell r="AS886">
            <v>0</v>
          </cell>
          <cell r="AT886" t="str">
            <v/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 t="str">
            <v/>
          </cell>
          <cell r="BK886">
            <v>8500</v>
          </cell>
          <cell r="BL886" t="str">
            <v>0</v>
          </cell>
          <cell r="BM886" t="str">
            <v>1</v>
          </cell>
          <cell r="BN886" t="str">
            <v/>
          </cell>
          <cell r="BO886" t="str">
            <v/>
          </cell>
        </row>
        <row r="887">
          <cell r="A887">
            <v>1</v>
          </cell>
          <cell r="B887">
            <v>4211971</v>
          </cell>
          <cell r="C887" t="str">
            <v>INV MAT PREM</v>
          </cell>
          <cell r="D887" t="str">
            <v>SCRAP INTERNE - SACS</v>
          </cell>
          <cell r="E887" t="str">
            <v>O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1</v>
          </cell>
          <cell r="AN887" t="str">
            <v/>
          </cell>
          <cell r="AO887">
            <v>0</v>
          </cell>
          <cell r="AP887">
            <v>0</v>
          </cell>
          <cell r="AQ887">
            <v>0</v>
          </cell>
          <cell r="AR887">
            <v>650</v>
          </cell>
          <cell r="AS887">
            <v>0</v>
          </cell>
          <cell r="AT887" t="str">
            <v/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 t="str">
            <v/>
          </cell>
          <cell r="BK887">
            <v>5100</v>
          </cell>
          <cell r="BL887" t="str">
            <v>0</v>
          </cell>
          <cell r="BM887" t="str">
            <v>1</v>
          </cell>
          <cell r="BN887" t="str">
            <v/>
          </cell>
          <cell r="BO887" t="str">
            <v/>
          </cell>
        </row>
        <row r="888">
          <cell r="A888">
            <v>1</v>
          </cell>
          <cell r="B888">
            <v>4221971</v>
          </cell>
          <cell r="C888" t="str">
            <v>MATIERE PREMIERE   ACHATS</v>
          </cell>
          <cell r="D888" t="str">
            <v>SCRAP INT. - SACS</v>
          </cell>
          <cell r="E888" t="str">
            <v>O</v>
          </cell>
          <cell r="F888">
            <v>0</v>
          </cell>
          <cell r="G888">
            <v>0</v>
          </cell>
          <cell r="H888">
            <v>49012</v>
          </cell>
          <cell r="I888">
            <v>52312</v>
          </cell>
          <cell r="J888">
            <v>3300</v>
          </cell>
          <cell r="K888">
            <v>0</v>
          </cell>
          <cell r="L888">
            <v>4000</v>
          </cell>
          <cell r="M888">
            <v>0</v>
          </cell>
          <cell r="N888">
            <v>3300</v>
          </cell>
          <cell r="O888">
            <v>6600</v>
          </cell>
          <cell r="P888">
            <v>9900</v>
          </cell>
          <cell r="Q888">
            <v>13200</v>
          </cell>
          <cell r="R888">
            <v>16500</v>
          </cell>
          <cell r="S888">
            <v>19800</v>
          </cell>
          <cell r="T888">
            <v>23800</v>
          </cell>
          <cell r="U888">
            <v>27800</v>
          </cell>
          <cell r="V888">
            <v>31800</v>
          </cell>
          <cell r="W888">
            <v>35800</v>
          </cell>
          <cell r="X888">
            <v>49012</v>
          </cell>
          <cell r="Y888">
            <v>53012</v>
          </cell>
          <cell r="Z888">
            <v>3300</v>
          </cell>
          <cell r="AA888">
            <v>6600</v>
          </cell>
          <cell r="AB888">
            <v>9901.65</v>
          </cell>
          <cell r="AC888">
            <v>13201.65</v>
          </cell>
          <cell r="AD888">
            <v>16501.650000000001</v>
          </cell>
          <cell r="AE888">
            <v>19801.650000000001</v>
          </cell>
          <cell r="AF888">
            <v>23801.65</v>
          </cell>
          <cell r="AG888">
            <v>27801.65</v>
          </cell>
          <cell r="AH888">
            <v>31801.65</v>
          </cell>
          <cell r="AI888">
            <v>35801.65</v>
          </cell>
          <cell r="AJ888">
            <v>39801.65</v>
          </cell>
          <cell r="AK888">
            <v>43801.65</v>
          </cell>
          <cell r="AL888">
            <v>0</v>
          </cell>
          <cell r="AM888">
            <v>1</v>
          </cell>
          <cell r="AN888" t="str">
            <v/>
          </cell>
          <cell r="AO888">
            <v>0</v>
          </cell>
          <cell r="AP888">
            <v>0</v>
          </cell>
          <cell r="AQ888">
            <v>0</v>
          </cell>
          <cell r="AR888">
            <v>660</v>
          </cell>
          <cell r="AS888">
            <v>0</v>
          </cell>
          <cell r="AT888" t="str">
            <v/>
          </cell>
          <cell r="AU888">
            <v>1191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1</v>
          </cell>
          <cell r="BC888">
            <v>1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 t="str">
            <v/>
          </cell>
          <cell r="BK888">
            <v>5100</v>
          </cell>
          <cell r="BL888" t="str">
            <v>0</v>
          </cell>
          <cell r="BM888" t="str">
            <v>1</v>
          </cell>
          <cell r="BN888" t="str">
            <v/>
          </cell>
          <cell r="BO888" t="str">
            <v/>
          </cell>
        </row>
        <row r="889">
          <cell r="A889">
            <v>1</v>
          </cell>
          <cell r="B889">
            <v>4231222</v>
          </cell>
          <cell r="C889" t="str">
            <v>VENTE ENTRE DIVISION</v>
          </cell>
          <cell r="D889" t="str">
            <v>BRUN 22</v>
          </cell>
          <cell r="E889" t="str">
            <v>O</v>
          </cell>
          <cell r="F889">
            <v>0</v>
          </cell>
          <cell r="G889">
            <v>0</v>
          </cell>
          <cell r="H889">
            <v>10428472.51</v>
          </cell>
          <cell r="I889">
            <v>15065864.58</v>
          </cell>
          <cell r="J889">
            <v>4637392.07</v>
          </cell>
          <cell r="K889">
            <v>0</v>
          </cell>
          <cell r="L889">
            <v>741410</v>
          </cell>
          <cell r="M889">
            <v>0</v>
          </cell>
          <cell r="N889">
            <v>833125</v>
          </cell>
          <cell r="O889">
            <v>1714090.98</v>
          </cell>
          <cell r="P889">
            <v>2582778.2799999998</v>
          </cell>
          <cell r="Q889">
            <v>3192086.18</v>
          </cell>
          <cell r="R889">
            <v>4316321.93</v>
          </cell>
          <cell r="S889">
            <v>5237859.33</v>
          </cell>
          <cell r="T889">
            <v>6176473.5800000001</v>
          </cell>
          <cell r="U889">
            <v>7085748.0300000003</v>
          </cell>
          <cell r="V889">
            <v>8151211.0300000003</v>
          </cell>
          <cell r="W889">
            <v>9290823.0299999993</v>
          </cell>
          <cell r="X889">
            <v>10428472.51</v>
          </cell>
          <cell r="Y889">
            <v>11169882.51</v>
          </cell>
          <cell r="Z889">
            <v>622150</v>
          </cell>
          <cell r="AA889">
            <v>1242575</v>
          </cell>
          <cell r="AB889">
            <v>2083681.88</v>
          </cell>
          <cell r="AC889">
            <v>2953206.88</v>
          </cell>
          <cell r="AD889">
            <v>3755080.32</v>
          </cell>
          <cell r="AE889">
            <v>4657119.07</v>
          </cell>
          <cell r="AF889">
            <v>5414619.0700000003</v>
          </cell>
          <cell r="AG889">
            <v>6228850.3200000003</v>
          </cell>
          <cell r="AH889">
            <v>7131044.0700000003</v>
          </cell>
          <cell r="AI889">
            <v>8050731.5700000003</v>
          </cell>
          <cell r="AJ889">
            <v>8989481.5700000003</v>
          </cell>
          <cell r="AK889">
            <v>9708231.5700000003</v>
          </cell>
          <cell r="AL889">
            <v>0</v>
          </cell>
          <cell r="AM889">
            <v>2</v>
          </cell>
          <cell r="AN889" t="str">
            <v/>
          </cell>
          <cell r="AO889">
            <v>0</v>
          </cell>
          <cell r="AP889">
            <v>0</v>
          </cell>
          <cell r="AQ889">
            <v>0</v>
          </cell>
          <cell r="AR889">
            <v>660</v>
          </cell>
          <cell r="AS889">
            <v>0</v>
          </cell>
          <cell r="AT889" t="str">
            <v/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1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 t="str">
            <v/>
          </cell>
          <cell r="BK889">
            <v>5000</v>
          </cell>
          <cell r="BL889" t="str">
            <v>0</v>
          </cell>
          <cell r="BM889" t="str">
            <v>1</v>
          </cell>
          <cell r="BN889" t="str">
            <v/>
          </cell>
          <cell r="BO889" t="str">
            <v/>
          </cell>
        </row>
        <row r="890">
          <cell r="A890">
            <v>1</v>
          </cell>
          <cell r="B890">
            <v>4231272</v>
          </cell>
          <cell r="C890" t="str">
            <v>VENTE ENTRE DIVISION</v>
          </cell>
          <cell r="D890" t="str">
            <v>BRUN 27</v>
          </cell>
          <cell r="E890" t="str">
            <v>O</v>
          </cell>
          <cell r="F890">
            <v>0</v>
          </cell>
          <cell r="G890">
            <v>0</v>
          </cell>
          <cell r="H890">
            <v>2258856.36</v>
          </cell>
          <cell r="I890">
            <v>3550252.3</v>
          </cell>
          <cell r="J890">
            <v>1291395.94</v>
          </cell>
          <cell r="K890">
            <v>0</v>
          </cell>
          <cell r="L890">
            <v>228328</v>
          </cell>
          <cell r="M890">
            <v>0</v>
          </cell>
          <cell r="N890">
            <v>300000</v>
          </cell>
          <cell r="O890">
            <v>625663.24</v>
          </cell>
          <cell r="P890">
            <v>889547.97</v>
          </cell>
          <cell r="Q890">
            <v>1024174.32</v>
          </cell>
          <cell r="R890">
            <v>1276010.56</v>
          </cell>
          <cell r="S890">
            <v>1495790.41</v>
          </cell>
          <cell r="T890">
            <v>1662173.41</v>
          </cell>
          <cell r="U890">
            <v>1807894.86</v>
          </cell>
          <cell r="V890">
            <v>1901593.36</v>
          </cell>
          <cell r="W890">
            <v>2049434.36</v>
          </cell>
          <cell r="X890">
            <v>2258856.36</v>
          </cell>
          <cell r="Y890">
            <v>2487184.36</v>
          </cell>
          <cell r="Z890">
            <v>210450</v>
          </cell>
          <cell r="AA890">
            <v>473800</v>
          </cell>
          <cell r="AB890">
            <v>628476.15</v>
          </cell>
          <cell r="AC890">
            <v>889839.15</v>
          </cell>
          <cell r="AD890">
            <v>1085895.3999999999</v>
          </cell>
          <cell r="AE890">
            <v>1304199.8999999999</v>
          </cell>
          <cell r="AF890">
            <v>1466924.9</v>
          </cell>
          <cell r="AG890">
            <v>1500574.9</v>
          </cell>
          <cell r="AH890">
            <v>1751023.34</v>
          </cell>
          <cell r="AI890">
            <v>2032273.34</v>
          </cell>
          <cell r="AJ890">
            <v>2319148.34</v>
          </cell>
          <cell r="AK890">
            <v>2604148.34</v>
          </cell>
          <cell r="AL890">
            <v>0</v>
          </cell>
          <cell r="AM890">
            <v>2</v>
          </cell>
          <cell r="AN890" t="str">
            <v/>
          </cell>
          <cell r="AO890">
            <v>0</v>
          </cell>
          <cell r="AP890">
            <v>0</v>
          </cell>
          <cell r="AQ890">
            <v>0</v>
          </cell>
          <cell r="AR890">
            <v>660</v>
          </cell>
          <cell r="AS890">
            <v>0</v>
          </cell>
          <cell r="AT890" t="str">
            <v/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1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 t="str">
            <v/>
          </cell>
          <cell r="BK890">
            <v>5000</v>
          </cell>
          <cell r="BL890" t="str">
            <v>0</v>
          </cell>
          <cell r="BM890" t="str">
            <v>1</v>
          </cell>
          <cell r="BN890" t="str">
            <v/>
          </cell>
          <cell r="BO890" t="str">
            <v/>
          </cell>
        </row>
        <row r="891">
          <cell r="A891">
            <v>1</v>
          </cell>
          <cell r="B891">
            <v>4232272</v>
          </cell>
          <cell r="C891" t="str">
            <v>VENTE ENTRE DIVISION</v>
          </cell>
          <cell r="D891" t="str">
            <v>BRUN 27 HWS</v>
          </cell>
          <cell r="E891" t="str">
            <v>O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13450.1</v>
          </cell>
          <cell r="AC891">
            <v>13450.1</v>
          </cell>
          <cell r="AD891">
            <v>13450.1</v>
          </cell>
          <cell r="AE891">
            <v>13450.1</v>
          </cell>
          <cell r="AF891">
            <v>13450.1</v>
          </cell>
          <cell r="AG891">
            <v>13450.1</v>
          </cell>
          <cell r="AH891">
            <v>13450.1</v>
          </cell>
          <cell r="AI891">
            <v>13450.1</v>
          </cell>
          <cell r="AJ891">
            <v>13450.1</v>
          </cell>
          <cell r="AK891">
            <v>13450.1</v>
          </cell>
          <cell r="AL891">
            <v>0</v>
          </cell>
          <cell r="AM891">
            <v>2</v>
          </cell>
          <cell r="AN891" t="str">
            <v/>
          </cell>
          <cell r="AO891">
            <v>0</v>
          </cell>
          <cell r="AP891">
            <v>0</v>
          </cell>
          <cell r="AQ891">
            <v>0</v>
          </cell>
          <cell r="AR891">
            <v>660</v>
          </cell>
          <cell r="AS891">
            <v>0</v>
          </cell>
          <cell r="AT891" t="str">
            <v/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 t="str">
            <v/>
          </cell>
          <cell r="BK891">
            <v>5000</v>
          </cell>
          <cell r="BL891" t="str">
            <v>0</v>
          </cell>
          <cell r="BM891" t="str">
            <v>1</v>
          </cell>
          <cell r="BN891" t="str">
            <v/>
          </cell>
          <cell r="BO891" t="str">
            <v/>
          </cell>
        </row>
        <row r="892">
          <cell r="A892">
            <v>1</v>
          </cell>
          <cell r="B892">
            <v>4232302</v>
          </cell>
          <cell r="C892" t="str">
            <v>VENTE ENTRE DIVISION</v>
          </cell>
          <cell r="D892" t="str">
            <v>BRUN 30 HWS</v>
          </cell>
          <cell r="E892" t="str">
            <v>O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2</v>
          </cell>
          <cell r="AN892" t="str">
            <v/>
          </cell>
          <cell r="AO892">
            <v>0</v>
          </cell>
          <cell r="AP892">
            <v>0</v>
          </cell>
          <cell r="AQ892">
            <v>0</v>
          </cell>
          <cell r="AR892">
            <v>660</v>
          </cell>
          <cell r="AS892">
            <v>0</v>
          </cell>
          <cell r="AT892" t="str">
            <v/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 t="str">
            <v/>
          </cell>
          <cell r="BK892">
            <v>5000</v>
          </cell>
          <cell r="BL892" t="str">
            <v>0</v>
          </cell>
          <cell r="BM892" t="str">
            <v>1</v>
          </cell>
          <cell r="BN892" t="str">
            <v/>
          </cell>
          <cell r="BO892" t="str">
            <v/>
          </cell>
        </row>
        <row r="893">
          <cell r="A893">
            <v>1</v>
          </cell>
          <cell r="B893">
            <v>4232312</v>
          </cell>
          <cell r="C893" t="str">
            <v>VENTE ENTRE DIVISION</v>
          </cell>
          <cell r="D893" t="str">
            <v>BRUN 31 HWS</v>
          </cell>
          <cell r="E893" t="str">
            <v>O</v>
          </cell>
          <cell r="F893">
            <v>0</v>
          </cell>
          <cell r="G893">
            <v>0</v>
          </cell>
          <cell r="H893">
            <v>706202.48</v>
          </cell>
          <cell r="I893">
            <v>1074024.98</v>
          </cell>
          <cell r="J893">
            <v>367822.5</v>
          </cell>
          <cell r="K893">
            <v>0</v>
          </cell>
          <cell r="L893">
            <v>51638</v>
          </cell>
          <cell r="M893">
            <v>0</v>
          </cell>
          <cell r="N893">
            <v>60750</v>
          </cell>
          <cell r="O893">
            <v>144275.63</v>
          </cell>
          <cell r="P893">
            <v>209617.88</v>
          </cell>
          <cell r="Q893">
            <v>247635.38</v>
          </cell>
          <cell r="R893">
            <v>298102.88</v>
          </cell>
          <cell r="S893">
            <v>392152.88</v>
          </cell>
          <cell r="T893">
            <v>423196.88</v>
          </cell>
          <cell r="U893">
            <v>492827.48</v>
          </cell>
          <cell r="V893">
            <v>541304.48</v>
          </cell>
          <cell r="W893">
            <v>630528.48</v>
          </cell>
          <cell r="X893">
            <v>706202.48</v>
          </cell>
          <cell r="Y893">
            <v>757840.48</v>
          </cell>
          <cell r="Z893">
            <v>43170</v>
          </cell>
          <cell r="AA893">
            <v>110611.88</v>
          </cell>
          <cell r="AB893">
            <v>166216.88</v>
          </cell>
          <cell r="AC893">
            <v>255309.38</v>
          </cell>
          <cell r="AD893">
            <v>358231.88</v>
          </cell>
          <cell r="AE893">
            <v>499644.38</v>
          </cell>
          <cell r="AF893">
            <v>629596.88</v>
          </cell>
          <cell r="AG893">
            <v>897264.95</v>
          </cell>
          <cell r="AH893">
            <v>908799.95</v>
          </cell>
          <cell r="AI893">
            <v>931299.95</v>
          </cell>
          <cell r="AJ893">
            <v>968799.95</v>
          </cell>
          <cell r="AK893">
            <v>1027299.95</v>
          </cell>
          <cell r="AL893">
            <v>0</v>
          </cell>
          <cell r="AM893">
            <v>2</v>
          </cell>
          <cell r="AN893" t="str">
            <v/>
          </cell>
          <cell r="AO893">
            <v>0</v>
          </cell>
          <cell r="AP893">
            <v>0</v>
          </cell>
          <cell r="AQ893">
            <v>0</v>
          </cell>
          <cell r="AR893">
            <v>660</v>
          </cell>
          <cell r="AS893">
            <v>0</v>
          </cell>
          <cell r="AT893" t="str">
            <v/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1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 t="str">
            <v/>
          </cell>
          <cell r="BK893">
            <v>5000</v>
          </cell>
          <cell r="BL893" t="str">
            <v>0</v>
          </cell>
          <cell r="BM893" t="str">
            <v>1</v>
          </cell>
          <cell r="BN893" t="str">
            <v/>
          </cell>
          <cell r="BO893" t="str">
            <v/>
          </cell>
        </row>
        <row r="894">
          <cell r="A894">
            <v>1</v>
          </cell>
          <cell r="B894">
            <v>4233202</v>
          </cell>
          <cell r="C894" t="str">
            <v>VENTE ENTRE DIVISION</v>
          </cell>
          <cell r="D894" t="str">
            <v>BLANC 20</v>
          </cell>
          <cell r="E894" t="str">
            <v>O</v>
          </cell>
          <cell r="F894">
            <v>0</v>
          </cell>
          <cell r="G894">
            <v>0</v>
          </cell>
          <cell r="H894">
            <v>4434206.33</v>
          </cell>
          <cell r="I894">
            <v>6332856.6900000004</v>
          </cell>
          <cell r="J894">
            <v>1898650.36</v>
          </cell>
          <cell r="K894">
            <v>0</v>
          </cell>
          <cell r="L894">
            <v>293461</v>
          </cell>
          <cell r="M894">
            <v>0</v>
          </cell>
          <cell r="N894">
            <v>266280</v>
          </cell>
          <cell r="O894">
            <v>651246.16</v>
          </cell>
          <cell r="P894">
            <v>978543.82</v>
          </cell>
          <cell r="Q894">
            <v>1330197.82</v>
          </cell>
          <cell r="R894">
            <v>1783353.02</v>
          </cell>
          <cell r="S894">
            <v>2190166.2200000002</v>
          </cell>
          <cell r="T894">
            <v>2660351.5299999998</v>
          </cell>
          <cell r="U894">
            <v>3105745.02</v>
          </cell>
          <cell r="V894">
            <v>3568222.33</v>
          </cell>
          <cell r="W894">
            <v>4043926.33</v>
          </cell>
          <cell r="X894">
            <v>4434206.33</v>
          </cell>
          <cell r="Y894">
            <v>4727667.33</v>
          </cell>
          <cell r="Z894">
            <v>233600</v>
          </cell>
          <cell r="AA894">
            <v>489600</v>
          </cell>
          <cell r="AB894">
            <v>783350</v>
          </cell>
          <cell r="AC894">
            <v>1036942</v>
          </cell>
          <cell r="AD894">
            <v>1341166</v>
          </cell>
          <cell r="AE894">
            <v>1698622</v>
          </cell>
          <cell r="AF894">
            <v>2016374</v>
          </cell>
          <cell r="AG894">
            <v>2351440</v>
          </cell>
          <cell r="AH894">
            <v>2648622</v>
          </cell>
          <cell r="AI894">
            <v>2963022</v>
          </cell>
          <cell r="AJ894">
            <v>3187822</v>
          </cell>
          <cell r="AK894">
            <v>3410422</v>
          </cell>
          <cell r="AL894">
            <v>0</v>
          </cell>
          <cell r="AM894">
            <v>2</v>
          </cell>
          <cell r="AN894" t="str">
            <v/>
          </cell>
          <cell r="AO894">
            <v>0</v>
          </cell>
          <cell r="AP894">
            <v>0</v>
          </cell>
          <cell r="AQ894">
            <v>0</v>
          </cell>
          <cell r="AR894">
            <v>660</v>
          </cell>
          <cell r="AS894">
            <v>0</v>
          </cell>
          <cell r="AT894" t="str">
            <v/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1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 t="str">
            <v/>
          </cell>
          <cell r="BK894">
            <v>5000</v>
          </cell>
          <cell r="BL894" t="str">
            <v>0</v>
          </cell>
          <cell r="BM894" t="str">
            <v>1</v>
          </cell>
          <cell r="BN894" t="str">
            <v/>
          </cell>
          <cell r="BO894" t="str">
            <v/>
          </cell>
        </row>
        <row r="895">
          <cell r="A895">
            <v>1</v>
          </cell>
          <cell r="B895">
            <v>4233262</v>
          </cell>
          <cell r="C895" t="str">
            <v>VENTE ENTRE DIVISION</v>
          </cell>
          <cell r="D895" t="str">
            <v>BLANC 26</v>
          </cell>
          <cell r="E895" t="str">
            <v>O</v>
          </cell>
          <cell r="F895">
            <v>0</v>
          </cell>
          <cell r="G895">
            <v>0</v>
          </cell>
          <cell r="H895">
            <v>1884435.2</v>
          </cell>
          <cell r="I895">
            <v>2868167.6</v>
          </cell>
          <cell r="J895">
            <v>983732.4</v>
          </cell>
          <cell r="K895">
            <v>0</v>
          </cell>
          <cell r="L895">
            <v>169335</v>
          </cell>
          <cell r="M895">
            <v>0</v>
          </cell>
          <cell r="N895">
            <v>153720</v>
          </cell>
          <cell r="O895">
            <v>349806.35</v>
          </cell>
          <cell r="P895">
            <v>498794</v>
          </cell>
          <cell r="Q895">
            <v>677732.4</v>
          </cell>
          <cell r="R895">
            <v>950370</v>
          </cell>
          <cell r="S895">
            <v>1152197.3999999999</v>
          </cell>
          <cell r="T895">
            <v>1320542</v>
          </cell>
          <cell r="U895">
            <v>1468526.2</v>
          </cell>
          <cell r="V895">
            <v>1601254.2</v>
          </cell>
          <cell r="W895">
            <v>1733134.2</v>
          </cell>
          <cell r="X895">
            <v>1884435.2</v>
          </cell>
          <cell r="Y895">
            <v>2053770.2</v>
          </cell>
          <cell r="Z895">
            <v>82400</v>
          </cell>
          <cell r="AA895">
            <v>204000</v>
          </cell>
          <cell r="AB895">
            <v>298758</v>
          </cell>
          <cell r="AC895">
            <v>372934</v>
          </cell>
          <cell r="AD895">
            <v>497028</v>
          </cell>
          <cell r="AE895">
            <v>643316</v>
          </cell>
          <cell r="AF895">
            <v>776116</v>
          </cell>
          <cell r="AG895">
            <v>933090</v>
          </cell>
          <cell r="AH895">
            <v>1081540</v>
          </cell>
          <cell r="AI895">
            <v>1203940</v>
          </cell>
          <cell r="AJ895">
            <v>1339140</v>
          </cell>
          <cell r="AK895">
            <v>1458420</v>
          </cell>
          <cell r="AL895">
            <v>0</v>
          </cell>
          <cell r="AM895">
            <v>2</v>
          </cell>
          <cell r="AN895" t="str">
            <v/>
          </cell>
          <cell r="AO895">
            <v>0</v>
          </cell>
          <cell r="AP895">
            <v>0</v>
          </cell>
          <cell r="AQ895">
            <v>0</v>
          </cell>
          <cell r="AR895">
            <v>660</v>
          </cell>
          <cell r="AS895">
            <v>0</v>
          </cell>
          <cell r="AT895" t="str">
            <v/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1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 t="str">
            <v/>
          </cell>
          <cell r="BK895">
            <v>5000</v>
          </cell>
          <cell r="BL895" t="str">
            <v>0</v>
          </cell>
          <cell r="BM895" t="str">
            <v>1</v>
          </cell>
          <cell r="BN895" t="str">
            <v/>
          </cell>
          <cell r="BO895" t="str">
            <v/>
          </cell>
        </row>
        <row r="896">
          <cell r="A896">
            <v>1</v>
          </cell>
          <cell r="B896">
            <v>4234272</v>
          </cell>
          <cell r="C896" t="str">
            <v>VENTE ENTRE DIVISION</v>
          </cell>
          <cell r="D896" t="str">
            <v>PERLE 27</v>
          </cell>
          <cell r="E896" t="str">
            <v>O</v>
          </cell>
          <cell r="F896">
            <v>0</v>
          </cell>
          <cell r="G896">
            <v>0</v>
          </cell>
          <cell r="H896">
            <v>380060.2</v>
          </cell>
          <cell r="I896">
            <v>543006.19999999995</v>
          </cell>
          <cell r="J896">
            <v>162946</v>
          </cell>
          <cell r="K896">
            <v>0</v>
          </cell>
          <cell r="L896">
            <v>10189</v>
          </cell>
          <cell r="M896">
            <v>0</v>
          </cell>
          <cell r="N896">
            <v>28700</v>
          </cell>
          <cell r="O896">
            <v>81363.45</v>
          </cell>
          <cell r="P896">
            <v>128300.2</v>
          </cell>
          <cell r="Q896">
            <v>172456.2</v>
          </cell>
          <cell r="R896">
            <v>213560.2</v>
          </cell>
          <cell r="S896">
            <v>245781.2</v>
          </cell>
          <cell r="T896">
            <v>273459.20000000001</v>
          </cell>
          <cell r="U896">
            <v>302040.2</v>
          </cell>
          <cell r="V896">
            <v>319022.2</v>
          </cell>
          <cell r="W896">
            <v>347217.2</v>
          </cell>
          <cell r="X896">
            <v>380060.2</v>
          </cell>
          <cell r="Y896">
            <v>390249.2</v>
          </cell>
          <cell r="Z896">
            <v>38844</v>
          </cell>
          <cell r="AA896">
            <v>81744</v>
          </cell>
          <cell r="AB896">
            <v>131531.07999999999</v>
          </cell>
          <cell r="AC896">
            <v>185182.07999999999</v>
          </cell>
          <cell r="AD896">
            <v>220395.83</v>
          </cell>
          <cell r="AE896">
            <v>280202.33</v>
          </cell>
          <cell r="AF896">
            <v>313592.83</v>
          </cell>
          <cell r="AG896">
            <v>360614.83</v>
          </cell>
          <cell r="AH896">
            <v>397662.83</v>
          </cell>
          <cell r="AI896">
            <v>446412.83</v>
          </cell>
          <cell r="AJ896">
            <v>482162.83</v>
          </cell>
          <cell r="AK896">
            <v>545862.82999999996</v>
          </cell>
          <cell r="AL896">
            <v>0</v>
          </cell>
          <cell r="AM896">
            <v>2</v>
          </cell>
          <cell r="AN896" t="str">
            <v/>
          </cell>
          <cell r="AO896">
            <v>0</v>
          </cell>
          <cell r="AP896">
            <v>0</v>
          </cell>
          <cell r="AQ896">
            <v>0</v>
          </cell>
          <cell r="AR896">
            <v>660</v>
          </cell>
          <cell r="AS896">
            <v>0</v>
          </cell>
          <cell r="AT896" t="str">
            <v/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1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 t="str">
            <v/>
          </cell>
          <cell r="BK896">
            <v>5000</v>
          </cell>
          <cell r="BL896" t="str">
            <v>0</v>
          </cell>
          <cell r="BM896" t="str">
            <v>1</v>
          </cell>
          <cell r="BN896" t="str">
            <v/>
          </cell>
          <cell r="BO896" t="str">
            <v/>
          </cell>
        </row>
        <row r="897">
          <cell r="A897">
            <v>1</v>
          </cell>
          <cell r="B897">
            <v>4239002</v>
          </cell>
          <cell r="C897" t="str">
            <v>MAT. PREMIERES INTERNES</v>
          </cell>
          <cell r="D897" t="str">
            <v>TRANSFERT DIV. SERVIETTES</v>
          </cell>
          <cell r="E897" t="str">
            <v>O</v>
          </cell>
          <cell r="F897">
            <v>0</v>
          </cell>
          <cell r="G897">
            <v>0</v>
          </cell>
          <cell r="H897">
            <v>-102711.62</v>
          </cell>
          <cell r="I897">
            <v>7266.98</v>
          </cell>
          <cell r="J897">
            <v>109978.6</v>
          </cell>
          <cell r="K897">
            <v>0</v>
          </cell>
          <cell r="L897">
            <v>0</v>
          </cell>
          <cell r="M897">
            <v>4927.25</v>
          </cell>
          <cell r="N897">
            <v>-25211.14</v>
          </cell>
          <cell r="O897">
            <v>-39524.14</v>
          </cell>
          <cell r="P897">
            <v>-46782.46</v>
          </cell>
          <cell r="Q897">
            <v>-51949.16</v>
          </cell>
          <cell r="R897">
            <v>-60937.48</v>
          </cell>
          <cell r="S897">
            <v>-68795.679999999993</v>
          </cell>
          <cell r="T897">
            <v>-77065.37</v>
          </cell>
          <cell r="U897">
            <v>-85231.32</v>
          </cell>
          <cell r="V897">
            <v>-91323.67</v>
          </cell>
          <cell r="W897">
            <v>-97860.17</v>
          </cell>
          <cell r="X897">
            <v>-102711.62</v>
          </cell>
          <cell r="Y897">
            <v>-107638.87</v>
          </cell>
          <cell r="Z897">
            <v>-7149</v>
          </cell>
          <cell r="AA897">
            <v>0</v>
          </cell>
          <cell r="AB897">
            <v>-8121.6</v>
          </cell>
          <cell r="AC897">
            <v>-25897.200000000001</v>
          </cell>
          <cell r="AD897">
            <v>-30207.47</v>
          </cell>
          <cell r="AE897">
            <v>-36525.57</v>
          </cell>
          <cell r="AF897">
            <v>-41190.82</v>
          </cell>
          <cell r="AG897">
            <v>-51785.82</v>
          </cell>
          <cell r="AH897">
            <v>-58270.2</v>
          </cell>
          <cell r="AI897">
            <v>-69686.2</v>
          </cell>
          <cell r="AJ897">
            <v>-69686.2</v>
          </cell>
          <cell r="AK897">
            <v>-84021.36</v>
          </cell>
          <cell r="AL897">
            <v>0</v>
          </cell>
          <cell r="AM897">
            <v>2</v>
          </cell>
          <cell r="AN897" t="str">
            <v/>
          </cell>
          <cell r="AO897">
            <v>0</v>
          </cell>
          <cell r="AP897">
            <v>0</v>
          </cell>
          <cell r="AQ897">
            <v>0</v>
          </cell>
          <cell r="AR897">
            <v>660</v>
          </cell>
          <cell r="AS897">
            <v>0</v>
          </cell>
          <cell r="AT897" t="str">
            <v/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 t="str">
            <v/>
          </cell>
          <cell r="BK897">
            <v>5000</v>
          </cell>
          <cell r="BL897" t="str">
            <v>0</v>
          </cell>
          <cell r="BM897" t="str">
            <v>1</v>
          </cell>
          <cell r="BN897" t="str">
            <v/>
          </cell>
          <cell r="BO897" t="str">
            <v/>
          </cell>
        </row>
        <row r="898">
          <cell r="A898">
            <v>1</v>
          </cell>
          <cell r="B898">
            <v>1175000</v>
          </cell>
          <cell r="C898" t="str">
            <v>PAYE D'AVANCE</v>
          </cell>
          <cell r="D898" t="str">
            <v>DIVERS</v>
          </cell>
          <cell r="E898" t="str">
            <v>N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 t="str">
            <v/>
          </cell>
          <cell r="AO898">
            <v>0</v>
          </cell>
          <cell r="AP898">
            <v>0</v>
          </cell>
          <cell r="AQ898">
            <v>0</v>
          </cell>
          <cell r="AR898">
            <v>120</v>
          </cell>
          <cell r="AS898">
            <v>0</v>
          </cell>
          <cell r="AT898" t="str">
            <v/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 t="str">
            <v/>
          </cell>
          <cell r="BK898">
            <v>1600</v>
          </cell>
          <cell r="BL898" t="str">
            <v>0</v>
          </cell>
          <cell r="BM898" t="str">
            <v>1</v>
          </cell>
          <cell r="BN898" t="str">
            <v/>
          </cell>
          <cell r="BO898" t="str">
            <v/>
          </cell>
        </row>
        <row r="899">
          <cell r="A899">
            <v>1</v>
          </cell>
          <cell r="B899">
            <v>1339002</v>
          </cell>
          <cell r="C899" t="str">
            <v>DIVERS TOWEL</v>
          </cell>
          <cell r="D899" t="str">
            <v/>
          </cell>
          <cell r="E899" t="str">
            <v>N</v>
          </cell>
          <cell r="F899">
            <v>0</v>
          </cell>
          <cell r="G899">
            <v>0</v>
          </cell>
          <cell r="H899">
            <v>10165.98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10165.98</v>
          </cell>
          <cell r="O899">
            <v>10165.98</v>
          </cell>
          <cell r="P899">
            <v>10165.98</v>
          </cell>
          <cell r="Q899">
            <v>10165.98</v>
          </cell>
          <cell r="R899">
            <v>10165.98</v>
          </cell>
          <cell r="S899">
            <v>10165.98</v>
          </cell>
          <cell r="T899">
            <v>10165.98</v>
          </cell>
          <cell r="U899">
            <v>10165.98</v>
          </cell>
          <cell r="V899">
            <v>10165.98</v>
          </cell>
          <cell r="W899">
            <v>10165.98</v>
          </cell>
          <cell r="X899">
            <v>10165.98</v>
          </cell>
          <cell r="Y899">
            <v>10165.98</v>
          </cell>
          <cell r="Z899">
            <v>10165.98</v>
          </cell>
          <cell r="AA899">
            <v>10165.98</v>
          </cell>
          <cell r="AB899">
            <v>10165.98</v>
          </cell>
          <cell r="AC899">
            <v>10165.98</v>
          </cell>
          <cell r="AD899">
            <v>10165.98</v>
          </cell>
          <cell r="AE899">
            <v>10165.98</v>
          </cell>
          <cell r="AF899">
            <v>10165.98</v>
          </cell>
          <cell r="AG899">
            <v>10165.98</v>
          </cell>
          <cell r="AH899">
            <v>10165.98</v>
          </cell>
          <cell r="AI899">
            <v>10165.98</v>
          </cell>
          <cell r="AJ899">
            <v>10165.98</v>
          </cell>
          <cell r="AK899">
            <v>10165.98</v>
          </cell>
          <cell r="AL899">
            <v>0</v>
          </cell>
          <cell r="AM899">
            <v>2</v>
          </cell>
          <cell r="AN899" t="str">
            <v/>
          </cell>
          <cell r="AO899">
            <v>0</v>
          </cell>
          <cell r="AP899">
            <v>0</v>
          </cell>
          <cell r="AQ899">
            <v>0</v>
          </cell>
          <cell r="AR899">
            <v>290</v>
          </cell>
          <cell r="AS899">
            <v>0</v>
          </cell>
          <cell r="AT899" t="str">
            <v/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240</v>
          </cell>
          <cell r="BJ899" t="str">
            <v/>
          </cell>
          <cell r="BK899">
            <v>1700</v>
          </cell>
          <cell r="BL899" t="str">
            <v>1</v>
          </cell>
          <cell r="BM899" t="str">
            <v>1</v>
          </cell>
          <cell r="BN899" t="str">
            <v/>
          </cell>
          <cell r="BO899" t="str">
            <v/>
          </cell>
        </row>
        <row r="900">
          <cell r="A900">
            <v>1</v>
          </cell>
          <cell r="B900">
            <v>1332373</v>
          </cell>
          <cell r="C900" t="str">
            <v>CORE MACHINE</v>
          </cell>
          <cell r="D900" t="str">
            <v/>
          </cell>
          <cell r="E900" t="str">
            <v>N</v>
          </cell>
          <cell r="F900">
            <v>0</v>
          </cell>
          <cell r="G900">
            <v>0</v>
          </cell>
          <cell r="H900">
            <v>92793.67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92793.67</v>
          </cell>
          <cell r="O900">
            <v>92793.67</v>
          </cell>
          <cell r="P900">
            <v>92793.67</v>
          </cell>
          <cell r="Q900">
            <v>92793.67</v>
          </cell>
          <cell r="R900">
            <v>92793.67</v>
          </cell>
          <cell r="S900">
            <v>92793.67</v>
          </cell>
          <cell r="T900">
            <v>92793.67</v>
          </cell>
          <cell r="U900">
            <v>92793.67</v>
          </cell>
          <cell r="V900">
            <v>92793.67</v>
          </cell>
          <cell r="W900">
            <v>92793.67</v>
          </cell>
          <cell r="X900">
            <v>92793.67</v>
          </cell>
          <cell r="Y900">
            <v>92793.67</v>
          </cell>
          <cell r="Z900">
            <v>92108.6</v>
          </cell>
          <cell r="AA900">
            <v>92215.45</v>
          </cell>
          <cell r="AB900">
            <v>92603.67</v>
          </cell>
          <cell r="AC900">
            <v>92603.67</v>
          </cell>
          <cell r="AD900">
            <v>92603.67</v>
          </cell>
          <cell r="AE900">
            <v>92793.67</v>
          </cell>
          <cell r="AF900">
            <v>92793.67</v>
          </cell>
          <cell r="AG900">
            <v>92793.67</v>
          </cell>
          <cell r="AH900">
            <v>92793.67</v>
          </cell>
          <cell r="AI900">
            <v>92793.67</v>
          </cell>
          <cell r="AJ900">
            <v>92793.67</v>
          </cell>
          <cell r="AK900">
            <v>92793.67</v>
          </cell>
          <cell r="AL900">
            <v>0</v>
          </cell>
          <cell r="AM900">
            <v>3</v>
          </cell>
          <cell r="AN900" t="str">
            <v/>
          </cell>
          <cell r="AO900">
            <v>0</v>
          </cell>
          <cell r="AP900">
            <v>0</v>
          </cell>
          <cell r="AQ900">
            <v>0</v>
          </cell>
          <cell r="AR900">
            <v>290</v>
          </cell>
          <cell r="AS900">
            <v>0</v>
          </cell>
          <cell r="AT900" t="str">
            <v/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240</v>
          </cell>
          <cell r="BJ900" t="str">
            <v/>
          </cell>
          <cell r="BK900">
            <v>1700</v>
          </cell>
          <cell r="BL900" t="str">
            <v>1</v>
          </cell>
          <cell r="BM900" t="str">
            <v>1</v>
          </cell>
          <cell r="BN900" t="str">
            <v/>
          </cell>
          <cell r="BO900" t="str">
            <v/>
          </cell>
        </row>
        <row r="901">
          <cell r="A901">
            <v>1</v>
          </cell>
          <cell r="B901">
            <v>1332431</v>
          </cell>
          <cell r="C901" t="str">
            <v>CONTENANTS A REBUTS</v>
          </cell>
          <cell r="D901" t="str">
            <v/>
          </cell>
          <cell r="E901" t="str">
            <v>N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6765</v>
          </cell>
          <cell r="AA901">
            <v>6765</v>
          </cell>
          <cell r="AB901">
            <v>6765</v>
          </cell>
          <cell r="AC901">
            <v>6765</v>
          </cell>
          <cell r="AD901">
            <v>6765</v>
          </cell>
          <cell r="AE901">
            <v>6765</v>
          </cell>
          <cell r="AF901">
            <v>6765</v>
          </cell>
          <cell r="AG901">
            <v>6765</v>
          </cell>
          <cell r="AH901">
            <v>6765</v>
          </cell>
          <cell r="AI901">
            <v>6765</v>
          </cell>
          <cell r="AJ901">
            <v>6765</v>
          </cell>
          <cell r="AK901">
            <v>0</v>
          </cell>
          <cell r="AL901">
            <v>0</v>
          </cell>
          <cell r="AM901">
            <v>1</v>
          </cell>
          <cell r="AN901" t="str">
            <v/>
          </cell>
          <cell r="AO901">
            <v>0</v>
          </cell>
          <cell r="AP901">
            <v>0</v>
          </cell>
          <cell r="AQ901">
            <v>0</v>
          </cell>
          <cell r="AR901">
            <v>290</v>
          </cell>
          <cell r="AS901">
            <v>0</v>
          </cell>
          <cell r="AT901" t="str">
            <v/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240</v>
          </cell>
          <cell r="BJ901" t="str">
            <v/>
          </cell>
          <cell r="BK901">
            <v>1700</v>
          </cell>
          <cell r="BL901" t="str">
            <v>1</v>
          </cell>
          <cell r="BM901" t="str">
            <v>1</v>
          </cell>
          <cell r="BN901" t="str">
            <v/>
          </cell>
          <cell r="BO901" t="str">
            <v/>
          </cell>
        </row>
        <row r="902">
          <cell r="A902">
            <v>1</v>
          </cell>
          <cell r="B902">
            <v>1332440</v>
          </cell>
          <cell r="C902" t="str">
            <v>HIGH STACKER</v>
          </cell>
          <cell r="D902" t="str">
            <v/>
          </cell>
          <cell r="E902" t="str">
            <v>N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 t="str">
            <v/>
          </cell>
          <cell r="AO902">
            <v>0</v>
          </cell>
          <cell r="AP902">
            <v>0</v>
          </cell>
          <cell r="AQ902">
            <v>0</v>
          </cell>
          <cell r="AR902">
            <v>290</v>
          </cell>
          <cell r="AS902">
            <v>0</v>
          </cell>
          <cell r="AT902" t="str">
            <v/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240</v>
          </cell>
          <cell r="BJ902" t="str">
            <v/>
          </cell>
          <cell r="BK902">
            <v>1700</v>
          </cell>
          <cell r="BL902" t="str">
            <v>1</v>
          </cell>
          <cell r="BM902" t="str">
            <v>1</v>
          </cell>
          <cell r="BN902" t="str">
            <v/>
          </cell>
          <cell r="BO902" t="str">
            <v/>
          </cell>
        </row>
        <row r="903">
          <cell r="A903">
            <v>1</v>
          </cell>
          <cell r="B903">
            <v>1332454</v>
          </cell>
          <cell r="C903" t="str">
            <v>OSCILLOSCOPE</v>
          </cell>
          <cell r="D903" t="str">
            <v/>
          </cell>
          <cell r="E903" t="str">
            <v>N</v>
          </cell>
          <cell r="F903">
            <v>0</v>
          </cell>
          <cell r="G903">
            <v>0</v>
          </cell>
          <cell r="H903">
            <v>4199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4199</v>
          </cell>
          <cell r="O903">
            <v>4199</v>
          </cell>
          <cell r="P903">
            <v>4199</v>
          </cell>
          <cell r="Q903">
            <v>4199</v>
          </cell>
          <cell r="R903">
            <v>4199</v>
          </cell>
          <cell r="S903">
            <v>4199</v>
          </cell>
          <cell r="T903">
            <v>4199</v>
          </cell>
          <cell r="U903">
            <v>4199</v>
          </cell>
          <cell r="V903">
            <v>4199</v>
          </cell>
          <cell r="W903">
            <v>4199</v>
          </cell>
          <cell r="X903">
            <v>4199</v>
          </cell>
          <cell r="Y903">
            <v>4199</v>
          </cell>
          <cell r="Z903">
            <v>4199</v>
          </cell>
          <cell r="AA903">
            <v>4199</v>
          </cell>
          <cell r="AB903">
            <v>4199</v>
          </cell>
          <cell r="AC903">
            <v>4199</v>
          </cell>
          <cell r="AD903">
            <v>4199</v>
          </cell>
          <cell r="AE903">
            <v>4199</v>
          </cell>
          <cell r="AF903">
            <v>4199</v>
          </cell>
          <cell r="AG903">
            <v>4199</v>
          </cell>
          <cell r="AH903">
            <v>4199</v>
          </cell>
          <cell r="AI903">
            <v>4199</v>
          </cell>
          <cell r="AJ903">
            <v>4199</v>
          </cell>
          <cell r="AK903">
            <v>4199</v>
          </cell>
          <cell r="AL903">
            <v>0</v>
          </cell>
          <cell r="AM903">
            <v>4</v>
          </cell>
          <cell r="AN903" t="str">
            <v/>
          </cell>
          <cell r="AO903">
            <v>0</v>
          </cell>
          <cell r="AP903">
            <v>0</v>
          </cell>
          <cell r="AQ903">
            <v>0</v>
          </cell>
          <cell r="AR903">
            <v>290</v>
          </cell>
          <cell r="AS903">
            <v>0</v>
          </cell>
          <cell r="AT903" t="str">
            <v/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240</v>
          </cell>
          <cell r="BJ903" t="str">
            <v/>
          </cell>
          <cell r="BK903">
            <v>1700</v>
          </cell>
          <cell r="BL903" t="str">
            <v>1</v>
          </cell>
          <cell r="BM903" t="str">
            <v>1</v>
          </cell>
          <cell r="BN903" t="str">
            <v/>
          </cell>
          <cell r="BO903" t="str">
            <v/>
          </cell>
        </row>
        <row r="904">
          <cell r="A904">
            <v>1</v>
          </cell>
          <cell r="B904">
            <v>1332463</v>
          </cell>
          <cell r="C904" t="str">
            <v>STRETCH WRAPPER</v>
          </cell>
          <cell r="D904" t="str">
            <v/>
          </cell>
          <cell r="E904" t="str">
            <v>N</v>
          </cell>
          <cell r="F904">
            <v>0</v>
          </cell>
          <cell r="G904">
            <v>0</v>
          </cell>
          <cell r="H904">
            <v>11351.54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11351.54</v>
          </cell>
          <cell r="O904">
            <v>11351.54</v>
          </cell>
          <cell r="P904">
            <v>11351.54</v>
          </cell>
          <cell r="Q904">
            <v>11351.54</v>
          </cell>
          <cell r="R904">
            <v>11351.54</v>
          </cell>
          <cell r="S904">
            <v>11351.54</v>
          </cell>
          <cell r="T904">
            <v>11351.54</v>
          </cell>
          <cell r="U904">
            <v>11351.54</v>
          </cell>
          <cell r="V904">
            <v>11351.54</v>
          </cell>
          <cell r="W904">
            <v>11351.54</v>
          </cell>
          <cell r="X904">
            <v>11351.54</v>
          </cell>
          <cell r="Y904">
            <v>11351.54</v>
          </cell>
          <cell r="Z904">
            <v>11351.54</v>
          </cell>
          <cell r="AA904">
            <v>11351.54</v>
          </cell>
          <cell r="AB904">
            <v>11351.54</v>
          </cell>
          <cell r="AC904">
            <v>11351.54</v>
          </cell>
          <cell r="AD904">
            <v>11351.54</v>
          </cell>
          <cell r="AE904">
            <v>11351.54</v>
          </cell>
          <cell r="AF904">
            <v>11351.54</v>
          </cell>
          <cell r="AG904">
            <v>11351.54</v>
          </cell>
          <cell r="AH904">
            <v>11351.54</v>
          </cell>
          <cell r="AI904">
            <v>11351.54</v>
          </cell>
          <cell r="AJ904">
            <v>11351.54</v>
          </cell>
          <cell r="AK904">
            <v>11351.54</v>
          </cell>
          <cell r="AL904">
            <v>0</v>
          </cell>
          <cell r="AM904">
            <v>3</v>
          </cell>
          <cell r="AN904" t="str">
            <v/>
          </cell>
          <cell r="AO904">
            <v>0</v>
          </cell>
          <cell r="AP904">
            <v>0</v>
          </cell>
          <cell r="AQ904">
            <v>0</v>
          </cell>
          <cell r="AR904">
            <v>290</v>
          </cell>
          <cell r="AS904">
            <v>0</v>
          </cell>
          <cell r="AT904" t="str">
            <v/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240</v>
          </cell>
          <cell r="BJ904" t="str">
            <v/>
          </cell>
          <cell r="BK904">
            <v>1700</v>
          </cell>
          <cell r="BL904" t="str">
            <v>1</v>
          </cell>
          <cell r="BM904" t="str">
            <v>1</v>
          </cell>
          <cell r="BN904" t="str">
            <v/>
          </cell>
          <cell r="BO904" t="str">
            <v/>
          </cell>
        </row>
        <row r="905">
          <cell r="A905">
            <v>1</v>
          </cell>
          <cell r="B905">
            <v>1332491</v>
          </cell>
          <cell r="C905" t="str">
            <v>PRESSE 6 COULEURS</v>
          </cell>
          <cell r="D905" t="str">
            <v/>
          </cell>
          <cell r="E905" t="str">
            <v>N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1905599.31</v>
          </cell>
          <cell r="AA905">
            <v>1906769.31</v>
          </cell>
          <cell r="AB905">
            <v>1906769.31</v>
          </cell>
          <cell r="AC905">
            <v>1906769.31</v>
          </cell>
          <cell r="AD905">
            <v>1906769.31</v>
          </cell>
          <cell r="AE905">
            <v>1906769.31</v>
          </cell>
          <cell r="AF905">
            <v>1906769.31</v>
          </cell>
          <cell r="AG905">
            <v>1906769.31</v>
          </cell>
          <cell r="AH905">
            <v>1906769.31</v>
          </cell>
          <cell r="AI905">
            <v>1906769.31</v>
          </cell>
          <cell r="AJ905">
            <v>1906769.31</v>
          </cell>
          <cell r="AK905">
            <v>0</v>
          </cell>
          <cell r="AL905">
            <v>0</v>
          </cell>
          <cell r="AM905">
            <v>1</v>
          </cell>
          <cell r="AN905" t="str">
            <v/>
          </cell>
          <cell r="AO905">
            <v>0</v>
          </cell>
          <cell r="AP905">
            <v>0</v>
          </cell>
          <cell r="AQ905">
            <v>0</v>
          </cell>
          <cell r="AR905">
            <v>290</v>
          </cell>
          <cell r="AS905">
            <v>0</v>
          </cell>
          <cell r="AT905" t="str">
            <v/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240</v>
          </cell>
          <cell r="BJ905" t="str">
            <v/>
          </cell>
          <cell r="BK905">
            <v>1700</v>
          </cell>
          <cell r="BL905" t="str">
            <v>1</v>
          </cell>
          <cell r="BM905" t="str">
            <v>1</v>
          </cell>
          <cell r="BN905" t="str">
            <v/>
          </cell>
          <cell r="BO905" t="str">
            <v/>
          </cell>
        </row>
        <row r="906">
          <cell r="A906">
            <v>1</v>
          </cell>
          <cell r="B906">
            <v>2142150</v>
          </cell>
          <cell r="C906" t="str">
            <v>D.A.S</v>
          </cell>
          <cell r="D906" t="str">
            <v>NORMES DU TRAVAIL</v>
          </cell>
          <cell r="E906" t="str">
            <v>N</v>
          </cell>
          <cell r="F906">
            <v>0</v>
          </cell>
          <cell r="G906">
            <v>0</v>
          </cell>
          <cell r="H906">
            <v>-14656.04</v>
          </cell>
          <cell r="I906">
            <v>6837.34</v>
          </cell>
          <cell r="J906">
            <v>6154.6</v>
          </cell>
          <cell r="K906">
            <v>0</v>
          </cell>
          <cell r="L906">
            <v>0</v>
          </cell>
          <cell r="M906">
            <v>257.64</v>
          </cell>
          <cell r="N906">
            <v>-13374.78</v>
          </cell>
          <cell r="O906">
            <v>-19710.400000000001</v>
          </cell>
          <cell r="P906">
            <v>-19134.71</v>
          </cell>
          <cell r="Q906">
            <v>-18663.97</v>
          </cell>
          <cell r="R906">
            <v>-18025.689999999999</v>
          </cell>
          <cell r="S906">
            <v>-17375.830000000002</v>
          </cell>
          <cell r="T906">
            <v>-16857.78</v>
          </cell>
          <cell r="U906">
            <v>-16261.15</v>
          </cell>
          <cell r="V906">
            <v>-15794.54</v>
          </cell>
          <cell r="W906">
            <v>-15339.02</v>
          </cell>
          <cell r="X906">
            <v>-14656.04</v>
          </cell>
          <cell r="Y906">
            <v>-14398.4</v>
          </cell>
          <cell r="Z906">
            <v>-11383.33</v>
          </cell>
          <cell r="AA906">
            <v>-18443.61</v>
          </cell>
          <cell r="AB906">
            <v>-18443.61</v>
          </cell>
          <cell r="AC906">
            <v>-18443.61</v>
          </cell>
          <cell r="AD906">
            <v>-18165.23</v>
          </cell>
          <cell r="AE906">
            <v>-17508.759999999998</v>
          </cell>
          <cell r="AF906">
            <v>-16822.43</v>
          </cell>
          <cell r="AG906">
            <v>-16265.71</v>
          </cell>
          <cell r="AH906">
            <v>-15727.4</v>
          </cell>
          <cell r="AI906">
            <v>-15081.9</v>
          </cell>
          <cell r="AJ906">
            <v>-14595.86</v>
          </cell>
          <cell r="AK906">
            <v>-13973.3</v>
          </cell>
          <cell r="AL906">
            <v>0</v>
          </cell>
          <cell r="AM906">
            <v>0</v>
          </cell>
          <cell r="AN906" t="str">
            <v/>
          </cell>
          <cell r="AO906">
            <v>0</v>
          </cell>
          <cell r="AP906">
            <v>0</v>
          </cell>
          <cell r="AQ906">
            <v>0</v>
          </cell>
          <cell r="AR906">
            <v>420</v>
          </cell>
          <cell r="AS906">
            <v>0</v>
          </cell>
          <cell r="AT906" t="str">
            <v/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 t="str">
            <v/>
          </cell>
          <cell r="BK906">
            <v>2100</v>
          </cell>
          <cell r="BL906" t="str">
            <v>0</v>
          </cell>
          <cell r="BM906" t="str">
            <v>1</v>
          </cell>
          <cell r="BN906" t="str">
            <v/>
          </cell>
          <cell r="BO906" t="str">
            <v/>
          </cell>
        </row>
        <row r="907">
          <cell r="A907">
            <v>1</v>
          </cell>
          <cell r="B907">
            <v>2116910</v>
          </cell>
          <cell r="C907" t="str">
            <v>C.A.P.</v>
          </cell>
          <cell r="D907" t="str">
            <v>HONORAIRE PROFESSIONNEL</v>
          </cell>
          <cell r="E907" t="str">
            <v>N</v>
          </cell>
          <cell r="F907">
            <v>0</v>
          </cell>
          <cell r="G907">
            <v>0</v>
          </cell>
          <cell r="H907">
            <v>0</v>
          </cell>
          <cell r="I907">
            <v>1466</v>
          </cell>
          <cell r="J907">
            <v>1466</v>
          </cell>
          <cell r="K907">
            <v>0</v>
          </cell>
          <cell r="L907">
            <v>0</v>
          </cell>
          <cell r="M907">
            <v>0</v>
          </cell>
          <cell r="N907">
            <v>1466</v>
          </cell>
          <cell r="O907">
            <v>1466</v>
          </cell>
          <cell r="P907">
            <v>1466</v>
          </cell>
          <cell r="Q907">
            <v>1466</v>
          </cell>
          <cell r="R907">
            <v>1466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2000</v>
          </cell>
          <cell r="AA907">
            <v>4000</v>
          </cell>
          <cell r="AB907">
            <v>6000</v>
          </cell>
          <cell r="AC907">
            <v>8000</v>
          </cell>
          <cell r="AD907">
            <v>10000</v>
          </cell>
          <cell r="AE907">
            <v>-21480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 t="str">
            <v/>
          </cell>
          <cell r="AO907">
            <v>0</v>
          </cell>
          <cell r="AP907">
            <v>0</v>
          </cell>
          <cell r="AQ907">
            <v>0</v>
          </cell>
          <cell r="AR907">
            <v>420</v>
          </cell>
          <cell r="AS907">
            <v>0</v>
          </cell>
          <cell r="AT907" t="str">
            <v/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 t="str">
            <v/>
          </cell>
          <cell r="BK907">
            <v>2100</v>
          </cell>
          <cell r="BL907" t="str">
            <v>0</v>
          </cell>
          <cell r="BM907" t="str">
            <v>1</v>
          </cell>
          <cell r="BN907" t="str">
            <v/>
          </cell>
          <cell r="BO907" t="str">
            <v/>
          </cell>
        </row>
        <row r="908">
          <cell r="A908">
            <v>1</v>
          </cell>
          <cell r="B908">
            <v>1151001</v>
          </cell>
          <cell r="C908" t="str">
            <v>INV PRODUITS FINIS</v>
          </cell>
          <cell r="D908" t="str">
            <v>GLOBAL</v>
          </cell>
          <cell r="E908" t="str">
            <v>N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1</v>
          </cell>
          <cell r="AN908" t="str">
            <v/>
          </cell>
          <cell r="AO908">
            <v>0</v>
          </cell>
          <cell r="AP908">
            <v>0</v>
          </cell>
          <cell r="AQ908">
            <v>0</v>
          </cell>
          <cell r="AR908">
            <v>70</v>
          </cell>
          <cell r="AS908">
            <v>0</v>
          </cell>
          <cell r="AT908" t="str">
            <v/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 t="str">
            <v/>
          </cell>
          <cell r="BK908">
            <v>1500</v>
          </cell>
          <cell r="BL908" t="str">
            <v>0</v>
          </cell>
          <cell r="BM908" t="str">
            <v>1</v>
          </cell>
          <cell r="BN908" t="str">
            <v/>
          </cell>
          <cell r="BO908" t="str">
            <v/>
          </cell>
        </row>
        <row r="909">
          <cell r="A909">
            <v>1</v>
          </cell>
          <cell r="B909">
            <v>1151025</v>
          </cell>
          <cell r="C909" t="str">
            <v>INV PRODUITS FINIS</v>
          </cell>
          <cell r="D909" t="str">
            <v>SERVIETTE BENNETS VILLE</v>
          </cell>
          <cell r="E909" t="str">
            <v>N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5</v>
          </cell>
          <cell r="AN909" t="str">
            <v/>
          </cell>
          <cell r="AO909">
            <v>0</v>
          </cell>
          <cell r="AP909">
            <v>0</v>
          </cell>
          <cell r="AQ909">
            <v>0</v>
          </cell>
          <cell r="AR909">
            <v>70</v>
          </cell>
          <cell r="AS909">
            <v>0</v>
          </cell>
          <cell r="AT909" t="str">
            <v/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 t="str">
            <v/>
          </cell>
          <cell r="BK909">
            <v>1500</v>
          </cell>
          <cell r="BL909" t="str">
            <v>0</v>
          </cell>
          <cell r="BM909" t="str">
            <v>1</v>
          </cell>
          <cell r="BN909" t="str">
            <v/>
          </cell>
          <cell r="BO909" t="str">
            <v/>
          </cell>
        </row>
        <row r="910">
          <cell r="A910">
            <v>1</v>
          </cell>
          <cell r="B910">
            <v>2142050</v>
          </cell>
          <cell r="C910" t="str">
            <v>D.A.S</v>
          </cell>
          <cell r="D910" t="str">
            <v>AVANCE CSST</v>
          </cell>
          <cell r="E910" t="str">
            <v>N</v>
          </cell>
          <cell r="F910">
            <v>0</v>
          </cell>
          <cell r="G910">
            <v>0</v>
          </cell>
          <cell r="H910">
            <v>-27471.74</v>
          </cell>
          <cell r="I910">
            <v>97567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-27471.74</v>
          </cell>
          <cell r="O910">
            <v>-27471.74</v>
          </cell>
          <cell r="P910">
            <v>-27471.74</v>
          </cell>
          <cell r="Q910">
            <v>-27471.74</v>
          </cell>
          <cell r="R910">
            <v>-27471.74</v>
          </cell>
          <cell r="S910">
            <v>-27471.74</v>
          </cell>
          <cell r="T910">
            <v>-27471.74</v>
          </cell>
          <cell r="U910">
            <v>-27471.74</v>
          </cell>
          <cell r="V910">
            <v>-27471.74</v>
          </cell>
          <cell r="W910">
            <v>-27471.74</v>
          </cell>
          <cell r="X910">
            <v>-27471.74</v>
          </cell>
          <cell r="Y910">
            <v>-27471.74</v>
          </cell>
          <cell r="Z910">
            <v>72183.8</v>
          </cell>
          <cell r="AA910">
            <v>69412.52</v>
          </cell>
          <cell r="AB910">
            <v>68607.92</v>
          </cell>
          <cell r="AC910">
            <v>70377.86</v>
          </cell>
          <cell r="AD910">
            <v>70095.259999999995</v>
          </cell>
          <cell r="AE910">
            <v>70095.259999999995</v>
          </cell>
          <cell r="AF910">
            <v>70095.259999999995</v>
          </cell>
          <cell r="AG910">
            <v>70095.259999999995</v>
          </cell>
          <cell r="AH910">
            <v>70095.259999999995</v>
          </cell>
          <cell r="AI910">
            <v>70095.259999999995</v>
          </cell>
          <cell r="AJ910">
            <v>70095.259999999995</v>
          </cell>
          <cell r="AK910">
            <v>70095.259999999995</v>
          </cell>
          <cell r="AL910">
            <v>0</v>
          </cell>
          <cell r="AM910">
            <v>0</v>
          </cell>
          <cell r="AN910" t="str">
            <v/>
          </cell>
          <cell r="AO910">
            <v>0</v>
          </cell>
          <cell r="AP910">
            <v>0</v>
          </cell>
          <cell r="AQ910">
            <v>0</v>
          </cell>
          <cell r="AR910">
            <v>420</v>
          </cell>
          <cell r="AS910">
            <v>0</v>
          </cell>
          <cell r="AT910" t="str">
            <v/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 t="str">
            <v/>
          </cell>
          <cell r="BK910">
            <v>2100</v>
          </cell>
          <cell r="BL910" t="str">
            <v>0</v>
          </cell>
          <cell r="BM910" t="str">
            <v>1</v>
          </cell>
          <cell r="BN910" t="str">
            <v/>
          </cell>
          <cell r="BO910" t="str">
            <v/>
          </cell>
        </row>
        <row r="911">
          <cell r="A911">
            <v>1</v>
          </cell>
          <cell r="B911">
            <v>2116901</v>
          </cell>
          <cell r="C911" t="str">
            <v>C.A.P.</v>
          </cell>
          <cell r="D911" t="str">
            <v>PARTAGE C&amp;I</v>
          </cell>
          <cell r="E911" t="str">
            <v>N</v>
          </cell>
          <cell r="F911">
            <v>0</v>
          </cell>
          <cell r="G911">
            <v>0</v>
          </cell>
          <cell r="H911">
            <v>103436.65</v>
          </cell>
          <cell r="I911">
            <v>187208.43</v>
          </cell>
          <cell r="J911">
            <v>281134.84999999998</v>
          </cell>
          <cell r="K911">
            <v>0</v>
          </cell>
          <cell r="L911">
            <v>0</v>
          </cell>
          <cell r="M911">
            <v>8437.2900000000009</v>
          </cell>
          <cell r="N911">
            <v>24738.57</v>
          </cell>
          <cell r="O911">
            <v>27405.66</v>
          </cell>
          <cell r="P911">
            <v>35555.43</v>
          </cell>
          <cell r="Q911">
            <v>45090.46</v>
          </cell>
          <cell r="R911">
            <v>59415.85</v>
          </cell>
          <cell r="S911">
            <v>71041.570000000007</v>
          </cell>
          <cell r="T911">
            <v>87860.49</v>
          </cell>
          <cell r="U911">
            <v>100867.84</v>
          </cell>
          <cell r="V911">
            <v>73282.86</v>
          </cell>
          <cell r="W911">
            <v>87412.52</v>
          </cell>
          <cell r="X911">
            <v>103436.65</v>
          </cell>
          <cell r="Y911">
            <v>111873.94</v>
          </cell>
          <cell r="Z911">
            <v>-10528.32</v>
          </cell>
          <cell r="AA911">
            <v>-2381.8200000000002</v>
          </cell>
          <cell r="AB911">
            <v>8567.44</v>
          </cell>
          <cell r="AC911">
            <v>19038.82</v>
          </cell>
          <cell r="AD911">
            <v>31946.74</v>
          </cell>
          <cell r="AE911">
            <v>45908.800000000003</v>
          </cell>
          <cell r="AF911">
            <v>61335.79</v>
          </cell>
          <cell r="AG911">
            <v>25380.99</v>
          </cell>
          <cell r="AH911">
            <v>34459.54</v>
          </cell>
          <cell r="AI911">
            <v>41561.120000000003</v>
          </cell>
          <cell r="AJ911">
            <v>52885.53</v>
          </cell>
          <cell r="AK911">
            <v>9510.23</v>
          </cell>
          <cell r="AL911">
            <v>0</v>
          </cell>
          <cell r="AM911">
            <v>1</v>
          </cell>
          <cell r="AN911" t="str">
            <v/>
          </cell>
          <cell r="AO911">
            <v>0</v>
          </cell>
          <cell r="AP911">
            <v>0</v>
          </cell>
          <cell r="AQ911">
            <v>0</v>
          </cell>
          <cell r="AR911">
            <v>420</v>
          </cell>
          <cell r="AS911">
            <v>0</v>
          </cell>
          <cell r="AT911" t="str">
            <v/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 t="str">
            <v/>
          </cell>
          <cell r="BK911">
            <v>2100</v>
          </cell>
          <cell r="BL911" t="str">
            <v>0</v>
          </cell>
          <cell r="BM911" t="str">
            <v>1</v>
          </cell>
          <cell r="BN911" t="str">
            <v/>
          </cell>
          <cell r="BO911" t="str">
            <v/>
          </cell>
        </row>
        <row r="912">
          <cell r="A912">
            <v>1</v>
          </cell>
          <cell r="B912">
            <v>5309009</v>
          </cell>
          <cell r="C912" t="str">
            <v>AUTRES REVENUS NON ADMISS</v>
          </cell>
          <cell r="D912" t="str">
            <v>REVENTES C &amp; I ROCKINGHAM</v>
          </cell>
          <cell r="E912" t="str">
            <v>N</v>
          </cell>
          <cell r="F912">
            <v>0</v>
          </cell>
          <cell r="G912">
            <v>0</v>
          </cell>
          <cell r="H912">
            <v>0</v>
          </cell>
          <cell r="I912">
            <v>14715.71</v>
          </cell>
          <cell r="J912">
            <v>14715.71</v>
          </cell>
          <cell r="K912">
            <v>0</v>
          </cell>
          <cell r="L912">
            <v>27.23</v>
          </cell>
          <cell r="M912">
            <v>0.52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-685.21</v>
          </cell>
          <cell r="U912">
            <v>-685.21</v>
          </cell>
          <cell r="V912">
            <v>0</v>
          </cell>
          <cell r="W912">
            <v>0</v>
          </cell>
          <cell r="X912">
            <v>0</v>
          </cell>
          <cell r="Y912">
            <v>-26.71</v>
          </cell>
          <cell r="Z912">
            <v>-1890.6</v>
          </cell>
          <cell r="AA912">
            <v>0</v>
          </cell>
          <cell r="AB912">
            <v>2257.81</v>
          </cell>
          <cell r="AC912">
            <v>2257.81</v>
          </cell>
          <cell r="AD912">
            <v>2605.06</v>
          </cell>
          <cell r="AE912">
            <v>2605.06</v>
          </cell>
          <cell r="AF912">
            <v>2605.06</v>
          </cell>
          <cell r="AG912">
            <v>2605.06</v>
          </cell>
          <cell r="AH912">
            <v>2089</v>
          </cell>
          <cell r="AI912">
            <v>4457.54</v>
          </cell>
          <cell r="AJ912">
            <v>4457.54</v>
          </cell>
          <cell r="AK912">
            <v>4457.54</v>
          </cell>
          <cell r="AL912">
            <v>0</v>
          </cell>
          <cell r="AM912">
            <v>9</v>
          </cell>
          <cell r="AN912" t="str">
            <v/>
          </cell>
          <cell r="AO912">
            <v>0</v>
          </cell>
          <cell r="AP912">
            <v>0</v>
          </cell>
          <cell r="AQ912">
            <v>0</v>
          </cell>
          <cell r="AR912">
            <v>600</v>
          </cell>
          <cell r="AS912">
            <v>0</v>
          </cell>
          <cell r="AT912" t="str">
            <v/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 t="str">
            <v/>
          </cell>
          <cell r="BK912">
            <v>8000</v>
          </cell>
          <cell r="BL912" t="str">
            <v>0</v>
          </cell>
          <cell r="BM912" t="str">
            <v>1</v>
          </cell>
          <cell r="BN912" t="str">
            <v/>
          </cell>
          <cell r="BO912" t="str">
            <v/>
          </cell>
        </row>
        <row r="913">
          <cell r="A913">
            <v>1</v>
          </cell>
          <cell r="B913">
            <v>4205909</v>
          </cell>
          <cell r="C913" t="str">
            <v>INV PRODUITS FINIS VAR</v>
          </cell>
          <cell r="D913" t="str">
            <v>INV REVENTES C &amp; I</v>
          </cell>
          <cell r="E913" t="str">
            <v>O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9</v>
          </cell>
          <cell r="AN913" t="str">
            <v/>
          </cell>
          <cell r="AO913">
            <v>0</v>
          </cell>
          <cell r="AP913">
            <v>0</v>
          </cell>
          <cell r="AQ913">
            <v>0</v>
          </cell>
          <cell r="AR913">
            <v>780</v>
          </cell>
          <cell r="AS913">
            <v>0</v>
          </cell>
          <cell r="AT913" t="str">
            <v/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 t="str">
            <v/>
          </cell>
          <cell r="BK913">
            <v>6400</v>
          </cell>
          <cell r="BL913" t="str">
            <v>0</v>
          </cell>
          <cell r="BM913" t="str">
            <v>1</v>
          </cell>
          <cell r="BN913" t="str">
            <v/>
          </cell>
          <cell r="BO913" t="str">
            <v/>
          </cell>
        </row>
        <row r="914">
          <cell r="A914">
            <v>1</v>
          </cell>
          <cell r="B914">
            <v>1165000</v>
          </cell>
          <cell r="C914" t="str">
            <v>INV PIECES DE RECHANGES</v>
          </cell>
          <cell r="D914" t="str">
            <v>PRODUITS CHIMIQUES</v>
          </cell>
          <cell r="E914" t="str">
            <v>O</v>
          </cell>
          <cell r="F914">
            <v>0</v>
          </cell>
          <cell r="G914">
            <v>0</v>
          </cell>
          <cell r="H914">
            <v>104761</v>
          </cell>
          <cell r="I914">
            <v>1233102.21</v>
          </cell>
          <cell r="J914">
            <v>1251743.81</v>
          </cell>
          <cell r="K914">
            <v>0</v>
          </cell>
          <cell r="L914">
            <v>123506</v>
          </cell>
          <cell r="M914">
            <v>104761</v>
          </cell>
          <cell r="N914">
            <v>98351.55</v>
          </cell>
          <cell r="O914">
            <v>103521.48</v>
          </cell>
          <cell r="P914">
            <v>93962.26</v>
          </cell>
          <cell r="Q914">
            <v>96354.67</v>
          </cell>
          <cell r="R914">
            <v>112936.21</v>
          </cell>
          <cell r="S914">
            <v>106297.65</v>
          </cell>
          <cell r="T914">
            <v>120546.46</v>
          </cell>
          <cell r="U914">
            <v>123104.25</v>
          </cell>
          <cell r="V914">
            <v>138157.49</v>
          </cell>
          <cell r="W914">
            <v>144140.01</v>
          </cell>
          <cell r="X914">
            <v>104761</v>
          </cell>
          <cell r="Y914">
            <v>123506</v>
          </cell>
          <cell r="Z914">
            <v>78901.279999999999</v>
          </cell>
          <cell r="AA914">
            <v>76596.61</v>
          </cell>
          <cell r="AB914">
            <v>63281.36</v>
          </cell>
          <cell r="AC914">
            <v>99998.86</v>
          </cell>
          <cell r="AD914">
            <v>78294.61</v>
          </cell>
          <cell r="AE914">
            <v>68362.570000000007</v>
          </cell>
          <cell r="AF914">
            <v>91224.79</v>
          </cell>
          <cell r="AG914">
            <v>115921.55</v>
          </cell>
          <cell r="AH914">
            <v>74619.02</v>
          </cell>
          <cell r="AI914">
            <v>76691.839999999997</v>
          </cell>
          <cell r="AJ914">
            <v>128744.19</v>
          </cell>
          <cell r="AK914">
            <v>123402.6</v>
          </cell>
          <cell r="AL914">
            <v>0</v>
          </cell>
          <cell r="AM914">
            <v>0</v>
          </cell>
          <cell r="AN914" t="str">
            <v/>
          </cell>
          <cell r="AO914">
            <v>0</v>
          </cell>
          <cell r="AP914">
            <v>0</v>
          </cell>
          <cell r="AQ914">
            <v>0</v>
          </cell>
          <cell r="AR914">
            <v>100</v>
          </cell>
          <cell r="AS914">
            <v>0</v>
          </cell>
          <cell r="AT914" t="str">
            <v/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 t="str">
            <v/>
          </cell>
          <cell r="BK914">
            <v>1600</v>
          </cell>
          <cell r="BL914" t="str">
            <v>0</v>
          </cell>
          <cell r="BM914" t="str">
            <v>1</v>
          </cell>
          <cell r="BN914" t="str">
            <v/>
          </cell>
          <cell r="BO914" t="str">
            <v/>
          </cell>
        </row>
        <row r="915">
          <cell r="A915">
            <v>1</v>
          </cell>
          <cell r="B915">
            <v>1700000</v>
          </cell>
          <cell r="C915" t="str">
            <v>INTANGIBLES</v>
          </cell>
          <cell r="D915" t="str">
            <v/>
          </cell>
          <cell r="E915" t="str">
            <v>O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 t="str">
            <v/>
          </cell>
          <cell r="AO915">
            <v>0</v>
          </cell>
          <cell r="AP915">
            <v>0</v>
          </cell>
          <cell r="AQ915">
            <v>0</v>
          </cell>
          <cell r="AR915">
            <v>395</v>
          </cell>
          <cell r="AS915">
            <v>0</v>
          </cell>
          <cell r="AT915" t="str">
            <v/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480</v>
          </cell>
          <cell r="BJ915" t="str">
            <v/>
          </cell>
          <cell r="BK915">
            <v>1900</v>
          </cell>
          <cell r="BL915" t="str">
            <v>1</v>
          </cell>
          <cell r="BM915" t="str">
            <v>1</v>
          </cell>
          <cell r="BN915" t="str">
            <v/>
          </cell>
          <cell r="BO915" t="str">
            <v/>
          </cell>
        </row>
        <row r="916">
          <cell r="A916">
            <v>1</v>
          </cell>
          <cell r="B916">
            <v>4640001</v>
          </cell>
          <cell r="C916" t="str">
            <v>ENVIRONNEMENT</v>
          </cell>
          <cell r="D916" t="str">
            <v>DISPOSITION DECHETS TOXIC</v>
          </cell>
          <cell r="E916" t="str">
            <v>O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1</v>
          </cell>
          <cell r="AN916" t="str">
            <v/>
          </cell>
          <cell r="AO916">
            <v>0</v>
          </cell>
          <cell r="AP916">
            <v>0</v>
          </cell>
          <cell r="AQ916">
            <v>0</v>
          </cell>
          <cell r="AR916">
            <v>660</v>
          </cell>
          <cell r="AS916">
            <v>0</v>
          </cell>
          <cell r="AT916" t="str">
            <v/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 t="str">
            <v/>
          </cell>
          <cell r="BK916">
            <v>7000</v>
          </cell>
          <cell r="BL916" t="str">
            <v>0</v>
          </cell>
          <cell r="BM916" t="str">
            <v>1</v>
          </cell>
          <cell r="BN916" t="str">
            <v/>
          </cell>
          <cell r="BO916" t="str">
            <v/>
          </cell>
        </row>
        <row r="917">
          <cell r="A917">
            <v>1</v>
          </cell>
          <cell r="B917">
            <v>4790001</v>
          </cell>
          <cell r="C917" t="str">
            <v>HONORAIRES AGENTS</v>
          </cell>
          <cell r="D917" t="str">
            <v>OBLIGATOIRE</v>
          </cell>
          <cell r="E917" t="str">
            <v>O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1</v>
          </cell>
          <cell r="AN917" t="str">
            <v/>
          </cell>
          <cell r="AO917">
            <v>0</v>
          </cell>
          <cell r="AP917">
            <v>0</v>
          </cell>
          <cell r="AQ917">
            <v>0</v>
          </cell>
          <cell r="AR917">
            <v>800</v>
          </cell>
          <cell r="AS917">
            <v>0</v>
          </cell>
          <cell r="AT917" t="str">
            <v/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 t="str">
            <v/>
          </cell>
          <cell r="BK917">
            <v>4100</v>
          </cell>
          <cell r="BL917" t="str">
            <v>0</v>
          </cell>
          <cell r="BM917" t="str">
            <v>1</v>
          </cell>
          <cell r="BN917" t="str">
            <v/>
          </cell>
          <cell r="BO917" t="str">
            <v/>
          </cell>
        </row>
        <row r="918">
          <cell r="A918">
            <v>1</v>
          </cell>
          <cell r="B918">
            <v>4640002</v>
          </cell>
          <cell r="C918" t="str">
            <v>ENVIRONNEMENT</v>
          </cell>
          <cell r="D918" t="str">
            <v>OBLIGATOIRE</v>
          </cell>
          <cell r="E918" t="str">
            <v>O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2</v>
          </cell>
          <cell r="AN918" t="str">
            <v/>
          </cell>
          <cell r="AO918">
            <v>0</v>
          </cell>
          <cell r="AP918">
            <v>0</v>
          </cell>
          <cell r="AQ918">
            <v>0</v>
          </cell>
          <cell r="AR918">
            <v>660</v>
          </cell>
          <cell r="AS918">
            <v>0</v>
          </cell>
          <cell r="AT918" t="str">
            <v/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 t="str">
            <v/>
          </cell>
          <cell r="BK918">
            <v>7000</v>
          </cell>
          <cell r="BL918" t="str">
            <v>0</v>
          </cell>
          <cell r="BM918" t="str">
            <v>1</v>
          </cell>
          <cell r="BN918" t="str">
            <v/>
          </cell>
          <cell r="BO918" t="str">
            <v/>
          </cell>
        </row>
        <row r="919">
          <cell r="A919">
            <v>1</v>
          </cell>
          <cell r="B919">
            <v>4640003</v>
          </cell>
          <cell r="C919" t="str">
            <v>ENVIRONNEMENT</v>
          </cell>
          <cell r="D919" t="str">
            <v>OBLIGATOIRE</v>
          </cell>
          <cell r="E919" t="str">
            <v>O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3</v>
          </cell>
          <cell r="AN919" t="str">
            <v/>
          </cell>
          <cell r="AO919">
            <v>0</v>
          </cell>
          <cell r="AP919">
            <v>0</v>
          </cell>
          <cell r="AQ919">
            <v>0</v>
          </cell>
          <cell r="AR919">
            <v>660</v>
          </cell>
          <cell r="AS919">
            <v>0</v>
          </cell>
          <cell r="AT919" t="str">
            <v/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 t="str">
            <v/>
          </cell>
          <cell r="BK919">
            <v>7000</v>
          </cell>
          <cell r="BL919" t="str">
            <v>0</v>
          </cell>
          <cell r="BM919" t="str">
            <v>1</v>
          </cell>
          <cell r="BN919" t="str">
            <v/>
          </cell>
          <cell r="BO919" t="str">
            <v/>
          </cell>
        </row>
        <row r="920">
          <cell r="A920">
            <v>1</v>
          </cell>
          <cell r="B920">
            <v>4640004</v>
          </cell>
          <cell r="C920" t="str">
            <v>ENVIRONNEMENT</v>
          </cell>
          <cell r="D920" t="str">
            <v>OBLIGATOIRE</v>
          </cell>
          <cell r="E920" t="str">
            <v>O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4</v>
          </cell>
          <cell r="AN920" t="str">
            <v/>
          </cell>
          <cell r="AO920">
            <v>0</v>
          </cell>
          <cell r="AP920">
            <v>0</v>
          </cell>
          <cell r="AQ920">
            <v>0</v>
          </cell>
          <cell r="AR920">
            <v>660</v>
          </cell>
          <cell r="AS920">
            <v>0</v>
          </cell>
          <cell r="AT920" t="str">
            <v/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 t="str">
            <v/>
          </cell>
          <cell r="BK920">
            <v>7000</v>
          </cell>
          <cell r="BL920" t="str">
            <v>0</v>
          </cell>
          <cell r="BM920" t="str">
            <v>1</v>
          </cell>
          <cell r="BN920" t="str">
            <v/>
          </cell>
          <cell r="BO920" t="str">
            <v/>
          </cell>
        </row>
        <row r="921">
          <cell r="A921">
            <v>1</v>
          </cell>
          <cell r="B921">
            <v>4790002</v>
          </cell>
          <cell r="C921" t="str">
            <v>HONORAIRES AGENTS</v>
          </cell>
          <cell r="D921" t="str">
            <v>OBLIGATOIRE</v>
          </cell>
          <cell r="E921" t="str">
            <v>O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2</v>
          </cell>
          <cell r="AN921" t="str">
            <v/>
          </cell>
          <cell r="AO921">
            <v>0</v>
          </cell>
          <cell r="AP921">
            <v>0</v>
          </cell>
          <cell r="AQ921">
            <v>0</v>
          </cell>
          <cell r="AR921">
            <v>800</v>
          </cell>
          <cell r="AS921">
            <v>0</v>
          </cell>
          <cell r="AT921" t="str">
            <v/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 t="str">
            <v/>
          </cell>
          <cell r="BK921">
            <v>4100</v>
          </cell>
          <cell r="BL921" t="str">
            <v>0</v>
          </cell>
          <cell r="BM921" t="str">
            <v>1</v>
          </cell>
          <cell r="BN921" t="str">
            <v/>
          </cell>
          <cell r="BO921" t="str">
            <v/>
          </cell>
        </row>
        <row r="922">
          <cell r="A922">
            <v>1</v>
          </cell>
          <cell r="B922">
            <v>4790003</v>
          </cell>
          <cell r="C922" t="str">
            <v>HONORAIRES AGENTS</v>
          </cell>
          <cell r="D922" t="str">
            <v>OBLIGATOIRE</v>
          </cell>
          <cell r="E922" t="str">
            <v>O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3</v>
          </cell>
          <cell r="AN922" t="str">
            <v/>
          </cell>
          <cell r="AO922">
            <v>0</v>
          </cell>
          <cell r="AP922">
            <v>0</v>
          </cell>
          <cell r="AQ922">
            <v>0</v>
          </cell>
          <cell r="AR922">
            <v>800</v>
          </cell>
          <cell r="AS922">
            <v>0</v>
          </cell>
          <cell r="AT922" t="str">
            <v/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 t="str">
            <v/>
          </cell>
          <cell r="BK922">
            <v>4100</v>
          </cell>
          <cell r="BL922" t="str">
            <v>0</v>
          </cell>
          <cell r="BM922" t="str">
            <v>1</v>
          </cell>
          <cell r="BN922" t="str">
            <v/>
          </cell>
          <cell r="BO922" t="str">
            <v/>
          </cell>
        </row>
        <row r="923">
          <cell r="A923">
            <v>1</v>
          </cell>
          <cell r="B923">
            <v>4790004</v>
          </cell>
          <cell r="C923" t="str">
            <v>HONORAIRES AGENTS</v>
          </cell>
          <cell r="D923" t="str">
            <v>OBLIGATOIRE</v>
          </cell>
          <cell r="E923" t="str">
            <v>O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4</v>
          </cell>
          <cell r="AN923" t="str">
            <v/>
          </cell>
          <cell r="AO923">
            <v>0</v>
          </cell>
          <cell r="AP923">
            <v>0</v>
          </cell>
          <cell r="AQ923">
            <v>0</v>
          </cell>
          <cell r="AR923">
            <v>800</v>
          </cell>
          <cell r="AS923">
            <v>0</v>
          </cell>
          <cell r="AT923" t="str">
            <v/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 t="str">
            <v/>
          </cell>
          <cell r="BK923">
            <v>4100</v>
          </cell>
          <cell r="BL923" t="str">
            <v>0</v>
          </cell>
          <cell r="BM923" t="str">
            <v>1</v>
          </cell>
          <cell r="BN923" t="str">
            <v/>
          </cell>
          <cell r="BO923" t="str">
            <v/>
          </cell>
        </row>
        <row r="924">
          <cell r="A924">
            <v>1</v>
          </cell>
          <cell r="B924">
            <v>5040001</v>
          </cell>
          <cell r="C924" t="str">
            <v>OBLIGATOIRE</v>
          </cell>
          <cell r="D924" t="str">
            <v/>
          </cell>
          <cell r="E924" t="str">
            <v>O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1</v>
          </cell>
          <cell r="AN924" t="str">
            <v/>
          </cell>
          <cell r="AO924">
            <v>0</v>
          </cell>
          <cell r="AP924">
            <v>0</v>
          </cell>
          <cell r="AQ924">
            <v>0</v>
          </cell>
          <cell r="AR924">
            <v>660</v>
          </cell>
          <cell r="AS924">
            <v>0</v>
          </cell>
          <cell r="AT924" t="str">
            <v/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 t="str">
            <v/>
          </cell>
          <cell r="BK924">
            <v>7200</v>
          </cell>
          <cell r="BL924" t="str">
            <v>0</v>
          </cell>
          <cell r="BM924" t="str">
            <v>1</v>
          </cell>
          <cell r="BN924" t="str">
            <v/>
          </cell>
          <cell r="BO924" t="str">
            <v/>
          </cell>
        </row>
        <row r="925">
          <cell r="A925">
            <v>1</v>
          </cell>
          <cell r="B925">
            <v>5040002</v>
          </cell>
          <cell r="C925" t="str">
            <v>OBLIGATOIRE</v>
          </cell>
          <cell r="D925" t="str">
            <v/>
          </cell>
          <cell r="E925" t="str">
            <v>O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2</v>
          </cell>
          <cell r="AN925" t="str">
            <v/>
          </cell>
          <cell r="AO925">
            <v>0</v>
          </cell>
          <cell r="AP925">
            <v>0</v>
          </cell>
          <cell r="AQ925">
            <v>0</v>
          </cell>
          <cell r="AR925">
            <v>660</v>
          </cell>
          <cell r="AS925">
            <v>0</v>
          </cell>
          <cell r="AT925" t="str">
            <v/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 t="str">
            <v/>
          </cell>
          <cell r="BK925">
            <v>7200</v>
          </cell>
          <cell r="BL925" t="str">
            <v>0</v>
          </cell>
          <cell r="BM925" t="str">
            <v>1</v>
          </cell>
          <cell r="BN925" t="str">
            <v/>
          </cell>
          <cell r="BO925" t="str">
            <v/>
          </cell>
        </row>
        <row r="926">
          <cell r="A926">
            <v>1</v>
          </cell>
          <cell r="B926">
            <v>5040003</v>
          </cell>
          <cell r="C926" t="str">
            <v>OBLIGATOIRE</v>
          </cell>
          <cell r="D926" t="str">
            <v/>
          </cell>
          <cell r="E926" t="str">
            <v>O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3</v>
          </cell>
          <cell r="AN926" t="str">
            <v/>
          </cell>
          <cell r="AO926">
            <v>0</v>
          </cell>
          <cell r="AP926">
            <v>0</v>
          </cell>
          <cell r="AQ926">
            <v>0</v>
          </cell>
          <cell r="AR926">
            <v>660</v>
          </cell>
          <cell r="AS926">
            <v>0</v>
          </cell>
          <cell r="AT926" t="str">
            <v/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 t="str">
            <v/>
          </cell>
          <cell r="BK926">
            <v>7200</v>
          </cell>
          <cell r="BL926" t="str">
            <v>0</v>
          </cell>
          <cell r="BM926" t="str">
            <v>1</v>
          </cell>
          <cell r="BN926" t="str">
            <v/>
          </cell>
          <cell r="BO926" t="str">
            <v/>
          </cell>
        </row>
        <row r="927">
          <cell r="A927">
            <v>1</v>
          </cell>
          <cell r="B927">
            <v>5040004</v>
          </cell>
          <cell r="C927" t="str">
            <v>OBLIGATOIRE</v>
          </cell>
          <cell r="D927" t="str">
            <v/>
          </cell>
          <cell r="E927" t="str">
            <v>O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4</v>
          </cell>
          <cell r="AN927" t="str">
            <v/>
          </cell>
          <cell r="AO927">
            <v>0</v>
          </cell>
          <cell r="AP927">
            <v>0</v>
          </cell>
          <cell r="AQ927">
            <v>0</v>
          </cell>
          <cell r="AR927">
            <v>660</v>
          </cell>
          <cell r="AS927">
            <v>0</v>
          </cell>
          <cell r="AT927" t="str">
            <v/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 t="str">
            <v/>
          </cell>
          <cell r="BK927">
            <v>7200</v>
          </cell>
          <cell r="BL927" t="str">
            <v>0</v>
          </cell>
          <cell r="BM927" t="str">
            <v>1</v>
          </cell>
          <cell r="BN927" t="str">
            <v/>
          </cell>
          <cell r="BO927" t="str">
            <v/>
          </cell>
        </row>
        <row r="928">
          <cell r="A928">
            <v>1</v>
          </cell>
          <cell r="B928">
            <v>5140001</v>
          </cell>
          <cell r="C928" t="str">
            <v>ESCOMPTES</v>
          </cell>
          <cell r="D928" t="str">
            <v>OBLIGATOIRE</v>
          </cell>
          <cell r="E928" t="str">
            <v>O</v>
          </cell>
          <cell r="F928">
            <v>0</v>
          </cell>
          <cell r="G928">
            <v>0</v>
          </cell>
          <cell r="H928">
            <v>-4975.75</v>
          </cell>
          <cell r="I928">
            <v>0</v>
          </cell>
          <cell r="J928">
            <v>4975.75</v>
          </cell>
          <cell r="K928">
            <v>0</v>
          </cell>
          <cell r="L928">
            <v>0</v>
          </cell>
          <cell r="M928">
            <v>1303.1099999999999</v>
          </cell>
          <cell r="N928">
            <v>-402.17</v>
          </cell>
          <cell r="O928">
            <v>-751.35</v>
          </cell>
          <cell r="P928">
            <v>-1045.8800000000001</v>
          </cell>
          <cell r="Q928">
            <v>-1245.29</v>
          </cell>
          <cell r="R928">
            <v>-1304.27</v>
          </cell>
          <cell r="S928">
            <v>-2118.13</v>
          </cell>
          <cell r="T928">
            <v>-2784.57</v>
          </cell>
          <cell r="U928">
            <v>-3635.18</v>
          </cell>
          <cell r="V928">
            <v>-4291.82</v>
          </cell>
          <cell r="W928">
            <v>-4384.78</v>
          </cell>
          <cell r="X928">
            <v>-4975.75</v>
          </cell>
          <cell r="Y928">
            <v>-6278.86</v>
          </cell>
          <cell r="Z928">
            <v>0</v>
          </cell>
          <cell r="AA928">
            <v>0</v>
          </cell>
          <cell r="AB928">
            <v>0</v>
          </cell>
          <cell r="AC928">
            <v>-549.28</v>
          </cell>
          <cell r="AD928">
            <v>-2545.6799999999998</v>
          </cell>
          <cell r="AE928">
            <v>-4089.39</v>
          </cell>
          <cell r="AF928">
            <v>-4968.1899999999996</v>
          </cell>
          <cell r="AG928">
            <v>-4993.09</v>
          </cell>
          <cell r="AH928">
            <v>-5552.92</v>
          </cell>
          <cell r="AI928">
            <v>-6392.44</v>
          </cell>
          <cell r="AJ928">
            <v>-6931.99</v>
          </cell>
          <cell r="AK928">
            <v>-8037.5</v>
          </cell>
          <cell r="AL928">
            <v>0</v>
          </cell>
          <cell r="AM928">
            <v>1</v>
          </cell>
          <cell r="AN928" t="str">
            <v/>
          </cell>
          <cell r="AO928">
            <v>0</v>
          </cell>
          <cell r="AP928">
            <v>0</v>
          </cell>
          <cell r="AQ928">
            <v>0</v>
          </cell>
          <cell r="AR928">
            <v>820</v>
          </cell>
          <cell r="AS928">
            <v>0</v>
          </cell>
          <cell r="AT928" t="str">
            <v/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 t="str">
            <v/>
          </cell>
          <cell r="BK928">
            <v>7300</v>
          </cell>
          <cell r="BL928" t="str">
            <v>0</v>
          </cell>
          <cell r="BM928" t="str">
            <v>1</v>
          </cell>
          <cell r="BN928" t="str">
            <v/>
          </cell>
          <cell r="BO928" t="str">
            <v/>
          </cell>
        </row>
        <row r="929">
          <cell r="A929">
            <v>1</v>
          </cell>
          <cell r="B929">
            <v>5140002</v>
          </cell>
          <cell r="C929" t="str">
            <v>ESCOMPTES</v>
          </cell>
          <cell r="D929" t="str">
            <v>OBLIGATOIRE</v>
          </cell>
          <cell r="E929" t="str">
            <v>O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2</v>
          </cell>
          <cell r="AN929" t="str">
            <v/>
          </cell>
          <cell r="AO929">
            <v>0</v>
          </cell>
          <cell r="AP929">
            <v>0</v>
          </cell>
          <cell r="AQ929">
            <v>0</v>
          </cell>
          <cell r="AR929">
            <v>820</v>
          </cell>
          <cell r="AS929">
            <v>0</v>
          </cell>
          <cell r="AT929" t="str">
            <v/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 t="str">
            <v/>
          </cell>
          <cell r="BK929">
            <v>7300</v>
          </cell>
          <cell r="BL929" t="str">
            <v>0</v>
          </cell>
          <cell r="BM929" t="str">
            <v>1</v>
          </cell>
          <cell r="BN929" t="str">
            <v/>
          </cell>
          <cell r="BO929" t="str">
            <v/>
          </cell>
        </row>
        <row r="930">
          <cell r="A930">
            <v>1</v>
          </cell>
          <cell r="B930">
            <v>5140003</v>
          </cell>
          <cell r="C930" t="str">
            <v>ESCOMPTES</v>
          </cell>
          <cell r="D930" t="str">
            <v>OBLIGATOIRE</v>
          </cell>
          <cell r="E930" t="str">
            <v>O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3</v>
          </cell>
          <cell r="AN930" t="str">
            <v/>
          </cell>
          <cell r="AO930">
            <v>0</v>
          </cell>
          <cell r="AP930">
            <v>0</v>
          </cell>
          <cell r="AQ930">
            <v>0</v>
          </cell>
          <cell r="AR930">
            <v>820</v>
          </cell>
          <cell r="AS930">
            <v>0</v>
          </cell>
          <cell r="AT930" t="str">
            <v/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 t="str">
            <v/>
          </cell>
          <cell r="BK930">
            <v>7300</v>
          </cell>
          <cell r="BL930" t="str">
            <v>0</v>
          </cell>
          <cell r="BM930" t="str">
            <v>1</v>
          </cell>
          <cell r="BN930" t="str">
            <v/>
          </cell>
          <cell r="BO930" t="str">
            <v/>
          </cell>
        </row>
        <row r="931">
          <cell r="A931">
            <v>1</v>
          </cell>
          <cell r="B931">
            <v>5140004</v>
          </cell>
          <cell r="C931" t="str">
            <v>ESCOMPTES</v>
          </cell>
          <cell r="D931" t="str">
            <v>OBLIGATOIRE</v>
          </cell>
          <cell r="E931" t="str">
            <v>O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 t="str">
            <v/>
          </cell>
          <cell r="AO931">
            <v>0</v>
          </cell>
          <cell r="AP931">
            <v>0</v>
          </cell>
          <cell r="AQ931">
            <v>0</v>
          </cell>
          <cell r="AR931">
            <v>820</v>
          </cell>
          <cell r="AS931">
            <v>0</v>
          </cell>
          <cell r="AT931" t="str">
            <v/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 t="str">
            <v/>
          </cell>
          <cell r="BK931">
            <v>7300</v>
          </cell>
          <cell r="BL931" t="str">
            <v>0</v>
          </cell>
          <cell r="BM931" t="str">
            <v>1</v>
          </cell>
          <cell r="BN931" t="str">
            <v/>
          </cell>
          <cell r="BO931" t="str">
            <v/>
          </cell>
        </row>
        <row r="932">
          <cell r="A932">
            <v>1</v>
          </cell>
          <cell r="B932">
            <v>4489003</v>
          </cell>
          <cell r="C932" t="str">
            <v>PLAQUES EN POLYMERE</v>
          </cell>
          <cell r="D932" t="str">
            <v/>
          </cell>
          <cell r="E932" t="str">
            <v>O</v>
          </cell>
          <cell r="F932">
            <v>0</v>
          </cell>
          <cell r="G932">
            <v>0</v>
          </cell>
          <cell r="H932">
            <v>60057.599999999999</v>
          </cell>
          <cell r="I932">
            <v>64032.83</v>
          </cell>
          <cell r="J932">
            <v>3975.23</v>
          </cell>
          <cell r="K932">
            <v>0</v>
          </cell>
          <cell r="L932">
            <v>4425.8100000000004</v>
          </cell>
          <cell r="M932">
            <v>165</v>
          </cell>
          <cell r="N932">
            <v>5306.65</v>
          </cell>
          <cell r="O932">
            <v>5306.65</v>
          </cell>
          <cell r="P932">
            <v>16264.8</v>
          </cell>
          <cell r="Q932">
            <v>16800.419999999998</v>
          </cell>
          <cell r="R932">
            <v>22719.87</v>
          </cell>
          <cell r="S932">
            <v>27358.11</v>
          </cell>
          <cell r="T932">
            <v>32631.13</v>
          </cell>
          <cell r="U932">
            <v>38375.769999999997</v>
          </cell>
          <cell r="V932">
            <v>47277.04</v>
          </cell>
          <cell r="W932">
            <v>53943.06</v>
          </cell>
          <cell r="X932">
            <v>60057.599999999999</v>
          </cell>
          <cell r="Y932">
            <v>64318.41</v>
          </cell>
          <cell r="Z932">
            <v>1417.69</v>
          </cell>
          <cell r="AA932">
            <v>7742.04</v>
          </cell>
          <cell r="AB932">
            <v>10909.9</v>
          </cell>
          <cell r="AC932">
            <v>17403.330000000002</v>
          </cell>
          <cell r="AD932">
            <v>25681.06</v>
          </cell>
          <cell r="AE932">
            <v>31270.97</v>
          </cell>
          <cell r="AF932">
            <v>37722.29</v>
          </cell>
          <cell r="AG932">
            <v>44417.71</v>
          </cell>
          <cell r="AH932">
            <v>53097.46</v>
          </cell>
          <cell r="AI932">
            <v>62032.77</v>
          </cell>
          <cell r="AJ932">
            <v>68550.11</v>
          </cell>
          <cell r="AK932">
            <v>69725.81</v>
          </cell>
          <cell r="AL932">
            <v>0</v>
          </cell>
          <cell r="AM932">
            <v>3</v>
          </cell>
          <cell r="AN932" t="str">
            <v/>
          </cell>
          <cell r="AO932">
            <v>0</v>
          </cell>
          <cell r="AP932">
            <v>0</v>
          </cell>
          <cell r="AQ932">
            <v>0</v>
          </cell>
          <cell r="AR932">
            <v>720</v>
          </cell>
          <cell r="AS932">
            <v>0</v>
          </cell>
          <cell r="AT932" t="str">
            <v/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 t="str">
            <v/>
          </cell>
          <cell r="BK932">
            <v>7000</v>
          </cell>
          <cell r="BL932" t="str">
            <v>0</v>
          </cell>
          <cell r="BM932" t="str">
            <v>1</v>
          </cell>
          <cell r="BN932" t="str">
            <v/>
          </cell>
          <cell r="BO932" t="str">
            <v/>
          </cell>
        </row>
        <row r="933">
          <cell r="A933">
            <v>1</v>
          </cell>
          <cell r="B933">
            <v>4489004</v>
          </cell>
          <cell r="C933" t="str">
            <v>MATRICE</v>
          </cell>
          <cell r="D933" t="str">
            <v/>
          </cell>
          <cell r="E933" t="str">
            <v>O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2486.08</v>
          </cell>
          <cell r="AA933">
            <v>1067.33</v>
          </cell>
          <cell r="AB933">
            <v>1067.33</v>
          </cell>
          <cell r="AC933">
            <v>1067.33</v>
          </cell>
          <cell r="AD933">
            <v>1123.3599999999999</v>
          </cell>
          <cell r="AE933">
            <v>1123.3599999999999</v>
          </cell>
          <cell r="AF933">
            <v>1123.3599999999999</v>
          </cell>
          <cell r="AG933">
            <v>1123.3599999999999</v>
          </cell>
          <cell r="AH933">
            <v>1123.3599999999999</v>
          </cell>
          <cell r="AI933">
            <v>1123.3599999999999</v>
          </cell>
          <cell r="AJ933">
            <v>1123.3599999999999</v>
          </cell>
          <cell r="AK933">
            <v>1123.3599999999999</v>
          </cell>
          <cell r="AL933">
            <v>0</v>
          </cell>
          <cell r="AM933">
            <v>4</v>
          </cell>
          <cell r="AN933" t="str">
            <v/>
          </cell>
          <cell r="AO933">
            <v>0</v>
          </cell>
          <cell r="AP933">
            <v>0</v>
          </cell>
          <cell r="AQ933">
            <v>0</v>
          </cell>
          <cell r="AR933">
            <v>720</v>
          </cell>
          <cell r="AS933">
            <v>0</v>
          </cell>
          <cell r="AT933" t="str">
            <v/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 t="str">
            <v/>
          </cell>
          <cell r="BK933">
            <v>7000</v>
          </cell>
          <cell r="BL933" t="str">
            <v>0</v>
          </cell>
          <cell r="BM933" t="str">
            <v>1</v>
          </cell>
          <cell r="BN933" t="str">
            <v/>
          </cell>
          <cell r="BO933" t="str">
            <v/>
          </cell>
        </row>
        <row r="934">
          <cell r="A934">
            <v>1</v>
          </cell>
          <cell r="B934">
            <v>4709001</v>
          </cell>
          <cell r="C934" t="str">
            <v>VENTE ENTRE DIVISION</v>
          </cell>
          <cell r="D934" t="str">
            <v/>
          </cell>
          <cell r="E934" t="str">
            <v>N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1</v>
          </cell>
          <cell r="AN934" t="str">
            <v/>
          </cell>
          <cell r="AO934">
            <v>0</v>
          </cell>
          <cell r="AP934">
            <v>0</v>
          </cell>
          <cell r="AQ934">
            <v>0</v>
          </cell>
          <cell r="AR934">
            <v>660</v>
          </cell>
          <cell r="AS934">
            <v>0</v>
          </cell>
          <cell r="AT934" t="str">
            <v/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 t="str">
            <v/>
          </cell>
          <cell r="BK934">
            <v>7000</v>
          </cell>
          <cell r="BL934" t="str">
            <v>0</v>
          </cell>
          <cell r="BM934" t="str">
            <v>1</v>
          </cell>
          <cell r="BN934" t="str">
            <v/>
          </cell>
          <cell r="BO934" t="str">
            <v/>
          </cell>
        </row>
        <row r="935">
          <cell r="A935">
            <v>1</v>
          </cell>
          <cell r="B935">
            <v>4901001</v>
          </cell>
          <cell r="C935" t="str">
            <v>MAJEUR OBLIGATOIRE</v>
          </cell>
          <cell r="D935" t="str">
            <v/>
          </cell>
          <cell r="E935" t="str">
            <v>N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1</v>
          </cell>
          <cell r="AN935" t="str">
            <v/>
          </cell>
          <cell r="AO935">
            <v>0</v>
          </cell>
          <cell r="AP935">
            <v>0</v>
          </cell>
          <cell r="AQ935">
            <v>0</v>
          </cell>
          <cell r="AR935">
            <v>800</v>
          </cell>
          <cell r="AS935">
            <v>0</v>
          </cell>
          <cell r="AT935" t="str">
            <v/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 t="str">
            <v/>
          </cell>
          <cell r="BK935">
            <v>7200</v>
          </cell>
          <cell r="BL935" t="str">
            <v>0</v>
          </cell>
          <cell r="BM935" t="str">
            <v>1</v>
          </cell>
          <cell r="BN935" t="str">
            <v/>
          </cell>
          <cell r="BO935" t="str">
            <v/>
          </cell>
        </row>
        <row r="936">
          <cell r="A936">
            <v>1</v>
          </cell>
          <cell r="B936">
            <v>4220001</v>
          </cell>
          <cell r="C936" t="str">
            <v>MATIERE PREMIERE</v>
          </cell>
          <cell r="D936" t="str">
            <v>LIBRE</v>
          </cell>
          <cell r="E936" t="str">
            <v>O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1</v>
          </cell>
          <cell r="AN936" t="str">
            <v/>
          </cell>
          <cell r="AO936">
            <v>0</v>
          </cell>
          <cell r="AP936">
            <v>0</v>
          </cell>
          <cell r="AQ936">
            <v>0</v>
          </cell>
          <cell r="AR936">
            <v>660</v>
          </cell>
          <cell r="AS936">
            <v>0</v>
          </cell>
          <cell r="AT936" t="str">
            <v/>
          </cell>
          <cell r="AU936">
            <v>1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1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 t="str">
            <v/>
          </cell>
          <cell r="BK936">
            <v>5100</v>
          </cell>
          <cell r="BL936" t="str">
            <v>0</v>
          </cell>
          <cell r="BM936" t="str">
            <v>1</v>
          </cell>
          <cell r="BN936" t="str">
            <v/>
          </cell>
          <cell r="BO936" t="str">
            <v/>
          </cell>
        </row>
        <row r="937">
          <cell r="A937">
            <v>1</v>
          </cell>
          <cell r="B937">
            <v>5391002</v>
          </cell>
          <cell r="C937" t="str">
            <v>IMPOTS EXIGIBLES</v>
          </cell>
          <cell r="D937" t="str">
            <v>IMPOTS SERVIETTES</v>
          </cell>
          <cell r="E937" t="str">
            <v>N</v>
          </cell>
          <cell r="F937">
            <v>0</v>
          </cell>
          <cell r="G937">
            <v>0</v>
          </cell>
          <cell r="H937">
            <v>1146177.54</v>
          </cell>
          <cell r="I937">
            <v>1377007.33</v>
          </cell>
          <cell r="J937">
            <v>230829.79</v>
          </cell>
          <cell r="K937">
            <v>0</v>
          </cell>
          <cell r="L937">
            <v>93477.4</v>
          </cell>
          <cell r="M937">
            <v>0</v>
          </cell>
          <cell r="N937">
            <v>92702.57</v>
          </cell>
          <cell r="O937">
            <v>32209.52</v>
          </cell>
          <cell r="P937">
            <v>85577.23</v>
          </cell>
          <cell r="Q937">
            <v>178996.59</v>
          </cell>
          <cell r="R937">
            <v>317484.52</v>
          </cell>
          <cell r="S937">
            <v>459589.58</v>
          </cell>
          <cell r="T937">
            <v>653197.31000000006</v>
          </cell>
          <cell r="U937">
            <v>789262.26</v>
          </cell>
          <cell r="V937">
            <v>886070.94</v>
          </cell>
          <cell r="W937">
            <v>1012697.53</v>
          </cell>
          <cell r="X937">
            <v>1146177.54</v>
          </cell>
          <cell r="Y937">
            <v>1239654.94</v>
          </cell>
          <cell r="Z937">
            <v>91773.3</v>
          </cell>
          <cell r="AA937">
            <v>160286.04999999999</v>
          </cell>
          <cell r="AB937">
            <v>213888.89</v>
          </cell>
          <cell r="AC937">
            <v>259690.19</v>
          </cell>
          <cell r="AD937">
            <v>337890.19</v>
          </cell>
          <cell r="AE937">
            <v>428064.75</v>
          </cell>
          <cell r="AF937">
            <v>557747.75</v>
          </cell>
          <cell r="AG937">
            <v>683298.38</v>
          </cell>
          <cell r="AH937">
            <v>727641.64</v>
          </cell>
          <cell r="AI937">
            <v>766431.27</v>
          </cell>
          <cell r="AJ937">
            <v>827010.11</v>
          </cell>
          <cell r="AK937">
            <v>890642.11</v>
          </cell>
          <cell r="AL937">
            <v>0</v>
          </cell>
          <cell r="AM937">
            <v>2</v>
          </cell>
          <cell r="AN937" t="str">
            <v/>
          </cell>
          <cell r="AO937">
            <v>0</v>
          </cell>
          <cell r="AP937">
            <v>0</v>
          </cell>
          <cell r="AQ937">
            <v>0</v>
          </cell>
          <cell r="AR937">
            <v>950</v>
          </cell>
          <cell r="AS937">
            <v>0</v>
          </cell>
          <cell r="AT937" t="str">
            <v/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 t="str">
            <v/>
          </cell>
          <cell r="BK937">
            <v>8800</v>
          </cell>
          <cell r="BL937" t="str">
            <v>0</v>
          </cell>
          <cell r="BM937" t="str">
            <v>1</v>
          </cell>
          <cell r="BN937" t="str">
            <v/>
          </cell>
          <cell r="BO937" t="str">
            <v/>
          </cell>
        </row>
        <row r="938">
          <cell r="A938">
            <v>1</v>
          </cell>
          <cell r="B938">
            <v>5391003</v>
          </cell>
          <cell r="C938" t="str">
            <v>IMPOTS EXIGIBLES</v>
          </cell>
          <cell r="D938" t="str">
            <v>IMPOTS SACS</v>
          </cell>
          <cell r="E938" t="str">
            <v>N</v>
          </cell>
          <cell r="F938">
            <v>0</v>
          </cell>
          <cell r="G938">
            <v>0</v>
          </cell>
          <cell r="H938">
            <v>-104872.6</v>
          </cell>
          <cell r="I938">
            <v>40596.49</v>
          </cell>
          <cell r="J938">
            <v>145469.09</v>
          </cell>
          <cell r="K938">
            <v>0</v>
          </cell>
          <cell r="L938">
            <v>0</v>
          </cell>
          <cell r="M938">
            <v>40786.26</v>
          </cell>
          <cell r="N938">
            <v>-15822.37</v>
          </cell>
          <cell r="O938">
            <v>-18113.080000000002</v>
          </cell>
          <cell r="P938">
            <v>-27944.98</v>
          </cell>
          <cell r="Q938">
            <v>-33162.28</v>
          </cell>
          <cell r="R938">
            <v>-39141.24</v>
          </cell>
          <cell r="S938">
            <v>-51173.599999999999</v>
          </cell>
          <cell r="T938">
            <v>-42271.55</v>
          </cell>
          <cell r="U938">
            <v>-62134.69</v>
          </cell>
          <cell r="V938">
            <v>-84708.15</v>
          </cell>
          <cell r="W938">
            <v>-96693.1</v>
          </cell>
          <cell r="X938">
            <v>-104872.6</v>
          </cell>
          <cell r="Y938">
            <v>-145658.85999999999</v>
          </cell>
          <cell r="Z938">
            <v>-15631.46</v>
          </cell>
          <cell r="AA938">
            <v>-21611.84</v>
          </cell>
          <cell r="AB938">
            <v>-8474.6</v>
          </cell>
          <cell r="AC938">
            <v>-26374.07</v>
          </cell>
          <cell r="AD938">
            <v>-35331.07</v>
          </cell>
          <cell r="AE938">
            <v>-33903.1</v>
          </cell>
          <cell r="AF938">
            <v>-40099.1</v>
          </cell>
          <cell r="AG938">
            <v>-48027.47</v>
          </cell>
          <cell r="AH938">
            <v>-46832.81</v>
          </cell>
          <cell r="AI938">
            <v>-60311.06</v>
          </cell>
          <cell r="AJ938">
            <v>-51988.15</v>
          </cell>
          <cell r="AK938">
            <v>-54102.15</v>
          </cell>
          <cell r="AL938">
            <v>0</v>
          </cell>
          <cell r="AM938">
            <v>3</v>
          </cell>
          <cell r="AN938" t="str">
            <v/>
          </cell>
          <cell r="AO938">
            <v>0</v>
          </cell>
          <cell r="AP938">
            <v>0</v>
          </cell>
          <cell r="AQ938">
            <v>0</v>
          </cell>
          <cell r="AR938">
            <v>950</v>
          </cell>
          <cell r="AS938">
            <v>0</v>
          </cell>
          <cell r="AT938" t="str">
            <v/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 t="str">
            <v/>
          </cell>
          <cell r="BK938">
            <v>8800</v>
          </cell>
          <cell r="BL938" t="str">
            <v>0</v>
          </cell>
          <cell r="BM938" t="str">
            <v>1</v>
          </cell>
          <cell r="BN938" t="str">
            <v/>
          </cell>
          <cell r="BO938" t="str">
            <v/>
          </cell>
        </row>
        <row r="939">
          <cell r="A939">
            <v>1</v>
          </cell>
          <cell r="B939">
            <v>5391004</v>
          </cell>
          <cell r="C939" t="str">
            <v>IMPOTS EXIGIBLES</v>
          </cell>
          <cell r="D939" t="str">
            <v>IMPOTS BOITES</v>
          </cell>
          <cell r="E939" t="str">
            <v>N</v>
          </cell>
          <cell r="F939">
            <v>0</v>
          </cell>
          <cell r="G939">
            <v>0</v>
          </cell>
          <cell r="H939">
            <v>0</v>
          </cell>
          <cell r="I939">
            <v>18.399999999999999</v>
          </cell>
          <cell r="J939">
            <v>18.399999999999999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-18.149999999999999</v>
          </cell>
          <cell r="U939">
            <v>-18.399999999999999</v>
          </cell>
          <cell r="V939">
            <v>-18.399999999999999</v>
          </cell>
          <cell r="W939">
            <v>-18.399999999999999</v>
          </cell>
          <cell r="X939">
            <v>0</v>
          </cell>
          <cell r="Y939">
            <v>0</v>
          </cell>
          <cell r="Z939">
            <v>-1534.01</v>
          </cell>
          <cell r="AA939">
            <v>1299.51</v>
          </cell>
          <cell r="AB939">
            <v>1306.17</v>
          </cell>
          <cell r="AC939">
            <v>1403.82</v>
          </cell>
          <cell r="AD939">
            <v>1374.82</v>
          </cell>
          <cell r="AE939">
            <v>1338.81</v>
          </cell>
          <cell r="AF939">
            <v>1296.81</v>
          </cell>
          <cell r="AG939">
            <v>1282.8699999999999</v>
          </cell>
          <cell r="AH939">
            <v>1247.7</v>
          </cell>
          <cell r="AI939">
            <v>1247.7</v>
          </cell>
          <cell r="AJ939">
            <v>1247.7</v>
          </cell>
          <cell r="AK939">
            <v>1232.7</v>
          </cell>
          <cell r="AL939">
            <v>0</v>
          </cell>
          <cell r="AM939">
            <v>4</v>
          </cell>
          <cell r="AN939" t="str">
            <v/>
          </cell>
          <cell r="AO939">
            <v>0</v>
          </cell>
          <cell r="AP939">
            <v>0</v>
          </cell>
          <cell r="AQ939">
            <v>0</v>
          </cell>
          <cell r="AR939">
            <v>950</v>
          </cell>
          <cell r="AS939">
            <v>0</v>
          </cell>
          <cell r="AT939" t="str">
            <v/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 t="str">
            <v/>
          </cell>
          <cell r="BK939">
            <v>8800</v>
          </cell>
          <cell r="BL939" t="str">
            <v>0</v>
          </cell>
          <cell r="BM939" t="str">
            <v>1</v>
          </cell>
          <cell r="BN939" t="str">
            <v/>
          </cell>
          <cell r="BO939" t="str">
            <v/>
          </cell>
        </row>
        <row r="940">
          <cell r="A940">
            <v>1</v>
          </cell>
          <cell r="B940">
            <v>4250021</v>
          </cell>
          <cell r="C940" t="str">
            <v>M.O.D.</v>
          </cell>
          <cell r="D940" t="str">
            <v>MOD SYST POMPAGE</v>
          </cell>
          <cell r="E940" t="str">
            <v>N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1</v>
          </cell>
          <cell r="AN940" t="str">
            <v/>
          </cell>
          <cell r="AO940">
            <v>0</v>
          </cell>
          <cell r="AP940">
            <v>0</v>
          </cell>
          <cell r="AQ940">
            <v>0</v>
          </cell>
          <cell r="AR940">
            <v>690</v>
          </cell>
          <cell r="AS940">
            <v>0</v>
          </cell>
          <cell r="AT940" t="str">
            <v/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 t="str">
            <v/>
          </cell>
          <cell r="BK940">
            <v>6000</v>
          </cell>
          <cell r="BL940" t="str">
            <v>0</v>
          </cell>
          <cell r="BM940" t="str">
            <v>1</v>
          </cell>
          <cell r="BN940" t="str">
            <v/>
          </cell>
          <cell r="BO940" t="str">
            <v/>
          </cell>
        </row>
        <row r="941">
          <cell r="A941">
            <v>1</v>
          </cell>
          <cell r="B941">
            <v>4250081</v>
          </cell>
          <cell r="C941" t="str">
            <v>M.O.D.</v>
          </cell>
          <cell r="D941" t="str">
            <v>MOD MACHINE A PAPIER</v>
          </cell>
          <cell r="E941" t="str">
            <v>N</v>
          </cell>
          <cell r="F941">
            <v>0</v>
          </cell>
          <cell r="G941">
            <v>0</v>
          </cell>
          <cell r="H941">
            <v>774848.31</v>
          </cell>
          <cell r="I941">
            <v>918882.7</v>
          </cell>
          <cell r="J941">
            <v>144034.39000000001</v>
          </cell>
          <cell r="K941">
            <v>0</v>
          </cell>
          <cell r="L941">
            <v>132432.54999999999</v>
          </cell>
          <cell r="M941">
            <v>70608.639999999999</v>
          </cell>
          <cell r="N941">
            <v>59778.06</v>
          </cell>
          <cell r="O941">
            <v>140011.71</v>
          </cell>
          <cell r="P941">
            <v>208051.58</v>
          </cell>
          <cell r="Q941">
            <v>274402.84000000003</v>
          </cell>
          <cell r="R941">
            <v>352881.38</v>
          </cell>
          <cell r="S941">
            <v>425528.38</v>
          </cell>
          <cell r="T941">
            <v>501326.44</v>
          </cell>
          <cell r="U941">
            <v>568508.24</v>
          </cell>
          <cell r="V941">
            <v>637614.35</v>
          </cell>
          <cell r="W941">
            <v>706453.95</v>
          </cell>
          <cell r="X941">
            <v>774848.31</v>
          </cell>
          <cell r="Y941">
            <v>836672.22</v>
          </cell>
          <cell r="Z941">
            <v>85883.4</v>
          </cell>
          <cell r="AA941">
            <v>169776.67</v>
          </cell>
          <cell r="AB941">
            <v>262691.5</v>
          </cell>
          <cell r="AC941">
            <v>342645.04</v>
          </cell>
          <cell r="AD941">
            <v>417240.19</v>
          </cell>
          <cell r="AE941">
            <v>493915.68</v>
          </cell>
          <cell r="AF941">
            <v>564446.56999999995</v>
          </cell>
          <cell r="AG941">
            <v>634956.36</v>
          </cell>
          <cell r="AH941">
            <v>700768.69</v>
          </cell>
          <cell r="AI941">
            <v>764892.87</v>
          </cell>
          <cell r="AJ941">
            <v>832024.04</v>
          </cell>
          <cell r="AK941">
            <v>902112.65</v>
          </cell>
          <cell r="AL941">
            <v>0</v>
          </cell>
          <cell r="AM941">
            <v>1</v>
          </cell>
          <cell r="AN941" t="str">
            <v/>
          </cell>
          <cell r="AO941">
            <v>0</v>
          </cell>
          <cell r="AP941">
            <v>0</v>
          </cell>
          <cell r="AQ941">
            <v>0</v>
          </cell>
          <cell r="AR941">
            <v>690</v>
          </cell>
          <cell r="AS941">
            <v>0</v>
          </cell>
          <cell r="AT941" t="str">
            <v/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 t="str">
            <v/>
          </cell>
          <cell r="BK941">
            <v>6000</v>
          </cell>
          <cell r="BL941" t="str">
            <v>0</v>
          </cell>
          <cell r="BM941" t="str">
            <v>1</v>
          </cell>
          <cell r="BN941" t="str">
            <v/>
          </cell>
          <cell r="BO941" t="str">
            <v/>
          </cell>
        </row>
        <row r="942">
          <cell r="A942">
            <v>1</v>
          </cell>
          <cell r="B942">
            <v>4250091</v>
          </cell>
          <cell r="C942" t="str">
            <v>M.O.D.</v>
          </cell>
          <cell r="D942" t="str">
            <v>MOD PULPER</v>
          </cell>
          <cell r="E942" t="str">
            <v>N</v>
          </cell>
          <cell r="F942">
            <v>0</v>
          </cell>
          <cell r="G942">
            <v>0</v>
          </cell>
          <cell r="H942">
            <v>239189.69</v>
          </cell>
          <cell r="I942">
            <v>282788.33</v>
          </cell>
          <cell r="J942">
            <v>43598.64</v>
          </cell>
          <cell r="K942">
            <v>0</v>
          </cell>
          <cell r="L942">
            <v>39524.26</v>
          </cell>
          <cell r="M942">
            <v>21122.9</v>
          </cell>
          <cell r="N942">
            <v>19689.18</v>
          </cell>
          <cell r="O942">
            <v>44429.97</v>
          </cell>
          <cell r="P942">
            <v>65367.09</v>
          </cell>
          <cell r="Q942">
            <v>86892.9</v>
          </cell>
          <cell r="R942">
            <v>110010.84</v>
          </cell>
          <cell r="S942">
            <v>132170.82999999999</v>
          </cell>
          <cell r="T942">
            <v>155516.01</v>
          </cell>
          <cell r="U942">
            <v>176887.88</v>
          </cell>
          <cell r="V942">
            <v>197853.7</v>
          </cell>
          <cell r="W942">
            <v>218738.92</v>
          </cell>
          <cell r="X942">
            <v>239189.69</v>
          </cell>
          <cell r="Y942">
            <v>257591.05</v>
          </cell>
          <cell r="Z942">
            <v>20586.310000000001</v>
          </cell>
          <cell r="AA942">
            <v>38083.74</v>
          </cell>
          <cell r="AB942">
            <v>54450.87</v>
          </cell>
          <cell r="AC942">
            <v>74755.75</v>
          </cell>
          <cell r="AD942">
            <v>94161.46</v>
          </cell>
          <cell r="AE942">
            <v>117355.88</v>
          </cell>
          <cell r="AF942">
            <v>138177.51</v>
          </cell>
          <cell r="AG942">
            <v>159459.44</v>
          </cell>
          <cell r="AH942">
            <v>180202.34</v>
          </cell>
          <cell r="AI942">
            <v>199619.53</v>
          </cell>
          <cell r="AJ942">
            <v>218712.18</v>
          </cell>
          <cell r="AK942">
            <v>238698.27</v>
          </cell>
          <cell r="AL942">
            <v>0</v>
          </cell>
          <cell r="AM942">
            <v>1</v>
          </cell>
          <cell r="AN942" t="str">
            <v/>
          </cell>
          <cell r="AO942">
            <v>0</v>
          </cell>
          <cell r="AP942">
            <v>0</v>
          </cell>
          <cell r="AQ942">
            <v>0</v>
          </cell>
          <cell r="AR942">
            <v>690</v>
          </cell>
          <cell r="AS942">
            <v>0</v>
          </cell>
          <cell r="AT942" t="str">
            <v/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 t="str">
            <v/>
          </cell>
          <cell r="BK942">
            <v>6000</v>
          </cell>
          <cell r="BL942" t="str">
            <v>0</v>
          </cell>
          <cell r="BM942" t="str">
            <v>1</v>
          </cell>
          <cell r="BN942" t="str">
            <v/>
          </cell>
          <cell r="BO942" t="str">
            <v/>
          </cell>
        </row>
        <row r="943">
          <cell r="A943">
            <v>2</v>
          </cell>
          <cell r="B943">
            <v>4250101</v>
          </cell>
          <cell r="C943" t="str">
            <v>M.O.D.</v>
          </cell>
          <cell r="D943" t="str">
            <v>MOD BALER</v>
          </cell>
          <cell r="E943" t="str">
            <v>N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3448.62</v>
          </cell>
          <cell r="AA943">
            <v>6494.61</v>
          </cell>
          <cell r="AB943">
            <v>10014.549999999999</v>
          </cell>
          <cell r="AC943">
            <v>12245.04</v>
          </cell>
          <cell r="AD943">
            <v>12446.66</v>
          </cell>
          <cell r="AE943">
            <v>12446.66</v>
          </cell>
          <cell r="AF943">
            <v>12446.66</v>
          </cell>
          <cell r="AG943">
            <v>12446.66</v>
          </cell>
          <cell r="AH943">
            <v>12446.66</v>
          </cell>
          <cell r="AI943">
            <v>12446.66</v>
          </cell>
          <cell r="AJ943">
            <v>12446.66</v>
          </cell>
          <cell r="AK943">
            <v>12446.66</v>
          </cell>
          <cell r="AL943">
            <v>0</v>
          </cell>
          <cell r="AM943">
            <v>1</v>
          </cell>
          <cell r="AN943" t="str">
            <v/>
          </cell>
          <cell r="AO943">
            <v>0</v>
          </cell>
          <cell r="AP943">
            <v>0</v>
          </cell>
          <cell r="AQ943">
            <v>0</v>
          </cell>
          <cell r="AR943">
            <v>690</v>
          </cell>
          <cell r="AS943">
            <v>0</v>
          </cell>
          <cell r="AT943" t="str">
            <v/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 t="str">
            <v/>
          </cell>
          <cell r="BK943">
            <v>6000</v>
          </cell>
          <cell r="BL943" t="str">
            <v>0</v>
          </cell>
          <cell r="BM943" t="str">
            <v>1</v>
          </cell>
          <cell r="BN943" t="str">
            <v/>
          </cell>
          <cell r="BO943" t="str">
            <v/>
          </cell>
        </row>
        <row r="944">
          <cell r="A944">
            <v>1</v>
          </cell>
          <cell r="B944">
            <v>4250122</v>
          </cell>
          <cell r="C944" t="str">
            <v>M.O.D.</v>
          </cell>
          <cell r="D944" t="str">
            <v>MACHINE 12 P.M</v>
          </cell>
          <cell r="E944" t="str">
            <v>N</v>
          </cell>
          <cell r="F944">
            <v>0</v>
          </cell>
          <cell r="G944">
            <v>0</v>
          </cell>
          <cell r="H944">
            <v>202813.63</v>
          </cell>
          <cell r="I944">
            <v>240515.88</v>
          </cell>
          <cell r="J944">
            <v>37702.25</v>
          </cell>
          <cell r="K944">
            <v>0</v>
          </cell>
          <cell r="L944">
            <v>32987.97</v>
          </cell>
          <cell r="M944">
            <v>18724.21</v>
          </cell>
          <cell r="N944">
            <v>16675.939999999999</v>
          </cell>
          <cell r="O944">
            <v>34554.589999999997</v>
          </cell>
          <cell r="P944">
            <v>53417.91</v>
          </cell>
          <cell r="Q944">
            <v>69515.11</v>
          </cell>
          <cell r="R944">
            <v>91316.67</v>
          </cell>
          <cell r="S944">
            <v>109256.82</v>
          </cell>
          <cell r="T944">
            <v>128424.95</v>
          </cell>
          <cell r="U944">
            <v>146453.43</v>
          </cell>
          <cell r="V944">
            <v>165745.59</v>
          </cell>
          <cell r="W944">
            <v>184698.16</v>
          </cell>
          <cell r="X944">
            <v>202813.63</v>
          </cell>
          <cell r="Y944">
            <v>217077.39</v>
          </cell>
          <cell r="Z944">
            <v>19476.66</v>
          </cell>
          <cell r="AA944">
            <v>34971.01</v>
          </cell>
          <cell r="AB944">
            <v>54371.63</v>
          </cell>
          <cell r="AC944">
            <v>73156.58</v>
          </cell>
          <cell r="AD944">
            <v>84040</v>
          </cell>
          <cell r="AE944">
            <v>84040</v>
          </cell>
          <cell r="AF944">
            <v>103956.25</v>
          </cell>
          <cell r="AG944">
            <v>120517.16</v>
          </cell>
          <cell r="AH944">
            <v>137193.69</v>
          </cell>
          <cell r="AI944">
            <v>155405.53</v>
          </cell>
          <cell r="AJ944">
            <v>172864.14</v>
          </cell>
          <cell r="AK944">
            <v>185201.4</v>
          </cell>
          <cell r="AL944">
            <v>0</v>
          </cell>
          <cell r="AM944">
            <v>2</v>
          </cell>
          <cell r="AN944" t="str">
            <v/>
          </cell>
          <cell r="AO944">
            <v>0</v>
          </cell>
          <cell r="AP944">
            <v>0</v>
          </cell>
          <cell r="AQ944">
            <v>0</v>
          </cell>
          <cell r="AR944">
            <v>690</v>
          </cell>
          <cell r="AS944">
            <v>0</v>
          </cell>
          <cell r="AT944" t="str">
            <v/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1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 t="str">
            <v/>
          </cell>
          <cell r="BK944">
            <v>6000</v>
          </cell>
          <cell r="BL944" t="str">
            <v>0</v>
          </cell>
          <cell r="BM944" t="str">
            <v>1</v>
          </cell>
          <cell r="BN944" t="str">
            <v/>
          </cell>
          <cell r="BO944" t="str">
            <v/>
          </cell>
        </row>
        <row r="945">
          <cell r="A945">
            <v>1</v>
          </cell>
          <cell r="B945">
            <v>4250132</v>
          </cell>
          <cell r="C945" t="str">
            <v>M.O.D.</v>
          </cell>
          <cell r="D945" t="str">
            <v>MACHINE 13 RLX</v>
          </cell>
          <cell r="E945" t="str">
            <v>N</v>
          </cell>
          <cell r="F945">
            <v>0</v>
          </cell>
          <cell r="G945">
            <v>0</v>
          </cell>
          <cell r="H945">
            <v>327983.5</v>
          </cell>
          <cell r="I945">
            <v>395010.64</v>
          </cell>
          <cell r="J945">
            <v>67027.14</v>
          </cell>
          <cell r="K945">
            <v>0</v>
          </cell>
          <cell r="L945">
            <v>62340.49</v>
          </cell>
          <cell r="M945">
            <v>36093.160000000003</v>
          </cell>
          <cell r="N945">
            <v>26635.81</v>
          </cell>
          <cell r="O945">
            <v>61405.19</v>
          </cell>
          <cell r="P945">
            <v>86685.99</v>
          </cell>
          <cell r="Q945">
            <v>100137.14</v>
          </cell>
          <cell r="R945">
            <v>131706.59</v>
          </cell>
          <cell r="S945">
            <v>164645.47</v>
          </cell>
          <cell r="T945">
            <v>200880.78</v>
          </cell>
          <cell r="U945">
            <v>230300.09</v>
          </cell>
          <cell r="V945">
            <v>257719.91</v>
          </cell>
          <cell r="W945">
            <v>293046.21000000002</v>
          </cell>
          <cell r="X945">
            <v>327983.5</v>
          </cell>
          <cell r="Y945">
            <v>354230.83</v>
          </cell>
          <cell r="Z945">
            <v>35527.800000000003</v>
          </cell>
          <cell r="AA945">
            <v>63845.18</v>
          </cell>
          <cell r="AB945">
            <v>94143.98</v>
          </cell>
          <cell r="AC945">
            <v>121574.83</v>
          </cell>
          <cell r="AD945">
            <v>138806.29</v>
          </cell>
          <cell r="AE945">
            <v>160672.24</v>
          </cell>
          <cell r="AF945">
            <v>175789.53</v>
          </cell>
          <cell r="AG945">
            <v>200389.45</v>
          </cell>
          <cell r="AH945">
            <v>227455.62</v>
          </cell>
          <cell r="AI945">
            <v>258550.44</v>
          </cell>
          <cell r="AJ945">
            <v>290298.84999999998</v>
          </cell>
          <cell r="AK945">
            <v>313799.24</v>
          </cell>
          <cell r="AL945">
            <v>0</v>
          </cell>
          <cell r="AM945">
            <v>2</v>
          </cell>
          <cell r="AN945" t="str">
            <v/>
          </cell>
          <cell r="AO945">
            <v>0</v>
          </cell>
          <cell r="AP945">
            <v>0</v>
          </cell>
          <cell r="AQ945">
            <v>0</v>
          </cell>
          <cell r="AR945">
            <v>690</v>
          </cell>
          <cell r="AS945">
            <v>0</v>
          </cell>
          <cell r="AT945" t="str">
            <v/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1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 t="str">
            <v/>
          </cell>
          <cell r="BK945">
            <v>6000</v>
          </cell>
          <cell r="BL945" t="str">
            <v>0</v>
          </cell>
          <cell r="BM945" t="str">
            <v>1</v>
          </cell>
          <cell r="BN945" t="str">
            <v/>
          </cell>
          <cell r="BO945" t="str">
            <v/>
          </cell>
        </row>
        <row r="946">
          <cell r="A946">
            <v>1</v>
          </cell>
          <cell r="B946">
            <v>4250142</v>
          </cell>
          <cell r="C946" t="str">
            <v>M.O.D.</v>
          </cell>
          <cell r="D946" t="str">
            <v>MACHINE 14 RLX</v>
          </cell>
          <cell r="E946" t="str">
            <v>N</v>
          </cell>
          <cell r="F946">
            <v>0</v>
          </cell>
          <cell r="G946">
            <v>0</v>
          </cell>
          <cell r="H946">
            <v>192390.14</v>
          </cell>
          <cell r="I946">
            <v>230526.4</v>
          </cell>
          <cell r="J946">
            <v>38136.26</v>
          </cell>
          <cell r="K946">
            <v>0</v>
          </cell>
          <cell r="L946">
            <v>36004.28</v>
          </cell>
          <cell r="M946">
            <v>20065.580000000002</v>
          </cell>
          <cell r="N946">
            <v>16468.2</v>
          </cell>
          <cell r="O946">
            <v>36770.06</v>
          </cell>
          <cell r="P946">
            <v>49579.58</v>
          </cell>
          <cell r="Q946">
            <v>60098.6</v>
          </cell>
          <cell r="R946">
            <v>81237.3</v>
          </cell>
          <cell r="S946">
            <v>98217.48</v>
          </cell>
          <cell r="T946">
            <v>118666.21</v>
          </cell>
          <cell r="U946">
            <v>135871.6</v>
          </cell>
          <cell r="V946">
            <v>154242.67000000001</v>
          </cell>
          <cell r="W946">
            <v>172926.2</v>
          </cell>
          <cell r="X946">
            <v>192390.14</v>
          </cell>
          <cell r="Y946">
            <v>208328.84</v>
          </cell>
          <cell r="Z946">
            <v>23052.77</v>
          </cell>
          <cell r="AA946">
            <v>42116.61</v>
          </cell>
          <cell r="AB946">
            <v>64605.14</v>
          </cell>
          <cell r="AC946">
            <v>84171.79</v>
          </cell>
          <cell r="AD946">
            <v>95302.720000000001</v>
          </cell>
          <cell r="AE946">
            <v>109983.44</v>
          </cell>
          <cell r="AF946">
            <v>131561.01999999999</v>
          </cell>
          <cell r="AG946">
            <v>147971.85999999999</v>
          </cell>
          <cell r="AH946">
            <v>163980.54999999999</v>
          </cell>
          <cell r="AI946">
            <v>183432.97</v>
          </cell>
          <cell r="AJ946">
            <v>201433.5</v>
          </cell>
          <cell r="AK946">
            <v>215929.61</v>
          </cell>
          <cell r="AL946">
            <v>0</v>
          </cell>
          <cell r="AM946">
            <v>2</v>
          </cell>
          <cell r="AN946" t="str">
            <v/>
          </cell>
          <cell r="AO946">
            <v>0</v>
          </cell>
          <cell r="AP946">
            <v>0</v>
          </cell>
          <cell r="AQ946">
            <v>0</v>
          </cell>
          <cell r="AR946">
            <v>690</v>
          </cell>
          <cell r="AS946">
            <v>0</v>
          </cell>
          <cell r="AT946" t="str">
            <v/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1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 t="str">
            <v/>
          </cell>
          <cell r="BK946">
            <v>6000</v>
          </cell>
          <cell r="BL946" t="str">
            <v>0</v>
          </cell>
          <cell r="BM946" t="str">
            <v>1</v>
          </cell>
          <cell r="BN946" t="str">
            <v/>
          </cell>
          <cell r="BO946" t="str">
            <v/>
          </cell>
        </row>
        <row r="947">
          <cell r="A947">
            <v>1</v>
          </cell>
          <cell r="B947">
            <v>4250152</v>
          </cell>
          <cell r="C947" t="str">
            <v>M.O.D.</v>
          </cell>
          <cell r="D947" t="str">
            <v>MACHINE 15 P.S</v>
          </cell>
          <cell r="E947" t="str">
            <v>N</v>
          </cell>
          <cell r="F947">
            <v>0</v>
          </cell>
          <cell r="G947">
            <v>0</v>
          </cell>
          <cell r="H947">
            <v>65597.2</v>
          </cell>
          <cell r="I947">
            <v>86476.34</v>
          </cell>
          <cell r="J947">
            <v>20879.14</v>
          </cell>
          <cell r="K947">
            <v>0</v>
          </cell>
          <cell r="L947">
            <v>18720.21</v>
          </cell>
          <cell r="M947">
            <v>15115.31</v>
          </cell>
          <cell r="N947">
            <v>3929.81</v>
          </cell>
          <cell r="O947">
            <v>6937.17</v>
          </cell>
          <cell r="P947">
            <v>12868.58</v>
          </cell>
          <cell r="Q947">
            <v>14674.54</v>
          </cell>
          <cell r="R947">
            <v>18781.400000000001</v>
          </cell>
          <cell r="S947">
            <v>28849.45</v>
          </cell>
          <cell r="T947">
            <v>36825.19</v>
          </cell>
          <cell r="U947">
            <v>40751.42</v>
          </cell>
          <cell r="V947">
            <v>42922.04</v>
          </cell>
          <cell r="W947">
            <v>50747.4</v>
          </cell>
          <cell r="X947">
            <v>65597.2</v>
          </cell>
          <cell r="Y947">
            <v>69202.100000000006</v>
          </cell>
          <cell r="Z947">
            <v>11897.09</v>
          </cell>
          <cell r="AA947">
            <v>21631.65</v>
          </cell>
          <cell r="AB947">
            <v>35672.51</v>
          </cell>
          <cell r="AC947">
            <v>46610.19</v>
          </cell>
          <cell r="AD947">
            <v>50971.86</v>
          </cell>
          <cell r="AE947">
            <v>62758.54</v>
          </cell>
          <cell r="AF947">
            <v>75902.5</v>
          </cell>
          <cell r="AG947">
            <v>88174.92</v>
          </cell>
          <cell r="AH947">
            <v>102653.59</v>
          </cell>
          <cell r="AI947">
            <v>118951.67</v>
          </cell>
          <cell r="AJ947">
            <v>129550.56</v>
          </cell>
          <cell r="AK947">
            <v>131351.38</v>
          </cell>
          <cell r="AL947">
            <v>0</v>
          </cell>
          <cell r="AM947">
            <v>2</v>
          </cell>
          <cell r="AN947" t="str">
            <v/>
          </cell>
          <cell r="AO947">
            <v>0</v>
          </cell>
          <cell r="AP947">
            <v>0</v>
          </cell>
          <cell r="AQ947">
            <v>0</v>
          </cell>
          <cell r="AR947">
            <v>690</v>
          </cell>
          <cell r="AS947">
            <v>0</v>
          </cell>
          <cell r="AT947" t="str">
            <v/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1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 t="str">
            <v/>
          </cell>
          <cell r="BK947">
            <v>6000</v>
          </cell>
          <cell r="BL947" t="str">
            <v>0</v>
          </cell>
          <cell r="BM947" t="str">
            <v>1</v>
          </cell>
          <cell r="BN947" t="str">
            <v/>
          </cell>
          <cell r="BO947" t="str">
            <v/>
          </cell>
        </row>
        <row r="948">
          <cell r="A948">
            <v>1</v>
          </cell>
          <cell r="B948">
            <v>4250162</v>
          </cell>
          <cell r="C948" t="str">
            <v>M.O.D.</v>
          </cell>
          <cell r="D948" t="str">
            <v>MACHINE 16 P.S</v>
          </cell>
          <cell r="E948" t="str">
            <v>N</v>
          </cell>
          <cell r="F948">
            <v>0</v>
          </cell>
          <cell r="G948">
            <v>0</v>
          </cell>
          <cell r="H948">
            <v>82849.919999999998</v>
          </cell>
          <cell r="I948">
            <v>92437.45</v>
          </cell>
          <cell r="J948">
            <v>9587.5300000000007</v>
          </cell>
          <cell r="K948">
            <v>0</v>
          </cell>
          <cell r="L948">
            <v>7333.36</v>
          </cell>
          <cell r="M948">
            <v>1995.34</v>
          </cell>
          <cell r="N948">
            <v>4357.47</v>
          </cell>
          <cell r="O948">
            <v>15233.79</v>
          </cell>
          <cell r="P948">
            <v>18309.25</v>
          </cell>
          <cell r="Q948">
            <v>24782.65</v>
          </cell>
          <cell r="R948">
            <v>40757.230000000003</v>
          </cell>
          <cell r="S948">
            <v>48380.92</v>
          </cell>
          <cell r="T948">
            <v>49192.52</v>
          </cell>
          <cell r="U948">
            <v>57317.66</v>
          </cell>
          <cell r="V948">
            <v>70925.09</v>
          </cell>
          <cell r="W948">
            <v>81149.5</v>
          </cell>
          <cell r="X948">
            <v>82849.919999999998</v>
          </cell>
          <cell r="Y948">
            <v>88187.94</v>
          </cell>
          <cell r="Z948">
            <v>16017.51</v>
          </cell>
          <cell r="AA948">
            <v>32008.65</v>
          </cell>
          <cell r="AB948">
            <v>49564.25</v>
          </cell>
          <cell r="AC948">
            <v>67225.64</v>
          </cell>
          <cell r="AD948">
            <v>76479.59</v>
          </cell>
          <cell r="AE948">
            <v>91610.96</v>
          </cell>
          <cell r="AF948">
            <v>108167.16</v>
          </cell>
          <cell r="AG948">
            <v>122229.33</v>
          </cell>
          <cell r="AH948">
            <v>136782.82999999999</v>
          </cell>
          <cell r="AI948">
            <v>154257.72</v>
          </cell>
          <cell r="AJ948">
            <v>161824.54999999999</v>
          </cell>
          <cell r="AK948">
            <v>169723.24</v>
          </cell>
          <cell r="AL948">
            <v>0</v>
          </cell>
          <cell r="AM948">
            <v>2</v>
          </cell>
          <cell r="AN948" t="str">
            <v/>
          </cell>
          <cell r="AO948">
            <v>0</v>
          </cell>
          <cell r="AP948">
            <v>0</v>
          </cell>
          <cell r="AQ948">
            <v>0</v>
          </cell>
          <cell r="AR948">
            <v>690</v>
          </cell>
          <cell r="AS948">
            <v>0</v>
          </cell>
          <cell r="AT948" t="str">
            <v/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1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 t="str">
            <v/>
          </cell>
          <cell r="BK948">
            <v>6000</v>
          </cell>
          <cell r="BL948" t="str">
            <v>0</v>
          </cell>
          <cell r="BM948" t="str">
            <v>1</v>
          </cell>
          <cell r="BN948" t="str">
            <v/>
          </cell>
          <cell r="BO948" t="str">
            <v/>
          </cell>
        </row>
        <row r="949">
          <cell r="A949">
            <v>1</v>
          </cell>
          <cell r="B949">
            <v>4250172</v>
          </cell>
          <cell r="C949" t="str">
            <v>M.O.D.</v>
          </cell>
          <cell r="D949" t="str">
            <v>MACHINE 17 P.M</v>
          </cell>
          <cell r="E949" t="str">
            <v>N</v>
          </cell>
          <cell r="F949">
            <v>0</v>
          </cell>
          <cell r="G949">
            <v>0</v>
          </cell>
          <cell r="H949">
            <v>185608.38</v>
          </cell>
          <cell r="I949">
            <v>213585.01</v>
          </cell>
          <cell r="J949">
            <v>27976.63</v>
          </cell>
          <cell r="K949">
            <v>0</v>
          </cell>
          <cell r="L949">
            <v>18328.009999999998</v>
          </cell>
          <cell r="M949">
            <v>13701.05</v>
          </cell>
          <cell r="N949">
            <v>16612.93</v>
          </cell>
          <cell r="O949">
            <v>37576.69</v>
          </cell>
          <cell r="P949">
            <v>55151.839999999997</v>
          </cell>
          <cell r="Q949">
            <v>70642.75</v>
          </cell>
          <cell r="R949">
            <v>88175.85</v>
          </cell>
          <cell r="S949">
            <v>105575.41</v>
          </cell>
          <cell r="T949">
            <v>121669.51</v>
          </cell>
          <cell r="U949">
            <v>138049.69</v>
          </cell>
          <cell r="V949">
            <v>155016.35</v>
          </cell>
          <cell r="W949">
            <v>172469.95</v>
          </cell>
          <cell r="X949">
            <v>185608.38</v>
          </cell>
          <cell r="Y949">
            <v>190235.34</v>
          </cell>
          <cell r="Z949">
            <v>16880.900000000001</v>
          </cell>
          <cell r="AA949">
            <v>36657.660000000003</v>
          </cell>
          <cell r="AB949">
            <v>55527.34</v>
          </cell>
          <cell r="AC949">
            <v>70881.48</v>
          </cell>
          <cell r="AD949">
            <v>78527.78</v>
          </cell>
          <cell r="AE949">
            <v>89074.69</v>
          </cell>
          <cell r="AF949">
            <v>104582.64</v>
          </cell>
          <cell r="AG949">
            <v>119219.99</v>
          </cell>
          <cell r="AH949">
            <v>133362.93</v>
          </cell>
          <cell r="AI949">
            <v>151064.24</v>
          </cell>
          <cell r="AJ949">
            <v>166310.69</v>
          </cell>
          <cell r="AK949">
            <v>179112.49</v>
          </cell>
          <cell r="AL949">
            <v>0</v>
          </cell>
          <cell r="AM949">
            <v>2</v>
          </cell>
          <cell r="AN949" t="str">
            <v/>
          </cell>
          <cell r="AO949">
            <v>0</v>
          </cell>
          <cell r="AP949">
            <v>0</v>
          </cell>
          <cell r="AQ949">
            <v>0</v>
          </cell>
          <cell r="AR949">
            <v>690</v>
          </cell>
          <cell r="AS949">
            <v>0</v>
          </cell>
          <cell r="AT949" t="str">
            <v/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1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 t="str">
            <v/>
          </cell>
          <cell r="BK949">
            <v>6000</v>
          </cell>
          <cell r="BL949" t="str">
            <v>0</v>
          </cell>
          <cell r="BM949" t="str">
            <v>1</v>
          </cell>
          <cell r="BN949" t="str">
            <v/>
          </cell>
          <cell r="BO949" t="str">
            <v/>
          </cell>
        </row>
        <row r="950">
          <cell r="A950">
            <v>1</v>
          </cell>
          <cell r="B950">
            <v>4250182</v>
          </cell>
          <cell r="C950" t="str">
            <v>M.O.D.</v>
          </cell>
          <cell r="D950" t="str">
            <v>MACHINE 18 P.S</v>
          </cell>
          <cell r="E950" t="str">
            <v>N</v>
          </cell>
          <cell r="F950">
            <v>0</v>
          </cell>
          <cell r="G950">
            <v>0</v>
          </cell>
          <cell r="H950">
            <v>1516.7</v>
          </cell>
          <cell r="I950">
            <v>1575.98</v>
          </cell>
          <cell r="J950">
            <v>59.28</v>
          </cell>
          <cell r="K950">
            <v>0</v>
          </cell>
          <cell r="L950">
            <v>0</v>
          </cell>
          <cell r="M950">
            <v>0</v>
          </cell>
          <cell r="N950">
            <v>1516.7</v>
          </cell>
          <cell r="O950">
            <v>1516.7</v>
          </cell>
          <cell r="P950">
            <v>1516.7</v>
          </cell>
          <cell r="Q950">
            <v>1516.7</v>
          </cell>
          <cell r="R950">
            <v>1516.7</v>
          </cell>
          <cell r="S950">
            <v>1516.7</v>
          </cell>
          <cell r="T950">
            <v>1516.7</v>
          </cell>
          <cell r="U950">
            <v>1516.7</v>
          </cell>
          <cell r="V950">
            <v>1516.7</v>
          </cell>
          <cell r="W950">
            <v>1516.7</v>
          </cell>
          <cell r="X950">
            <v>1516.7</v>
          </cell>
          <cell r="Y950">
            <v>1516.7</v>
          </cell>
          <cell r="Z950">
            <v>1239.8900000000001</v>
          </cell>
          <cell r="AA950">
            <v>1590.84</v>
          </cell>
          <cell r="AB950">
            <v>2776.09</v>
          </cell>
          <cell r="AC950">
            <v>2970.1</v>
          </cell>
          <cell r="AD950">
            <v>2970.1</v>
          </cell>
          <cell r="AE950">
            <v>2970.1</v>
          </cell>
          <cell r="AF950">
            <v>2970.1</v>
          </cell>
          <cell r="AG950">
            <v>7441.59</v>
          </cell>
          <cell r="AH950">
            <v>7441.59</v>
          </cell>
          <cell r="AI950">
            <v>7441.59</v>
          </cell>
          <cell r="AJ950">
            <v>7441.59</v>
          </cell>
          <cell r="AK950">
            <v>9101.32</v>
          </cell>
          <cell r="AL950">
            <v>0</v>
          </cell>
          <cell r="AM950">
            <v>2</v>
          </cell>
          <cell r="AN950" t="str">
            <v/>
          </cell>
          <cell r="AO950">
            <v>0</v>
          </cell>
          <cell r="AP950">
            <v>0</v>
          </cell>
          <cell r="AQ950">
            <v>0</v>
          </cell>
          <cell r="AR950">
            <v>690</v>
          </cell>
          <cell r="AS950">
            <v>0</v>
          </cell>
          <cell r="AT950" t="str">
            <v/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1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 t="str">
            <v/>
          </cell>
          <cell r="BK950">
            <v>6000</v>
          </cell>
          <cell r="BL950" t="str">
            <v>0</v>
          </cell>
          <cell r="BM950" t="str">
            <v>1</v>
          </cell>
          <cell r="BN950" t="str">
            <v/>
          </cell>
          <cell r="BO950" t="str">
            <v/>
          </cell>
        </row>
        <row r="951">
          <cell r="A951">
            <v>1</v>
          </cell>
          <cell r="B951">
            <v>4250222</v>
          </cell>
          <cell r="C951" t="str">
            <v>M.O.D.</v>
          </cell>
          <cell r="D951" t="str">
            <v>MACHINE 22  P.C</v>
          </cell>
          <cell r="E951" t="str">
            <v>N</v>
          </cell>
          <cell r="F951">
            <v>0</v>
          </cell>
          <cell r="G951">
            <v>0</v>
          </cell>
          <cell r="H951">
            <v>197037.11</v>
          </cell>
          <cell r="I951">
            <v>234383.66</v>
          </cell>
          <cell r="J951">
            <v>37346.550000000003</v>
          </cell>
          <cell r="K951">
            <v>0</v>
          </cell>
          <cell r="L951">
            <v>33957.22</v>
          </cell>
          <cell r="M951">
            <v>19330.88</v>
          </cell>
          <cell r="N951">
            <v>13247.85</v>
          </cell>
          <cell r="O951">
            <v>34039.620000000003</v>
          </cell>
          <cell r="P951">
            <v>52595.25</v>
          </cell>
          <cell r="Q951">
            <v>69550.039999999994</v>
          </cell>
          <cell r="R951">
            <v>86926.44</v>
          </cell>
          <cell r="S951">
            <v>104903.43</v>
          </cell>
          <cell r="T951">
            <v>123789.14</v>
          </cell>
          <cell r="U951">
            <v>142257.09</v>
          </cell>
          <cell r="V951">
            <v>160127.70000000001</v>
          </cell>
          <cell r="W951">
            <v>178291.7</v>
          </cell>
          <cell r="X951">
            <v>197037.11</v>
          </cell>
          <cell r="Y951">
            <v>211663.45</v>
          </cell>
          <cell r="Z951">
            <v>14270.05</v>
          </cell>
          <cell r="AA951">
            <v>28353.49</v>
          </cell>
          <cell r="AB951">
            <v>41079.449999999997</v>
          </cell>
          <cell r="AC951">
            <v>56469.120000000003</v>
          </cell>
          <cell r="AD951">
            <v>65412.43</v>
          </cell>
          <cell r="AE951">
            <v>78437.25</v>
          </cell>
          <cell r="AF951">
            <v>97989.24</v>
          </cell>
          <cell r="AG951">
            <v>113477.04</v>
          </cell>
          <cell r="AH951">
            <v>129241.71</v>
          </cell>
          <cell r="AI951">
            <v>148476.20000000001</v>
          </cell>
          <cell r="AJ951">
            <v>166917.34</v>
          </cell>
          <cell r="AK951">
            <v>182571.63</v>
          </cell>
          <cell r="AL951">
            <v>0</v>
          </cell>
          <cell r="AM951">
            <v>2</v>
          </cell>
          <cell r="AN951" t="str">
            <v/>
          </cell>
          <cell r="AO951">
            <v>0</v>
          </cell>
          <cell r="AP951">
            <v>0</v>
          </cell>
          <cell r="AQ951">
            <v>0</v>
          </cell>
          <cell r="AR951">
            <v>690</v>
          </cell>
          <cell r="AS951">
            <v>0</v>
          </cell>
          <cell r="AT951" t="str">
            <v/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1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 t="str">
            <v/>
          </cell>
          <cell r="BK951">
            <v>6000</v>
          </cell>
          <cell r="BL951" t="str">
            <v>0</v>
          </cell>
          <cell r="BM951" t="str">
            <v>1</v>
          </cell>
          <cell r="BN951" t="str">
            <v/>
          </cell>
          <cell r="BO951" t="str">
            <v/>
          </cell>
        </row>
        <row r="952">
          <cell r="A952">
            <v>1</v>
          </cell>
          <cell r="B952">
            <v>4460021</v>
          </cell>
          <cell r="C952" t="str">
            <v>MECANICIENS &amp; ELECTRICIEN</v>
          </cell>
          <cell r="D952" t="str">
            <v>MOI SYST POMPAGE</v>
          </cell>
          <cell r="E952" t="str">
            <v>O</v>
          </cell>
          <cell r="F952">
            <v>0</v>
          </cell>
          <cell r="G952">
            <v>0</v>
          </cell>
          <cell r="H952">
            <v>6493.1</v>
          </cell>
          <cell r="I952">
            <v>7713.08</v>
          </cell>
          <cell r="J952">
            <v>1219.98</v>
          </cell>
          <cell r="K952">
            <v>0</v>
          </cell>
          <cell r="L952">
            <v>2199.77</v>
          </cell>
          <cell r="M952">
            <v>780.67</v>
          </cell>
          <cell r="N952">
            <v>558.75</v>
          </cell>
          <cell r="O952">
            <v>1039.3699999999999</v>
          </cell>
          <cell r="P952">
            <v>1437.99</v>
          </cell>
          <cell r="Q952">
            <v>1467.95</v>
          </cell>
          <cell r="R952">
            <v>1832.43</v>
          </cell>
          <cell r="S952">
            <v>2938.96</v>
          </cell>
          <cell r="T952">
            <v>3372.22</v>
          </cell>
          <cell r="U952">
            <v>4180.99</v>
          </cell>
          <cell r="V952">
            <v>5526.38</v>
          </cell>
          <cell r="W952">
            <v>5712.43</v>
          </cell>
          <cell r="X952">
            <v>6493.1</v>
          </cell>
          <cell r="Y952">
            <v>7912.2</v>
          </cell>
          <cell r="Z952">
            <v>1841.99</v>
          </cell>
          <cell r="AA952">
            <v>6812.61</v>
          </cell>
          <cell r="AB952">
            <v>10322.540000000001</v>
          </cell>
          <cell r="AC952">
            <v>12580.45</v>
          </cell>
          <cell r="AD952">
            <v>13661.27</v>
          </cell>
          <cell r="AE952">
            <v>14754.59</v>
          </cell>
          <cell r="AF952">
            <v>17483.349999999999</v>
          </cell>
          <cell r="AG952">
            <v>18444.78</v>
          </cell>
          <cell r="AH952">
            <v>20476.580000000002</v>
          </cell>
          <cell r="AI952">
            <v>20682.75</v>
          </cell>
          <cell r="AJ952">
            <v>21910.66</v>
          </cell>
          <cell r="AK952">
            <v>22478.46</v>
          </cell>
          <cell r="AL952">
            <v>0</v>
          </cell>
          <cell r="AM952">
            <v>1</v>
          </cell>
          <cell r="AN952" t="str">
            <v/>
          </cell>
          <cell r="AO952">
            <v>0</v>
          </cell>
          <cell r="AP952">
            <v>0</v>
          </cell>
          <cell r="AQ952">
            <v>0</v>
          </cell>
          <cell r="AR952">
            <v>700</v>
          </cell>
          <cell r="AS952">
            <v>0</v>
          </cell>
          <cell r="AT952" t="str">
            <v/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 t="str">
            <v/>
          </cell>
          <cell r="BK952">
            <v>7000</v>
          </cell>
          <cell r="BL952" t="str">
            <v>0</v>
          </cell>
          <cell r="BM952" t="str">
            <v>1</v>
          </cell>
          <cell r="BN952" t="str">
            <v/>
          </cell>
          <cell r="BO952" t="str">
            <v/>
          </cell>
        </row>
        <row r="953">
          <cell r="A953">
            <v>1</v>
          </cell>
          <cell r="B953">
            <v>4460081</v>
          </cell>
          <cell r="C953" t="str">
            <v>MECANICIENS &amp; ELECTRICIEN</v>
          </cell>
          <cell r="D953" t="str">
            <v>MOI MACHINE A PAPIER</v>
          </cell>
          <cell r="E953" t="str">
            <v>O</v>
          </cell>
          <cell r="F953">
            <v>0</v>
          </cell>
          <cell r="G953">
            <v>0</v>
          </cell>
          <cell r="H953">
            <v>207852</v>
          </cell>
          <cell r="I953">
            <v>341748.45</v>
          </cell>
          <cell r="J953">
            <v>133896.45000000001</v>
          </cell>
          <cell r="K953">
            <v>0</v>
          </cell>
          <cell r="L953">
            <v>21764.82</v>
          </cell>
          <cell r="M953">
            <v>8157.68</v>
          </cell>
          <cell r="N953">
            <v>13304.72</v>
          </cell>
          <cell r="O953">
            <v>64004.160000000003</v>
          </cell>
          <cell r="P953">
            <v>53912.23</v>
          </cell>
          <cell r="Q953">
            <v>68521.38</v>
          </cell>
          <cell r="R953">
            <v>92681.84</v>
          </cell>
          <cell r="S953">
            <v>130664.35</v>
          </cell>
          <cell r="T953">
            <v>145932.07999999999</v>
          </cell>
          <cell r="U953">
            <v>150802.22</v>
          </cell>
          <cell r="V953">
            <v>178400.94</v>
          </cell>
          <cell r="W953">
            <v>199684.32</v>
          </cell>
          <cell r="X953">
            <v>207852</v>
          </cell>
          <cell r="Y953">
            <v>221459.14</v>
          </cell>
          <cell r="Z953">
            <v>58458.720000000001</v>
          </cell>
          <cell r="AA953">
            <v>102277.39</v>
          </cell>
          <cell r="AB953">
            <v>150118.51</v>
          </cell>
          <cell r="AC953">
            <v>176402.74</v>
          </cell>
          <cell r="AD953">
            <v>200088.78</v>
          </cell>
          <cell r="AE953">
            <v>234337.18</v>
          </cell>
          <cell r="AF953">
            <v>255099.48</v>
          </cell>
          <cell r="AG953">
            <v>277581.82</v>
          </cell>
          <cell r="AH953">
            <v>335220.78999999998</v>
          </cell>
          <cell r="AI953">
            <v>371488.95</v>
          </cell>
          <cell r="AJ953">
            <v>383354.65</v>
          </cell>
          <cell r="AK953">
            <v>411877.64</v>
          </cell>
          <cell r="AL953">
            <v>0</v>
          </cell>
          <cell r="AM953">
            <v>1</v>
          </cell>
          <cell r="AN953" t="str">
            <v/>
          </cell>
          <cell r="AO953">
            <v>0</v>
          </cell>
          <cell r="AP953">
            <v>0</v>
          </cell>
          <cell r="AQ953">
            <v>0</v>
          </cell>
          <cell r="AR953">
            <v>700</v>
          </cell>
          <cell r="AS953">
            <v>0</v>
          </cell>
          <cell r="AT953" t="str">
            <v/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 t="str">
            <v/>
          </cell>
          <cell r="BK953">
            <v>7000</v>
          </cell>
          <cell r="BL953" t="str">
            <v>0</v>
          </cell>
          <cell r="BM953" t="str">
            <v>1</v>
          </cell>
          <cell r="BN953" t="str">
            <v/>
          </cell>
          <cell r="BO953" t="str">
            <v/>
          </cell>
        </row>
        <row r="954">
          <cell r="A954">
            <v>1</v>
          </cell>
          <cell r="B954">
            <v>4460091</v>
          </cell>
          <cell r="C954" t="str">
            <v>MECANICIENS &amp; ELECTRICIEN</v>
          </cell>
          <cell r="D954" t="str">
            <v>MOI PULPER</v>
          </cell>
          <cell r="E954" t="str">
            <v>O</v>
          </cell>
          <cell r="F954">
            <v>0</v>
          </cell>
          <cell r="G954">
            <v>0</v>
          </cell>
          <cell r="H954">
            <v>73101.490000000005</v>
          </cell>
          <cell r="I954">
            <v>97322</v>
          </cell>
          <cell r="J954">
            <v>24220.51</v>
          </cell>
          <cell r="K954">
            <v>0</v>
          </cell>
          <cell r="L954">
            <v>6213.83</v>
          </cell>
          <cell r="M954">
            <v>2033.63</v>
          </cell>
          <cell r="N954">
            <v>10293.540000000001</v>
          </cell>
          <cell r="O954">
            <v>17505.599999999999</v>
          </cell>
          <cell r="P954">
            <v>38646.230000000003</v>
          </cell>
          <cell r="Q954">
            <v>41448.379999999997</v>
          </cell>
          <cell r="R954">
            <v>44521.46</v>
          </cell>
          <cell r="S954">
            <v>46652.1</v>
          </cell>
          <cell r="T954">
            <v>50062.76</v>
          </cell>
          <cell r="U954">
            <v>54999.14</v>
          </cell>
          <cell r="V954">
            <v>63723.55</v>
          </cell>
          <cell r="W954">
            <v>71067.86</v>
          </cell>
          <cell r="X954">
            <v>73101.490000000005</v>
          </cell>
          <cell r="Y954">
            <v>77281.69</v>
          </cell>
          <cell r="Z954">
            <v>6346.47</v>
          </cell>
          <cell r="AA954">
            <v>6500.41</v>
          </cell>
          <cell r="AB954">
            <v>10578.66</v>
          </cell>
          <cell r="AC954">
            <v>15956.29</v>
          </cell>
          <cell r="AD954">
            <v>17547.43</v>
          </cell>
          <cell r="AE954">
            <v>20882.060000000001</v>
          </cell>
          <cell r="AF954">
            <v>46524</v>
          </cell>
          <cell r="AG954">
            <v>51658.91</v>
          </cell>
          <cell r="AH954">
            <v>59090.26</v>
          </cell>
          <cell r="AI954">
            <v>64203.43</v>
          </cell>
          <cell r="AJ954">
            <v>67293.75</v>
          </cell>
          <cell r="AK954">
            <v>73430.67</v>
          </cell>
          <cell r="AL954">
            <v>0</v>
          </cell>
          <cell r="AM954">
            <v>1</v>
          </cell>
          <cell r="AN954" t="str">
            <v/>
          </cell>
          <cell r="AO954">
            <v>0</v>
          </cell>
          <cell r="AP954">
            <v>0</v>
          </cell>
          <cell r="AQ954">
            <v>0</v>
          </cell>
          <cell r="AR954">
            <v>700</v>
          </cell>
          <cell r="AS954">
            <v>0</v>
          </cell>
          <cell r="AT954" t="str">
            <v/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 t="str">
            <v/>
          </cell>
          <cell r="BK954">
            <v>7000</v>
          </cell>
          <cell r="BL954" t="str">
            <v>0</v>
          </cell>
          <cell r="BM954" t="str">
            <v>1</v>
          </cell>
          <cell r="BN954" t="str">
            <v/>
          </cell>
          <cell r="BO954" t="str">
            <v/>
          </cell>
        </row>
        <row r="955">
          <cell r="A955">
            <v>1</v>
          </cell>
          <cell r="B955">
            <v>4460101</v>
          </cell>
          <cell r="C955" t="str">
            <v>MECANICIENS &amp; ELECTRICIEN</v>
          </cell>
          <cell r="D955" t="str">
            <v>MOI BALER</v>
          </cell>
          <cell r="E955" t="str">
            <v>O</v>
          </cell>
          <cell r="F955">
            <v>0</v>
          </cell>
          <cell r="G955">
            <v>0</v>
          </cell>
          <cell r="H955">
            <v>146.47</v>
          </cell>
          <cell r="I955">
            <v>171.96</v>
          </cell>
          <cell r="J955">
            <v>25.49</v>
          </cell>
          <cell r="K955">
            <v>0</v>
          </cell>
          <cell r="L955">
            <v>0</v>
          </cell>
          <cell r="M955">
            <v>0</v>
          </cell>
          <cell r="N955">
            <v>61.7</v>
          </cell>
          <cell r="O955">
            <v>76.099999999999994</v>
          </cell>
          <cell r="P955">
            <v>76.099999999999994</v>
          </cell>
          <cell r="Q955">
            <v>76.099999999999994</v>
          </cell>
          <cell r="R955">
            <v>76.099999999999994</v>
          </cell>
          <cell r="S955">
            <v>101.62</v>
          </cell>
          <cell r="T955">
            <v>101.62</v>
          </cell>
          <cell r="U955">
            <v>101.62</v>
          </cell>
          <cell r="V955">
            <v>143.27000000000001</v>
          </cell>
          <cell r="W955">
            <v>146.47</v>
          </cell>
          <cell r="X955">
            <v>146.47</v>
          </cell>
          <cell r="Y955">
            <v>146.47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81.7</v>
          </cell>
          <cell r="AF955">
            <v>88.28</v>
          </cell>
          <cell r="AG955">
            <v>135.62</v>
          </cell>
          <cell r="AH955">
            <v>270.13</v>
          </cell>
          <cell r="AI955">
            <v>280.70999999999998</v>
          </cell>
          <cell r="AJ955">
            <v>282.14999999999998</v>
          </cell>
          <cell r="AK955">
            <v>510.95</v>
          </cell>
          <cell r="AL955">
            <v>0</v>
          </cell>
          <cell r="AM955">
            <v>1</v>
          </cell>
          <cell r="AN955" t="str">
            <v/>
          </cell>
          <cell r="AO955">
            <v>0</v>
          </cell>
          <cell r="AP955">
            <v>0</v>
          </cell>
          <cell r="AQ955">
            <v>0</v>
          </cell>
          <cell r="AR955">
            <v>700</v>
          </cell>
          <cell r="AS955">
            <v>0</v>
          </cell>
          <cell r="AT955" t="str">
            <v/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 t="str">
            <v/>
          </cell>
          <cell r="BK955">
            <v>7000</v>
          </cell>
          <cell r="BL955" t="str">
            <v>0</v>
          </cell>
          <cell r="BM955" t="str">
            <v>1</v>
          </cell>
          <cell r="BN955" t="str">
            <v/>
          </cell>
          <cell r="BO955" t="str">
            <v/>
          </cell>
        </row>
        <row r="956">
          <cell r="A956">
            <v>1</v>
          </cell>
          <cell r="B956">
            <v>4460122</v>
          </cell>
          <cell r="C956" t="str">
            <v>MECANICIENS &amp; ELECTRICIEN</v>
          </cell>
          <cell r="D956" t="str">
            <v>MACHINE 12</v>
          </cell>
          <cell r="E956" t="str">
            <v>O</v>
          </cell>
          <cell r="F956">
            <v>0</v>
          </cell>
          <cell r="G956">
            <v>0</v>
          </cell>
          <cell r="H956">
            <v>25139.03</v>
          </cell>
          <cell r="I956">
            <v>28512.57</v>
          </cell>
          <cell r="J956">
            <v>3373.54</v>
          </cell>
          <cell r="K956">
            <v>0</v>
          </cell>
          <cell r="L956">
            <v>2062.3000000000002</v>
          </cell>
          <cell r="M956">
            <v>1400.51</v>
          </cell>
          <cell r="N956">
            <v>2466.9899999999998</v>
          </cell>
          <cell r="O956">
            <v>9338.2800000000007</v>
          </cell>
          <cell r="P956">
            <v>10579.02</v>
          </cell>
          <cell r="Q956">
            <v>11867.96</v>
          </cell>
          <cell r="R956">
            <v>13567.27</v>
          </cell>
          <cell r="S956">
            <v>14940.23</v>
          </cell>
          <cell r="T956">
            <v>16430.560000000001</v>
          </cell>
          <cell r="U956">
            <v>19665.990000000002</v>
          </cell>
          <cell r="V956">
            <v>21906.76</v>
          </cell>
          <cell r="W956">
            <v>23738.53</v>
          </cell>
          <cell r="X956">
            <v>25139.03</v>
          </cell>
          <cell r="Y956">
            <v>25800.82</v>
          </cell>
          <cell r="Z956">
            <v>2605.0700000000002</v>
          </cell>
          <cell r="AA956">
            <v>5924.34</v>
          </cell>
          <cell r="AB956">
            <v>9141.2999999999993</v>
          </cell>
          <cell r="AC956">
            <v>10685.28</v>
          </cell>
          <cell r="AD956">
            <v>11233.46</v>
          </cell>
          <cell r="AE956">
            <v>12926.71</v>
          </cell>
          <cell r="AF956">
            <v>14081.49</v>
          </cell>
          <cell r="AG956">
            <v>15102.79</v>
          </cell>
          <cell r="AH956">
            <v>16654.84</v>
          </cell>
          <cell r="AI956">
            <v>17725.3</v>
          </cell>
          <cell r="AJ956">
            <v>19940.919999999998</v>
          </cell>
          <cell r="AK956">
            <v>20650.37</v>
          </cell>
          <cell r="AL956">
            <v>0</v>
          </cell>
          <cell r="AM956">
            <v>2</v>
          </cell>
          <cell r="AN956" t="str">
            <v/>
          </cell>
          <cell r="AO956">
            <v>0</v>
          </cell>
          <cell r="AP956">
            <v>0</v>
          </cell>
          <cell r="AQ956">
            <v>0</v>
          </cell>
          <cell r="AR956">
            <v>700</v>
          </cell>
          <cell r="AS956">
            <v>0</v>
          </cell>
          <cell r="AT956" t="str">
            <v/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1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 t="str">
            <v/>
          </cell>
          <cell r="BK956">
            <v>7000</v>
          </cell>
          <cell r="BL956" t="str">
            <v>0</v>
          </cell>
          <cell r="BM956" t="str">
            <v>1</v>
          </cell>
          <cell r="BN956" t="str">
            <v/>
          </cell>
          <cell r="BO956" t="str">
            <v/>
          </cell>
        </row>
        <row r="957">
          <cell r="A957">
            <v>1</v>
          </cell>
          <cell r="B957">
            <v>4460132</v>
          </cell>
          <cell r="C957" t="str">
            <v>MECANICIENS &amp; ELECTRICIEN</v>
          </cell>
          <cell r="D957" t="str">
            <v>MACHINE 13</v>
          </cell>
          <cell r="E957" t="str">
            <v>O</v>
          </cell>
          <cell r="F957">
            <v>0</v>
          </cell>
          <cell r="G957">
            <v>0</v>
          </cell>
          <cell r="H957">
            <v>10310.530000000001</v>
          </cell>
          <cell r="I957">
            <v>12062.84</v>
          </cell>
          <cell r="J957">
            <v>1752.31</v>
          </cell>
          <cell r="K957">
            <v>0</v>
          </cell>
          <cell r="L957">
            <v>1024.17</v>
          </cell>
          <cell r="M957">
            <v>638.55999999999995</v>
          </cell>
          <cell r="N957">
            <v>1100.72</v>
          </cell>
          <cell r="O957">
            <v>2721.52</v>
          </cell>
          <cell r="P957">
            <v>3109.83</v>
          </cell>
          <cell r="Q957">
            <v>4271.6899999999996</v>
          </cell>
          <cell r="R957">
            <v>5023.33</v>
          </cell>
          <cell r="S957">
            <v>5843.48</v>
          </cell>
          <cell r="T957">
            <v>6701.31</v>
          </cell>
          <cell r="U957">
            <v>7718.94</v>
          </cell>
          <cell r="V957">
            <v>8671.7099999999991</v>
          </cell>
          <cell r="W957">
            <v>9671.9699999999993</v>
          </cell>
          <cell r="X957">
            <v>10310.530000000001</v>
          </cell>
          <cell r="Y957">
            <v>10696.14</v>
          </cell>
          <cell r="Z957">
            <v>1559.52</v>
          </cell>
          <cell r="AA957">
            <v>2062.4299999999998</v>
          </cell>
          <cell r="AB957">
            <v>2827.51</v>
          </cell>
          <cell r="AC957">
            <v>3466.65</v>
          </cell>
          <cell r="AD957">
            <v>4322.3599999999997</v>
          </cell>
          <cell r="AE957">
            <v>5615.87</v>
          </cell>
          <cell r="AF957">
            <v>6280.32</v>
          </cell>
          <cell r="AG957">
            <v>6844.25</v>
          </cell>
          <cell r="AH957">
            <v>7584.58</v>
          </cell>
          <cell r="AI957">
            <v>8757.7099999999991</v>
          </cell>
          <cell r="AJ957">
            <v>13653.44</v>
          </cell>
          <cell r="AK957">
            <v>18113.009999999998</v>
          </cell>
          <cell r="AL957">
            <v>0</v>
          </cell>
          <cell r="AM957">
            <v>2</v>
          </cell>
          <cell r="AN957" t="str">
            <v/>
          </cell>
          <cell r="AO957">
            <v>0</v>
          </cell>
          <cell r="AP957">
            <v>0</v>
          </cell>
          <cell r="AQ957">
            <v>0</v>
          </cell>
          <cell r="AR957">
            <v>700</v>
          </cell>
          <cell r="AS957">
            <v>0</v>
          </cell>
          <cell r="AT957" t="str">
            <v/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1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 t="str">
            <v/>
          </cell>
          <cell r="BK957">
            <v>7000</v>
          </cell>
          <cell r="BL957" t="str">
            <v>0</v>
          </cell>
          <cell r="BM957" t="str">
            <v>1</v>
          </cell>
          <cell r="BN957" t="str">
            <v/>
          </cell>
          <cell r="BO957" t="str">
            <v/>
          </cell>
        </row>
        <row r="958">
          <cell r="A958">
            <v>1</v>
          </cell>
          <cell r="B958">
            <v>4460142</v>
          </cell>
          <cell r="C958" t="str">
            <v>MECANICIENS &amp; ELECTRICIEN</v>
          </cell>
          <cell r="D958" t="str">
            <v>MACHINE 14</v>
          </cell>
          <cell r="E958" t="str">
            <v>O</v>
          </cell>
          <cell r="F958">
            <v>0</v>
          </cell>
          <cell r="G958">
            <v>0</v>
          </cell>
          <cell r="H958">
            <v>51437.96</v>
          </cell>
          <cell r="I958">
            <v>59481.7</v>
          </cell>
          <cell r="J958">
            <v>8043.74</v>
          </cell>
          <cell r="K958">
            <v>0</v>
          </cell>
          <cell r="L958">
            <v>6877.09</v>
          </cell>
          <cell r="M958">
            <v>4421.8</v>
          </cell>
          <cell r="N958">
            <v>3973.26</v>
          </cell>
          <cell r="O958">
            <v>9245.42</v>
          </cell>
          <cell r="P958">
            <v>18144.72</v>
          </cell>
          <cell r="Q958">
            <v>21717.32</v>
          </cell>
          <cell r="R958">
            <v>32344.880000000001</v>
          </cell>
          <cell r="S958">
            <v>35741.870000000003</v>
          </cell>
          <cell r="T958">
            <v>38153.410000000003</v>
          </cell>
          <cell r="U958">
            <v>41581.949999999997</v>
          </cell>
          <cell r="V958">
            <v>44762.66</v>
          </cell>
          <cell r="W958">
            <v>47016.160000000003</v>
          </cell>
          <cell r="X958">
            <v>51437.96</v>
          </cell>
          <cell r="Y958">
            <v>53893.25</v>
          </cell>
          <cell r="Z958">
            <v>4703.58</v>
          </cell>
          <cell r="AA958">
            <v>7479.25</v>
          </cell>
          <cell r="AB958">
            <v>9566.56</v>
          </cell>
          <cell r="AC958">
            <v>11059.21</v>
          </cell>
          <cell r="AD958">
            <v>13762.81</v>
          </cell>
          <cell r="AE958">
            <v>18180.95</v>
          </cell>
          <cell r="AF958">
            <v>20079.39</v>
          </cell>
          <cell r="AG958">
            <v>20785.150000000001</v>
          </cell>
          <cell r="AH958">
            <v>23210.83</v>
          </cell>
          <cell r="AI958">
            <v>26192.23</v>
          </cell>
          <cell r="AJ958">
            <v>29447.98</v>
          </cell>
          <cell r="AK958">
            <v>30735.88</v>
          </cell>
          <cell r="AL958">
            <v>0</v>
          </cell>
          <cell r="AM958">
            <v>2</v>
          </cell>
          <cell r="AN958" t="str">
            <v/>
          </cell>
          <cell r="AO958">
            <v>0</v>
          </cell>
          <cell r="AP958">
            <v>0</v>
          </cell>
          <cell r="AQ958">
            <v>0</v>
          </cell>
          <cell r="AR958">
            <v>700</v>
          </cell>
          <cell r="AS958">
            <v>0</v>
          </cell>
          <cell r="AT958" t="str">
            <v/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1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 t="str">
            <v/>
          </cell>
          <cell r="BK958">
            <v>7000</v>
          </cell>
          <cell r="BL958" t="str">
            <v>0</v>
          </cell>
          <cell r="BM958" t="str">
            <v>1</v>
          </cell>
          <cell r="BN958" t="str">
            <v/>
          </cell>
          <cell r="BO958" t="str">
            <v/>
          </cell>
        </row>
        <row r="959">
          <cell r="A959">
            <v>1</v>
          </cell>
          <cell r="B959">
            <v>4460152</v>
          </cell>
          <cell r="C959" t="str">
            <v>MECANICIENS &amp; ELECTRICIEN</v>
          </cell>
          <cell r="D959" t="str">
            <v>MACHINE 15</v>
          </cell>
          <cell r="E959" t="str">
            <v>O</v>
          </cell>
          <cell r="F959">
            <v>0</v>
          </cell>
          <cell r="G959">
            <v>0</v>
          </cell>
          <cell r="H959">
            <v>3465.76</v>
          </cell>
          <cell r="I959">
            <v>4939.12</v>
          </cell>
          <cell r="J959">
            <v>1473.36</v>
          </cell>
          <cell r="K959">
            <v>0</v>
          </cell>
          <cell r="L959">
            <v>1342.52</v>
          </cell>
          <cell r="M959">
            <v>1310.6400000000001</v>
          </cell>
          <cell r="N959">
            <v>245.6</v>
          </cell>
          <cell r="O959">
            <v>297.19</v>
          </cell>
          <cell r="P959">
            <v>316.89</v>
          </cell>
          <cell r="Q959">
            <v>418.66</v>
          </cell>
          <cell r="R959">
            <v>454.25</v>
          </cell>
          <cell r="S959">
            <v>1167.29</v>
          </cell>
          <cell r="T959">
            <v>1254.26</v>
          </cell>
          <cell r="U959">
            <v>1799.62</v>
          </cell>
          <cell r="V959">
            <v>1850.13</v>
          </cell>
          <cell r="W959">
            <v>2155.12</v>
          </cell>
          <cell r="X959">
            <v>3465.76</v>
          </cell>
          <cell r="Y959">
            <v>3497.64</v>
          </cell>
          <cell r="Z959">
            <v>201.61</v>
          </cell>
          <cell r="AA959">
            <v>1017.79</v>
          </cell>
          <cell r="AB959">
            <v>1247.6600000000001</v>
          </cell>
          <cell r="AC959">
            <v>1275.6600000000001</v>
          </cell>
          <cell r="AD959">
            <v>1543.21</v>
          </cell>
          <cell r="AE959">
            <v>2028.03</v>
          </cell>
          <cell r="AF959">
            <v>2299.63</v>
          </cell>
          <cell r="AG959">
            <v>2339.94</v>
          </cell>
          <cell r="AH959">
            <v>2806.94</v>
          </cell>
          <cell r="AI959">
            <v>4918.1099999999997</v>
          </cell>
          <cell r="AJ959">
            <v>5048.8100000000004</v>
          </cell>
          <cell r="AK959">
            <v>5156.88</v>
          </cell>
          <cell r="AL959">
            <v>0</v>
          </cell>
          <cell r="AM959">
            <v>2</v>
          </cell>
          <cell r="AN959" t="str">
            <v/>
          </cell>
          <cell r="AO959">
            <v>0</v>
          </cell>
          <cell r="AP959">
            <v>0</v>
          </cell>
          <cell r="AQ959">
            <v>0</v>
          </cell>
          <cell r="AR959">
            <v>700</v>
          </cell>
          <cell r="AS959">
            <v>0</v>
          </cell>
          <cell r="AT959" t="str">
            <v/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1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 t="str">
            <v/>
          </cell>
          <cell r="BK959">
            <v>7000</v>
          </cell>
          <cell r="BL959" t="str">
            <v>0</v>
          </cell>
          <cell r="BM959" t="str">
            <v>1</v>
          </cell>
          <cell r="BN959" t="str">
            <v/>
          </cell>
          <cell r="BO959" t="str">
            <v/>
          </cell>
        </row>
        <row r="960">
          <cell r="A960">
            <v>1</v>
          </cell>
          <cell r="B960">
            <v>4460162</v>
          </cell>
          <cell r="C960" t="str">
            <v>MECANICIENS &amp; ELECTRICIEN</v>
          </cell>
          <cell r="D960" t="str">
            <v>MACHINE 16</v>
          </cell>
          <cell r="E960" t="str">
            <v>O</v>
          </cell>
          <cell r="F960">
            <v>0</v>
          </cell>
          <cell r="G960">
            <v>0</v>
          </cell>
          <cell r="H960">
            <v>3383.04</v>
          </cell>
          <cell r="I960">
            <v>3637.89</v>
          </cell>
          <cell r="J960">
            <v>254.85</v>
          </cell>
          <cell r="K960">
            <v>0</v>
          </cell>
          <cell r="L960">
            <v>75.14</v>
          </cell>
          <cell r="M960">
            <v>0</v>
          </cell>
          <cell r="N960">
            <v>175.28</v>
          </cell>
          <cell r="O960">
            <v>848.95</v>
          </cell>
          <cell r="P960">
            <v>1008.56</v>
          </cell>
          <cell r="Q960">
            <v>1648.02</v>
          </cell>
          <cell r="R960">
            <v>2641.18</v>
          </cell>
          <cell r="S960">
            <v>2832.7</v>
          </cell>
          <cell r="T960">
            <v>2832.7</v>
          </cell>
          <cell r="U960">
            <v>2967.74</v>
          </cell>
          <cell r="V960">
            <v>3249.1</v>
          </cell>
          <cell r="W960">
            <v>3383.04</v>
          </cell>
          <cell r="X960">
            <v>3383.04</v>
          </cell>
          <cell r="Y960">
            <v>3458.18</v>
          </cell>
          <cell r="Z960">
            <v>1646.28</v>
          </cell>
          <cell r="AA960">
            <v>2642.72</v>
          </cell>
          <cell r="AB960">
            <v>3317.67</v>
          </cell>
          <cell r="AC960">
            <v>4962.71</v>
          </cell>
          <cell r="AD960">
            <v>5376.19</v>
          </cell>
          <cell r="AE960">
            <v>6255.9</v>
          </cell>
          <cell r="AF960">
            <v>7061.43</v>
          </cell>
          <cell r="AG960">
            <v>7401.39</v>
          </cell>
          <cell r="AH960">
            <v>7990.03</v>
          </cell>
          <cell r="AI960">
            <v>9324.7000000000007</v>
          </cell>
          <cell r="AJ960">
            <v>9409.11</v>
          </cell>
          <cell r="AK960">
            <v>9460.9500000000007</v>
          </cell>
          <cell r="AL960">
            <v>0</v>
          </cell>
          <cell r="AM960">
            <v>2</v>
          </cell>
          <cell r="AN960" t="str">
            <v/>
          </cell>
          <cell r="AO960">
            <v>0</v>
          </cell>
          <cell r="AP960">
            <v>0</v>
          </cell>
          <cell r="AQ960">
            <v>0</v>
          </cell>
          <cell r="AR960">
            <v>700</v>
          </cell>
          <cell r="AS960">
            <v>0</v>
          </cell>
          <cell r="AT960" t="str">
            <v/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1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 t="str">
            <v/>
          </cell>
          <cell r="BK960">
            <v>7000</v>
          </cell>
          <cell r="BL960" t="str">
            <v>0</v>
          </cell>
          <cell r="BM960" t="str">
            <v>1</v>
          </cell>
          <cell r="BN960" t="str">
            <v/>
          </cell>
          <cell r="BO960" t="str">
            <v/>
          </cell>
        </row>
        <row r="961">
          <cell r="A961">
            <v>1</v>
          </cell>
          <cell r="B961">
            <v>4460172</v>
          </cell>
          <cell r="C961" t="str">
            <v>MECANICIENS &amp; ELECTRICIEN</v>
          </cell>
          <cell r="D961" t="str">
            <v>MACHINE 17</v>
          </cell>
          <cell r="E961" t="str">
            <v>O</v>
          </cell>
          <cell r="F961">
            <v>0</v>
          </cell>
          <cell r="G961">
            <v>0</v>
          </cell>
          <cell r="H961">
            <v>7084.6</v>
          </cell>
          <cell r="I961">
            <v>10735.39</v>
          </cell>
          <cell r="J961">
            <v>3650.79</v>
          </cell>
          <cell r="K961">
            <v>0</v>
          </cell>
          <cell r="L961">
            <v>6513.72</v>
          </cell>
          <cell r="M961">
            <v>2799.93</v>
          </cell>
          <cell r="N961">
            <v>708.59</v>
          </cell>
          <cell r="O961">
            <v>1189.8900000000001</v>
          </cell>
          <cell r="P961">
            <v>1421.07</v>
          </cell>
          <cell r="Q961">
            <v>1808.92</v>
          </cell>
          <cell r="R961">
            <v>2591.1999999999998</v>
          </cell>
          <cell r="S961">
            <v>2817.81</v>
          </cell>
          <cell r="T961">
            <v>3183.83</v>
          </cell>
          <cell r="U961">
            <v>3407.24</v>
          </cell>
          <cell r="V961">
            <v>3651.42</v>
          </cell>
          <cell r="W961">
            <v>4284.67</v>
          </cell>
          <cell r="X961">
            <v>7084.6</v>
          </cell>
          <cell r="Y961">
            <v>10798.39</v>
          </cell>
          <cell r="Z961">
            <v>776.17</v>
          </cell>
          <cell r="AA961">
            <v>1240.32</v>
          </cell>
          <cell r="AB961">
            <v>1913.08</v>
          </cell>
          <cell r="AC961">
            <v>2531.1999999999998</v>
          </cell>
          <cell r="AD961">
            <v>2620.67</v>
          </cell>
          <cell r="AE961">
            <v>3201.16</v>
          </cell>
          <cell r="AF961">
            <v>3732.96</v>
          </cell>
          <cell r="AG961">
            <v>3929.01</v>
          </cell>
          <cell r="AH961">
            <v>4675.17</v>
          </cell>
          <cell r="AI961">
            <v>5809.51</v>
          </cell>
          <cell r="AJ961">
            <v>6146.88</v>
          </cell>
          <cell r="AK961">
            <v>6291.41</v>
          </cell>
          <cell r="AL961">
            <v>0</v>
          </cell>
          <cell r="AM961">
            <v>2</v>
          </cell>
          <cell r="AN961" t="str">
            <v/>
          </cell>
          <cell r="AO961">
            <v>0</v>
          </cell>
          <cell r="AP961">
            <v>0</v>
          </cell>
          <cell r="AQ961">
            <v>0</v>
          </cell>
          <cell r="AR961">
            <v>700</v>
          </cell>
          <cell r="AS961">
            <v>0</v>
          </cell>
          <cell r="AT961" t="str">
            <v/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1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 t="str">
            <v/>
          </cell>
          <cell r="BK961">
            <v>7000</v>
          </cell>
          <cell r="BL961" t="str">
            <v>0</v>
          </cell>
          <cell r="BM961" t="str">
            <v>1</v>
          </cell>
          <cell r="BN961" t="str">
            <v/>
          </cell>
          <cell r="BO961" t="str">
            <v/>
          </cell>
        </row>
        <row r="962">
          <cell r="A962">
            <v>1</v>
          </cell>
          <cell r="B962">
            <v>4460182</v>
          </cell>
          <cell r="C962" t="str">
            <v>MECANICIENS &amp; ELECTRICIEN</v>
          </cell>
          <cell r="D962" t="str">
            <v>MACHINE 18</v>
          </cell>
          <cell r="E962" t="str">
            <v>O</v>
          </cell>
          <cell r="F962">
            <v>0</v>
          </cell>
          <cell r="G962">
            <v>0</v>
          </cell>
          <cell r="H962">
            <v>3865.57</v>
          </cell>
          <cell r="I962">
            <v>4272.25</v>
          </cell>
          <cell r="J962">
            <v>406.68</v>
          </cell>
          <cell r="K962">
            <v>0</v>
          </cell>
          <cell r="L962">
            <v>24.68</v>
          </cell>
          <cell r="M962">
            <v>0</v>
          </cell>
          <cell r="N962">
            <v>1391</v>
          </cell>
          <cell r="O962">
            <v>2822.31</v>
          </cell>
          <cell r="P962">
            <v>3117.97</v>
          </cell>
          <cell r="Q962">
            <v>3368.32</v>
          </cell>
          <cell r="R962">
            <v>3839.81</v>
          </cell>
          <cell r="S962">
            <v>3865.57</v>
          </cell>
          <cell r="T962">
            <v>3865.57</v>
          </cell>
          <cell r="U962">
            <v>3865.57</v>
          </cell>
          <cell r="V962">
            <v>3865.57</v>
          </cell>
          <cell r="W962">
            <v>3865.57</v>
          </cell>
          <cell r="X962">
            <v>3865.57</v>
          </cell>
          <cell r="Y962">
            <v>3890.25</v>
          </cell>
          <cell r="Z962">
            <v>178.45</v>
          </cell>
          <cell r="AA962">
            <v>350.06</v>
          </cell>
          <cell r="AB962">
            <v>3944.09</v>
          </cell>
          <cell r="AC962">
            <v>10594.95</v>
          </cell>
          <cell r="AD962">
            <v>14154.44</v>
          </cell>
          <cell r="AE962">
            <v>17810.400000000001</v>
          </cell>
          <cell r="AF962">
            <v>21722.45</v>
          </cell>
          <cell r="AG962">
            <v>29961.88</v>
          </cell>
          <cell r="AH962">
            <v>29686.45</v>
          </cell>
          <cell r="AI962">
            <v>29856.52</v>
          </cell>
          <cell r="AJ962">
            <v>29866.83</v>
          </cell>
          <cell r="AK962">
            <v>29888.02</v>
          </cell>
          <cell r="AL962">
            <v>0</v>
          </cell>
          <cell r="AM962">
            <v>2</v>
          </cell>
          <cell r="AN962" t="str">
            <v/>
          </cell>
          <cell r="AO962">
            <v>0</v>
          </cell>
          <cell r="AP962">
            <v>0</v>
          </cell>
          <cell r="AQ962">
            <v>0</v>
          </cell>
          <cell r="AR962">
            <v>700</v>
          </cell>
          <cell r="AS962">
            <v>0</v>
          </cell>
          <cell r="AT962" t="str">
            <v/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1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 t="str">
            <v/>
          </cell>
          <cell r="BK962">
            <v>7000</v>
          </cell>
          <cell r="BL962" t="str">
            <v>0</v>
          </cell>
          <cell r="BM962" t="str">
            <v>1</v>
          </cell>
          <cell r="BN962" t="str">
            <v/>
          </cell>
          <cell r="BO962" t="str">
            <v/>
          </cell>
        </row>
        <row r="963">
          <cell r="A963">
            <v>1</v>
          </cell>
          <cell r="B963">
            <v>4460222</v>
          </cell>
          <cell r="C963" t="str">
            <v>MECANICIENS &amp; ELECTRICIEN</v>
          </cell>
          <cell r="D963" t="str">
            <v>MACHINE 22</v>
          </cell>
          <cell r="E963" t="str">
            <v>O</v>
          </cell>
          <cell r="F963">
            <v>0</v>
          </cell>
          <cell r="G963">
            <v>0</v>
          </cell>
          <cell r="H963">
            <v>30998.86</v>
          </cell>
          <cell r="I963">
            <v>38827.32</v>
          </cell>
          <cell r="J963">
            <v>7828.46</v>
          </cell>
          <cell r="K963">
            <v>0</v>
          </cell>
          <cell r="L963">
            <v>6682.49</v>
          </cell>
          <cell r="M963">
            <v>5921.51</v>
          </cell>
          <cell r="N963">
            <v>3191.11</v>
          </cell>
          <cell r="O963">
            <v>5178.41</v>
          </cell>
          <cell r="P963">
            <v>12015.61</v>
          </cell>
          <cell r="Q963">
            <v>14269.33</v>
          </cell>
          <cell r="R963">
            <v>16283.49</v>
          </cell>
          <cell r="S963">
            <v>17609.57</v>
          </cell>
          <cell r="T963">
            <v>21020.65</v>
          </cell>
          <cell r="U963">
            <v>23014.21</v>
          </cell>
          <cell r="V963">
            <v>23741.919999999998</v>
          </cell>
          <cell r="W963">
            <v>25077.35</v>
          </cell>
          <cell r="X963">
            <v>30998.86</v>
          </cell>
          <cell r="Y963">
            <v>31759.84</v>
          </cell>
          <cell r="Z963">
            <v>687.31</v>
          </cell>
          <cell r="AA963">
            <v>1071.8800000000001</v>
          </cell>
          <cell r="AB963">
            <v>1294.3900000000001</v>
          </cell>
          <cell r="AC963">
            <v>1734.78</v>
          </cell>
          <cell r="AD963">
            <v>2320.64</v>
          </cell>
          <cell r="AE963">
            <v>3311.28</v>
          </cell>
          <cell r="AF963">
            <v>4789.24</v>
          </cell>
          <cell r="AG963">
            <v>5612.82</v>
          </cell>
          <cell r="AH963">
            <v>8473.56</v>
          </cell>
          <cell r="AI963">
            <v>8708.7800000000007</v>
          </cell>
          <cell r="AJ963">
            <v>10794.73</v>
          </cell>
          <cell r="AK963">
            <v>11187.88</v>
          </cell>
          <cell r="AL963">
            <v>0</v>
          </cell>
          <cell r="AM963">
            <v>2</v>
          </cell>
          <cell r="AN963" t="str">
            <v/>
          </cell>
          <cell r="AO963">
            <v>0</v>
          </cell>
          <cell r="AP963">
            <v>0</v>
          </cell>
          <cell r="AQ963">
            <v>0</v>
          </cell>
          <cell r="AR963">
            <v>700</v>
          </cell>
          <cell r="AS963">
            <v>0</v>
          </cell>
          <cell r="AT963" t="str">
            <v/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1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 t="str">
            <v/>
          </cell>
          <cell r="BK963">
            <v>7000</v>
          </cell>
          <cell r="BL963" t="str">
            <v>0</v>
          </cell>
          <cell r="BM963" t="str">
            <v>1</v>
          </cell>
          <cell r="BN963" t="str">
            <v/>
          </cell>
          <cell r="BO963" t="str">
            <v/>
          </cell>
        </row>
        <row r="964">
          <cell r="A964">
            <v>1</v>
          </cell>
          <cell r="B964">
            <v>4470021</v>
          </cell>
          <cell r="C964" t="str">
            <v>ENTRETIEN ET REPERATIONS</v>
          </cell>
          <cell r="D964" t="str">
            <v>MOI SYST POMPAGE</v>
          </cell>
          <cell r="E964" t="str">
            <v>O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-0.11</v>
          </cell>
          <cell r="AA964">
            <v>145.49</v>
          </cell>
          <cell r="AB964">
            <v>145.49</v>
          </cell>
          <cell r="AC964">
            <v>145.49</v>
          </cell>
          <cell r="AD964">
            <v>145.49</v>
          </cell>
          <cell r="AE964">
            <v>145.49</v>
          </cell>
          <cell r="AF964">
            <v>145.49</v>
          </cell>
          <cell r="AG964">
            <v>145.49</v>
          </cell>
          <cell r="AH964">
            <v>145.49</v>
          </cell>
          <cell r="AI964">
            <v>653.09</v>
          </cell>
          <cell r="AJ964">
            <v>2446.92</v>
          </cell>
          <cell r="AK964">
            <v>1131.1500000000001</v>
          </cell>
          <cell r="AL964">
            <v>0</v>
          </cell>
          <cell r="AM964">
            <v>1</v>
          </cell>
          <cell r="AN964" t="str">
            <v/>
          </cell>
          <cell r="AO964">
            <v>0</v>
          </cell>
          <cell r="AP964">
            <v>0</v>
          </cell>
          <cell r="AQ964">
            <v>0</v>
          </cell>
          <cell r="AR964">
            <v>720</v>
          </cell>
          <cell r="AS964">
            <v>0</v>
          </cell>
          <cell r="AT964" t="str">
            <v/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 t="str">
            <v/>
          </cell>
          <cell r="BK964">
            <v>7000</v>
          </cell>
          <cell r="BL964" t="str">
            <v>0</v>
          </cell>
          <cell r="BM964" t="str">
            <v>1</v>
          </cell>
          <cell r="BN964" t="str">
            <v/>
          </cell>
          <cell r="BO964" t="str">
            <v/>
          </cell>
        </row>
        <row r="965">
          <cell r="A965">
            <v>1</v>
          </cell>
          <cell r="B965">
            <v>4470081</v>
          </cell>
          <cell r="C965" t="str">
            <v>ENTRETIEN ET REPARATIONS</v>
          </cell>
          <cell r="D965" t="str">
            <v>MACHINE A PAPIER</v>
          </cell>
          <cell r="E965" t="str">
            <v>O</v>
          </cell>
          <cell r="F965">
            <v>0</v>
          </cell>
          <cell r="G965">
            <v>0</v>
          </cell>
          <cell r="H965">
            <v>511022.11</v>
          </cell>
          <cell r="I965">
            <v>761359.18</v>
          </cell>
          <cell r="J965">
            <v>250337.07</v>
          </cell>
          <cell r="K965">
            <v>0</v>
          </cell>
          <cell r="L965">
            <v>184264.11</v>
          </cell>
          <cell r="M965">
            <v>34014.31</v>
          </cell>
          <cell r="N965">
            <v>32515.88</v>
          </cell>
          <cell r="O965">
            <v>108853.2</v>
          </cell>
          <cell r="P965">
            <v>165164.20000000001</v>
          </cell>
          <cell r="Q965">
            <v>196772.98</v>
          </cell>
          <cell r="R965">
            <v>233288.68</v>
          </cell>
          <cell r="S965">
            <v>314179.95</v>
          </cell>
          <cell r="T965">
            <v>351453.85</v>
          </cell>
          <cell r="U965">
            <v>373377.2</v>
          </cell>
          <cell r="V965">
            <v>410932.94</v>
          </cell>
          <cell r="W965">
            <v>472372.57</v>
          </cell>
          <cell r="X965">
            <v>511022.11</v>
          </cell>
          <cell r="Y965">
            <v>661271.91</v>
          </cell>
          <cell r="Z965">
            <v>60552.76</v>
          </cell>
          <cell r="AA965">
            <v>178641.96</v>
          </cell>
          <cell r="AB965">
            <v>261115.48</v>
          </cell>
          <cell r="AC965">
            <v>291603.28000000003</v>
          </cell>
          <cell r="AD965">
            <v>368034.41</v>
          </cell>
          <cell r="AE965">
            <v>427733.05</v>
          </cell>
          <cell r="AF965">
            <v>528757.4</v>
          </cell>
          <cell r="AG965">
            <v>654648.98</v>
          </cell>
          <cell r="AH965">
            <v>709695.13</v>
          </cell>
          <cell r="AI965">
            <v>795499.68</v>
          </cell>
          <cell r="AJ965">
            <v>862343.47</v>
          </cell>
          <cell r="AK965">
            <v>913187.26</v>
          </cell>
          <cell r="AL965">
            <v>0</v>
          </cell>
          <cell r="AM965">
            <v>1</v>
          </cell>
          <cell r="AN965" t="str">
            <v/>
          </cell>
          <cell r="AO965">
            <v>0</v>
          </cell>
          <cell r="AP965">
            <v>0</v>
          </cell>
          <cell r="AQ965">
            <v>0</v>
          </cell>
          <cell r="AR965">
            <v>720</v>
          </cell>
          <cell r="AS965">
            <v>0</v>
          </cell>
          <cell r="AT965" t="str">
            <v/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 t="str">
            <v/>
          </cell>
          <cell r="BK965">
            <v>7000</v>
          </cell>
          <cell r="BL965" t="str">
            <v>0</v>
          </cell>
          <cell r="BM965" t="str">
            <v>1</v>
          </cell>
          <cell r="BN965" t="str">
            <v/>
          </cell>
          <cell r="BO965" t="str">
            <v/>
          </cell>
        </row>
        <row r="966">
          <cell r="A966">
            <v>1</v>
          </cell>
          <cell r="B966">
            <v>4470091</v>
          </cell>
          <cell r="C966" t="str">
            <v>ENTRETIEN ET REPARATIONS</v>
          </cell>
          <cell r="D966" t="str">
            <v>PULPER</v>
          </cell>
          <cell r="E966" t="str">
            <v>O</v>
          </cell>
          <cell r="F966">
            <v>0</v>
          </cell>
          <cell r="G966">
            <v>0</v>
          </cell>
          <cell r="H966">
            <v>121979.24</v>
          </cell>
          <cell r="I966">
            <v>211526.5</v>
          </cell>
          <cell r="J966">
            <v>89547.26</v>
          </cell>
          <cell r="K966">
            <v>0</v>
          </cell>
          <cell r="L966">
            <v>3532.59</v>
          </cell>
          <cell r="M966">
            <v>3111.6</v>
          </cell>
          <cell r="N966">
            <v>3419.5</v>
          </cell>
          <cell r="O966">
            <v>7756.65</v>
          </cell>
          <cell r="P966">
            <v>23906.82</v>
          </cell>
          <cell r="Q966">
            <v>55129.2</v>
          </cell>
          <cell r="R966">
            <v>57216.13</v>
          </cell>
          <cell r="S966">
            <v>62617.89</v>
          </cell>
          <cell r="T966">
            <v>63173.08</v>
          </cell>
          <cell r="U966">
            <v>78190.64</v>
          </cell>
          <cell r="V966">
            <v>105252.21</v>
          </cell>
          <cell r="W966">
            <v>116736.09</v>
          </cell>
          <cell r="X966">
            <v>121979.24</v>
          </cell>
          <cell r="Y966">
            <v>122400.23</v>
          </cell>
          <cell r="Z966">
            <v>3853.7</v>
          </cell>
          <cell r="AA966">
            <v>4611.6000000000004</v>
          </cell>
          <cell r="AB966">
            <v>13360.69</v>
          </cell>
          <cell r="AC966">
            <v>14017.44</v>
          </cell>
          <cell r="AD966">
            <v>26358.14</v>
          </cell>
          <cell r="AE966">
            <v>53470.82</v>
          </cell>
          <cell r="AF966">
            <v>65821.27</v>
          </cell>
          <cell r="AG966">
            <v>77357.289999999994</v>
          </cell>
          <cell r="AH966">
            <v>82580.95</v>
          </cell>
          <cell r="AI966">
            <v>85059.7</v>
          </cell>
          <cell r="AJ966">
            <v>87043.79</v>
          </cell>
          <cell r="AK966">
            <v>102879.56</v>
          </cell>
          <cell r="AL966">
            <v>0</v>
          </cell>
          <cell r="AM966">
            <v>1</v>
          </cell>
          <cell r="AN966" t="str">
            <v/>
          </cell>
          <cell r="AO966">
            <v>0</v>
          </cell>
          <cell r="AP966">
            <v>0</v>
          </cell>
          <cell r="AQ966">
            <v>0</v>
          </cell>
          <cell r="AR966">
            <v>720</v>
          </cell>
          <cell r="AS966">
            <v>0</v>
          </cell>
          <cell r="AT966" t="str">
            <v/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 t="str">
            <v/>
          </cell>
          <cell r="BK966">
            <v>7000</v>
          </cell>
          <cell r="BL966" t="str">
            <v>0</v>
          </cell>
          <cell r="BM966" t="str">
            <v>1</v>
          </cell>
          <cell r="BN966" t="str">
            <v/>
          </cell>
          <cell r="BO966" t="str">
            <v/>
          </cell>
        </row>
        <row r="967">
          <cell r="A967">
            <v>1</v>
          </cell>
          <cell r="B967">
            <v>4470101</v>
          </cell>
          <cell r="C967" t="str">
            <v>ENTRETIEN ET REPARATIONS</v>
          </cell>
          <cell r="D967" t="str">
            <v>BALER</v>
          </cell>
          <cell r="E967" t="str">
            <v>O</v>
          </cell>
          <cell r="F967">
            <v>0</v>
          </cell>
          <cell r="G967">
            <v>0</v>
          </cell>
          <cell r="H967">
            <v>168.72</v>
          </cell>
          <cell r="I967">
            <v>254.57</v>
          </cell>
          <cell r="J967">
            <v>85.85</v>
          </cell>
          <cell r="K967">
            <v>0</v>
          </cell>
          <cell r="L967">
            <v>0</v>
          </cell>
          <cell r="M967">
            <v>0</v>
          </cell>
          <cell r="N967">
            <v>85.85</v>
          </cell>
          <cell r="O967">
            <v>85.85</v>
          </cell>
          <cell r="P967">
            <v>85.85</v>
          </cell>
          <cell r="Q967">
            <v>85.85</v>
          </cell>
          <cell r="R967">
            <v>85.85</v>
          </cell>
          <cell r="S967">
            <v>105.8</v>
          </cell>
          <cell r="T967">
            <v>105.8</v>
          </cell>
          <cell r="U967">
            <v>105.8</v>
          </cell>
          <cell r="V967">
            <v>105.8</v>
          </cell>
          <cell r="W967">
            <v>168.72</v>
          </cell>
          <cell r="X967">
            <v>168.72</v>
          </cell>
          <cell r="Y967">
            <v>168.72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94.72</v>
          </cell>
          <cell r="AI967">
            <v>189.44</v>
          </cell>
          <cell r="AJ967">
            <v>189.44</v>
          </cell>
          <cell r="AK967">
            <v>189.44</v>
          </cell>
          <cell r="AL967">
            <v>0</v>
          </cell>
          <cell r="AM967">
            <v>1</v>
          </cell>
          <cell r="AN967" t="str">
            <v/>
          </cell>
          <cell r="AO967">
            <v>0</v>
          </cell>
          <cell r="AP967">
            <v>0</v>
          </cell>
          <cell r="AQ967">
            <v>0</v>
          </cell>
          <cell r="AR967">
            <v>720</v>
          </cell>
          <cell r="AS967">
            <v>0</v>
          </cell>
          <cell r="AT967" t="str">
            <v/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 t="str">
            <v/>
          </cell>
          <cell r="BK967">
            <v>7000</v>
          </cell>
          <cell r="BL967" t="str">
            <v>0</v>
          </cell>
          <cell r="BM967" t="str">
            <v>1</v>
          </cell>
          <cell r="BN967" t="str">
            <v/>
          </cell>
          <cell r="BO967" t="str">
            <v/>
          </cell>
        </row>
        <row r="968">
          <cell r="A968">
            <v>1</v>
          </cell>
          <cell r="B968">
            <v>4470122</v>
          </cell>
          <cell r="C968" t="str">
            <v>ENTRETIEN ET REPARATIONS</v>
          </cell>
          <cell r="D968" t="str">
            <v>MACHINE 12</v>
          </cell>
          <cell r="E968" t="str">
            <v>O</v>
          </cell>
          <cell r="F968">
            <v>0</v>
          </cell>
          <cell r="G968">
            <v>0</v>
          </cell>
          <cell r="H968">
            <v>67061.899999999994</v>
          </cell>
          <cell r="I968">
            <v>83129.100000000006</v>
          </cell>
          <cell r="J968">
            <v>16067.2</v>
          </cell>
          <cell r="K968">
            <v>0</v>
          </cell>
          <cell r="L968">
            <v>8330.2099999999991</v>
          </cell>
          <cell r="M968">
            <v>5940.77</v>
          </cell>
          <cell r="N968">
            <v>10463.52</v>
          </cell>
          <cell r="O968">
            <v>37139.01</v>
          </cell>
          <cell r="P968">
            <v>36513.339999999997</v>
          </cell>
          <cell r="Q968">
            <v>37416.6</v>
          </cell>
          <cell r="R968">
            <v>39410.199999999997</v>
          </cell>
          <cell r="S968">
            <v>41368.629999999997</v>
          </cell>
          <cell r="T968">
            <v>42137.35</v>
          </cell>
          <cell r="U968">
            <v>47501.07</v>
          </cell>
          <cell r="V968">
            <v>52601.55</v>
          </cell>
          <cell r="W968">
            <v>58305.21</v>
          </cell>
          <cell r="X968">
            <v>67061.899999999994</v>
          </cell>
          <cell r="Y968">
            <v>69451.34</v>
          </cell>
          <cell r="Z968">
            <v>-3843.92</v>
          </cell>
          <cell r="AA968">
            <v>3054.91</v>
          </cell>
          <cell r="AB968">
            <v>4358.53</v>
          </cell>
          <cell r="AC968">
            <v>13452.53</v>
          </cell>
          <cell r="AD968">
            <v>33720.25</v>
          </cell>
          <cell r="AE968">
            <v>18505.509999999998</v>
          </cell>
          <cell r="AF968">
            <v>20981.54</v>
          </cell>
          <cell r="AG968">
            <v>21897.82</v>
          </cell>
          <cell r="AH968">
            <v>23355.65</v>
          </cell>
          <cell r="AI968">
            <v>25626.49</v>
          </cell>
          <cell r="AJ968">
            <v>29003.31</v>
          </cell>
          <cell r="AK968">
            <v>38026.089999999997</v>
          </cell>
          <cell r="AL968">
            <v>0</v>
          </cell>
          <cell r="AM968">
            <v>2</v>
          </cell>
          <cell r="AN968" t="str">
            <v/>
          </cell>
          <cell r="AO968">
            <v>0</v>
          </cell>
          <cell r="AP968">
            <v>0</v>
          </cell>
          <cell r="AQ968">
            <v>0</v>
          </cell>
          <cell r="AR968">
            <v>720</v>
          </cell>
          <cell r="AS968">
            <v>0</v>
          </cell>
          <cell r="AT968" t="str">
            <v/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1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 t="str">
            <v/>
          </cell>
          <cell r="BK968">
            <v>7000</v>
          </cell>
          <cell r="BL968" t="str">
            <v>0</v>
          </cell>
          <cell r="BM968" t="str">
            <v>1</v>
          </cell>
          <cell r="BN968" t="str">
            <v/>
          </cell>
          <cell r="BO968" t="str">
            <v/>
          </cell>
        </row>
        <row r="969">
          <cell r="A969">
            <v>1</v>
          </cell>
          <cell r="B969">
            <v>4470132</v>
          </cell>
          <cell r="C969" t="str">
            <v>ENTRETIEN ET REPARATIONS</v>
          </cell>
          <cell r="D969" t="str">
            <v>MACHINE 13</v>
          </cell>
          <cell r="E969" t="str">
            <v>O</v>
          </cell>
          <cell r="F969">
            <v>0</v>
          </cell>
          <cell r="G969">
            <v>0</v>
          </cell>
          <cell r="H969">
            <v>12525.21</v>
          </cell>
          <cell r="I969">
            <v>15914.21</v>
          </cell>
          <cell r="J969">
            <v>3389</v>
          </cell>
          <cell r="K969">
            <v>0</v>
          </cell>
          <cell r="L969">
            <v>393.3</v>
          </cell>
          <cell r="M969">
            <v>152.76</v>
          </cell>
          <cell r="N969">
            <v>2172.6799999999998</v>
          </cell>
          <cell r="O969">
            <v>5807.52</v>
          </cell>
          <cell r="P969">
            <v>6481.18</v>
          </cell>
          <cell r="Q969">
            <v>7548.46</v>
          </cell>
          <cell r="R969">
            <v>7842.51</v>
          </cell>
          <cell r="S969">
            <v>8703.89</v>
          </cell>
          <cell r="T969">
            <v>8763.75</v>
          </cell>
          <cell r="U969">
            <v>8983.65</v>
          </cell>
          <cell r="V969">
            <v>11034.05</v>
          </cell>
          <cell r="W969">
            <v>12058.36</v>
          </cell>
          <cell r="X969">
            <v>12525.21</v>
          </cell>
          <cell r="Y969">
            <v>12765.75</v>
          </cell>
          <cell r="Z969">
            <v>46.64</v>
          </cell>
          <cell r="AA969">
            <v>1241.9000000000001</v>
          </cell>
          <cell r="AB969">
            <v>1241.9000000000001</v>
          </cell>
          <cell r="AC969">
            <v>1724.49</v>
          </cell>
          <cell r="AD969">
            <v>1740.97</v>
          </cell>
          <cell r="AE969">
            <v>1886.57</v>
          </cell>
          <cell r="AF969">
            <v>5775.69</v>
          </cell>
          <cell r="AG969">
            <v>6731.18</v>
          </cell>
          <cell r="AH969">
            <v>6736.08</v>
          </cell>
          <cell r="AI969">
            <v>8194.36</v>
          </cell>
          <cell r="AJ969">
            <v>15339.23</v>
          </cell>
          <cell r="AK969">
            <v>18290.78</v>
          </cell>
          <cell r="AL969">
            <v>0</v>
          </cell>
          <cell r="AM969">
            <v>2</v>
          </cell>
          <cell r="AN969" t="str">
            <v/>
          </cell>
          <cell r="AO969">
            <v>0</v>
          </cell>
          <cell r="AP969">
            <v>0</v>
          </cell>
          <cell r="AQ969">
            <v>0</v>
          </cell>
          <cell r="AR969">
            <v>720</v>
          </cell>
          <cell r="AS969">
            <v>0</v>
          </cell>
          <cell r="AT969" t="str">
            <v/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1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 t="str">
            <v/>
          </cell>
          <cell r="BK969">
            <v>7000</v>
          </cell>
          <cell r="BL969" t="str">
            <v>0</v>
          </cell>
          <cell r="BM969" t="str">
            <v>1</v>
          </cell>
          <cell r="BN969" t="str">
            <v/>
          </cell>
          <cell r="BO969" t="str">
            <v/>
          </cell>
        </row>
        <row r="970">
          <cell r="A970">
            <v>1</v>
          </cell>
          <cell r="B970">
            <v>4470142</v>
          </cell>
          <cell r="C970" t="str">
            <v>ENTRETIEN ET REPARATIONS</v>
          </cell>
          <cell r="D970" t="str">
            <v>MACHINE 14</v>
          </cell>
          <cell r="E970" t="str">
            <v>O</v>
          </cell>
          <cell r="F970">
            <v>0</v>
          </cell>
          <cell r="G970">
            <v>0</v>
          </cell>
          <cell r="H970">
            <v>107847.3</v>
          </cell>
          <cell r="I970">
            <v>130573.74</v>
          </cell>
          <cell r="J970">
            <v>22726.44</v>
          </cell>
          <cell r="K970">
            <v>0</v>
          </cell>
          <cell r="L970">
            <v>16178.51</v>
          </cell>
          <cell r="M970">
            <v>10107.879999999999</v>
          </cell>
          <cell r="N970">
            <v>6278.65</v>
          </cell>
          <cell r="O970">
            <v>11146.52</v>
          </cell>
          <cell r="P970">
            <v>23759.42</v>
          </cell>
          <cell r="Q970">
            <v>37667.49</v>
          </cell>
          <cell r="R970">
            <v>41899.54</v>
          </cell>
          <cell r="S970">
            <v>69406.350000000006</v>
          </cell>
          <cell r="T970">
            <v>72167.86</v>
          </cell>
          <cell r="U970">
            <v>82081.149999999994</v>
          </cell>
          <cell r="V970">
            <v>94594.44</v>
          </cell>
          <cell r="W970">
            <v>93738.81</v>
          </cell>
          <cell r="X970">
            <v>107847.3</v>
          </cell>
          <cell r="Y970">
            <v>113917.93</v>
          </cell>
          <cell r="Z970">
            <v>8118.82</v>
          </cell>
          <cell r="AA970">
            <v>12122.16</v>
          </cell>
          <cell r="AB970">
            <v>42079.15</v>
          </cell>
          <cell r="AC970">
            <v>45346.65</v>
          </cell>
          <cell r="AD970">
            <v>47550.46</v>
          </cell>
          <cell r="AE970">
            <v>56880.82</v>
          </cell>
          <cell r="AF970">
            <v>60434.65</v>
          </cell>
          <cell r="AG970">
            <v>76207.520000000004</v>
          </cell>
          <cell r="AH970">
            <v>86796.32</v>
          </cell>
          <cell r="AI970">
            <v>96762.35</v>
          </cell>
          <cell r="AJ970">
            <v>107356.24</v>
          </cell>
          <cell r="AK970">
            <v>111067.98</v>
          </cell>
          <cell r="AL970">
            <v>0</v>
          </cell>
          <cell r="AM970">
            <v>2</v>
          </cell>
          <cell r="AN970" t="str">
            <v/>
          </cell>
          <cell r="AO970">
            <v>0</v>
          </cell>
          <cell r="AP970">
            <v>0</v>
          </cell>
          <cell r="AQ970">
            <v>0</v>
          </cell>
          <cell r="AR970">
            <v>720</v>
          </cell>
          <cell r="AS970">
            <v>0</v>
          </cell>
          <cell r="AT970" t="str">
            <v/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1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 t="str">
            <v/>
          </cell>
          <cell r="BK970">
            <v>7000</v>
          </cell>
          <cell r="BL970" t="str">
            <v>0</v>
          </cell>
          <cell r="BM970" t="str">
            <v>1</v>
          </cell>
          <cell r="BN970" t="str">
            <v/>
          </cell>
          <cell r="BO970" t="str">
            <v/>
          </cell>
        </row>
        <row r="971">
          <cell r="A971">
            <v>1</v>
          </cell>
          <cell r="B971">
            <v>4470152</v>
          </cell>
          <cell r="C971" t="str">
            <v>ENTRETIEN ET REPARATIONS</v>
          </cell>
          <cell r="D971" t="str">
            <v>MACHINE 15</v>
          </cell>
          <cell r="E971" t="str">
            <v>O</v>
          </cell>
          <cell r="F971">
            <v>0</v>
          </cell>
          <cell r="G971">
            <v>0</v>
          </cell>
          <cell r="H971">
            <v>3605.95</v>
          </cell>
          <cell r="I971">
            <v>3917.46</v>
          </cell>
          <cell r="J971">
            <v>311.51</v>
          </cell>
          <cell r="K971">
            <v>0</v>
          </cell>
          <cell r="L971">
            <v>605</v>
          </cell>
          <cell r="M971">
            <v>605</v>
          </cell>
          <cell r="N971">
            <v>0</v>
          </cell>
          <cell r="O971">
            <v>0</v>
          </cell>
          <cell r="P971">
            <v>384.95</v>
          </cell>
          <cell r="Q971">
            <v>478.59</v>
          </cell>
          <cell r="R971">
            <v>585.29999999999995</v>
          </cell>
          <cell r="S971">
            <v>1010.93</v>
          </cell>
          <cell r="T971">
            <v>1010.93</v>
          </cell>
          <cell r="U971">
            <v>1757.37</v>
          </cell>
          <cell r="V971">
            <v>1945.37</v>
          </cell>
          <cell r="W971">
            <v>2142.35</v>
          </cell>
          <cell r="X971">
            <v>3605.95</v>
          </cell>
          <cell r="Y971">
            <v>3605.95</v>
          </cell>
          <cell r="Z971">
            <v>280.95999999999998</v>
          </cell>
          <cell r="AA971">
            <v>1546.92</v>
          </cell>
          <cell r="AB971">
            <v>2042.82</v>
          </cell>
          <cell r="AC971">
            <v>2153.98</v>
          </cell>
          <cell r="AD971">
            <v>2225.96</v>
          </cell>
          <cell r="AE971">
            <v>2225.96</v>
          </cell>
          <cell r="AF971">
            <v>2225.96</v>
          </cell>
          <cell r="AG971">
            <v>2272.56</v>
          </cell>
          <cell r="AH971">
            <v>2984.05</v>
          </cell>
          <cell r="AI971">
            <v>5971.27</v>
          </cell>
          <cell r="AJ971">
            <v>9321.14</v>
          </cell>
          <cell r="AK971">
            <v>12289.14</v>
          </cell>
          <cell r="AL971">
            <v>0</v>
          </cell>
          <cell r="AM971">
            <v>2</v>
          </cell>
          <cell r="AN971" t="str">
            <v/>
          </cell>
          <cell r="AO971">
            <v>0</v>
          </cell>
          <cell r="AP971">
            <v>0</v>
          </cell>
          <cell r="AQ971">
            <v>0</v>
          </cell>
          <cell r="AR971">
            <v>720</v>
          </cell>
          <cell r="AS971">
            <v>0</v>
          </cell>
          <cell r="AT971" t="str">
            <v/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1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 t="str">
            <v/>
          </cell>
          <cell r="BK971">
            <v>7000</v>
          </cell>
          <cell r="BL971" t="str">
            <v>0</v>
          </cell>
          <cell r="BM971" t="str">
            <v>1</v>
          </cell>
          <cell r="BN971" t="str">
            <v/>
          </cell>
          <cell r="BO971" t="str">
            <v/>
          </cell>
        </row>
        <row r="972">
          <cell r="A972">
            <v>1</v>
          </cell>
          <cell r="B972">
            <v>4470162</v>
          </cell>
          <cell r="C972" t="str">
            <v>ENTRETIEN ET REPARATIONS</v>
          </cell>
          <cell r="D972" t="str">
            <v>MACHINE 16</v>
          </cell>
          <cell r="E972" t="str">
            <v>O</v>
          </cell>
          <cell r="F972">
            <v>0</v>
          </cell>
          <cell r="G972">
            <v>0</v>
          </cell>
          <cell r="H972">
            <v>22673.46</v>
          </cell>
          <cell r="I972">
            <v>41225.71</v>
          </cell>
          <cell r="J972">
            <v>18552.25</v>
          </cell>
          <cell r="K972">
            <v>0</v>
          </cell>
          <cell r="L972">
            <v>9.2100000000000009</v>
          </cell>
          <cell r="M972">
            <v>0</v>
          </cell>
          <cell r="N972">
            <v>-236.42</v>
          </cell>
          <cell r="O972">
            <v>-739.63</v>
          </cell>
          <cell r="P972">
            <v>-739.63</v>
          </cell>
          <cell r="Q972">
            <v>-669.26</v>
          </cell>
          <cell r="R972">
            <v>-302.42</v>
          </cell>
          <cell r="S972">
            <v>799.14</v>
          </cell>
          <cell r="T972">
            <v>1089.3900000000001</v>
          </cell>
          <cell r="U972">
            <v>1089.3900000000001</v>
          </cell>
          <cell r="V972">
            <v>2051.1</v>
          </cell>
          <cell r="W972">
            <v>18277.54</v>
          </cell>
          <cell r="X972">
            <v>22673.46</v>
          </cell>
          <cell r="Y972">
            <v>22682.67</v>
          </cell>
          <cell r="Z972">
            <v>572.71</v>
          </cell>
          <cell r="AA972">
            <v>606.1</v>
          </cell>
          <cell r="AB972">
            <v>642.86</v>
          </cell>
          <cell r="AC972">
            <v>1625.94</v>
          </cell>
          <cell r="AD972">
            <v>2558.21</v>
          </cell>
          <cell r="AE972">
            <v>3285.02</v>
          </cell>
          <cell r="AF972">
            <v>4113.09</v>
          </cell>
          <cell r="AG972">
            <v>5549.99</v>
          </cell>
          <cell r="AH972">
            <v>6821.29</v>
          </cell>
          <cell r="AI972">
            <v>10283.969999999999</v>
          </cell>
          <cell r="AJ972">
            <v>16833.05</v>
          </cell>
          <cell r="AK972">
            <v>18382.349999999999</v>
          </cell>
          <cell r="AL972">
            <v>0</v>
          </cell>
          <cell r="AM972">
            <v>2</v>
          </cell>
          <cell r="AN972" t="str">
            <v/>
          </cell>
          <cell r="AO972">
            <v>0</v>
          </cell>
          <cell r="AP972">
            <v>0</v>
          </cell>
          <cell r="AQ972">
            <v>0</v>
          </cell>
          <cell r="AR972">
            <v>720</v>
          </cell>
          <cell r="AS972">
            <v>0</v>
          </cell>
          <cell r="AT972" t="str">
            <v/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1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 t="str">
            <v/>
          </cell>
          <cell r="BK972">
            <v>7000</v>
          </cell>
          <cell r="BL972" t="str">
            <v>0</v>
          </cell>
          <cell r="BM972" t="str">
            <v>1</v>
          </cell>
          <cell r="BN972" t="str">
            <v/>
          </cell>
          <cell r="BO972" t="str">
            <v/>
          </cell>
        </row>
        <row r="973">
          <cell r="A973">
            <v>1</v>
          </cell>
          <cell r="B973">
            <v>4470172</v>
          </cell>
          <cell r="C973" t="str">
            <v>ENTRETIEN ET REPARATIONS</v>
          </cell>
          <cell r="D973" t="str">
            <v>MACHINE 17</v>
          </cell>
          <cell r="E973" t="str">
            <v>O</v>
          </cell>
          <cell r="F973">
            <v>0</v>
          </cell>
          <cell r="G973">
            <v>0</v>
          </cell>
          <cell r="H973">
            <v>4401.3100000000004</v>
          </cell>
          <cell r="I973">
            <v>4616.0600000000004</v>
          </cell>
          <cell r="J973">
            <v>214.75</v>
          </cell>
          <cell r="K973">
            <v>0</v>
          </cell>
          <cell r="L973">
            <v>6565.76</v>
          </cell>
          <cell r="M973">
            <v>2101.91</v>
          </cell>
          <cell r="N973">
            <v>962.99</v>
          </cell>
          <cell r="O973">
            <v>1215.2</v>
          </cell>
          <cell r="P973">
            <v>1226.74</v>
          </cell>
          <cell r="Q973">
            <v>1226.74</v>
          </cell>
          <cell r="R973">
            <v>2029.49</v>
          </cell>
          <cell r="S973">
            <v>2543</v>
          </cell>
          <cell r="T973">
            <v>2644.92</v>
          </cell>
          <cell r="U973">
            <v>3725.33</v>
          </cell>
          <cell r="V973">
            <v>3950.33</v>
          </cell>
          <cell r="W973">
            <v>3950.33</v>
          </cell>
          <cell r="X973">
            <v>4401.3100000000004</v>
          </cell>
          <cell r="Y973">
            <v>8865.16</v>
          </cell>
          <cell r="Z973">
            <v>1925</v>
          </cell>
          <cell r="AA973">
            <v>1925</v>
          </cell>
          <cell r="AB973">
            <v>1937.74</v>
          </cell>
          <cell r="AC973">
            <v>2296.9899999999998</v>
          </cell>
          <cell r="AD973">
            <v>5663.88</v>
          </cell>
          <cell r="AE973">
            <v>5316.77</v>
          </cell>
          <cell r="AF973">
            <v>5316.77</v>
          </cell>
          <cell r="AG973">
            <v>5452.97</v>
          </cell>
          <cell r="AH973">
            <v>5683.07</v>
          </cell>
          <cell r="AI973">
            <v>6842.07</v>
          </cell>
          <cell r="AJ973">
            <v>8882.35</v>
          </cell>
          <cell r="AK973">
            <v>10365.35</v>
          </cell>
          <cell r="AL973">
            <v>0</v>
          </cell>
          <cell r="AM973">
            <v>2</v>
          </cell>
          <cell r="AN973" t="str">
            <v/>
          </cell>
          <cell r="AO973">
            <v>0</v>
          </cell>
          <cell r="AP973">
            <v>0</v>
          </cell>
          <cell r="AQ973">
            <v>0</v>
          </cell>
          <cell r="AR973">
            <v>720</v>
          </cell>
          <cell r="AS973">
            <v>0</v>
          </cell>
          <cell r="AT973" t="str">
            <v/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1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 t="str">
            <v/>
          </cell>
          <cell r="BK973">
            <v>7000</v>
          </cell>
          <cell r="BL973" t="str">
            <v>0</v>
          </cell>
          <cell r="BM973" t="str">
            <v>1</v>
          </cell>
          <cell r="BN973" t="str">
            <v/>
          </cell>
          <cell r="BO973" t="str">
            <v/>
          </cell>
        </row>
        <row r="974">
          <cell r="A974">
            <v>1</v>
          </cell>
          <cell r="B974">
            <v>4470182</v>
          </cell>
          <cell r="C974" t="str">
            <v>ENTRETIEN ET REPARATIONS</v>
          </cell>
          <cell r="D974" t="str">
            <v>MACHINE 18</v>
          </cell>
          <cell r="E974" t="str">
            <v>O</v>
          </cell>
          <cell r="F974">
            <v>0</v>
          </cell>
          <cell r="G974">
            <v>0</v>
          </cell>
          <cell r="H974">
            <v>627.51</v>
          </cell>
          <cell r="I974">
            <v>627.51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588.70000000000005</v>
          </cell>
          <cell r="O974">
            <v>607.04999999999995</v>
          </cell>
          <cell r="P974">
            <v>607.04999999999995</v>
          </cell>
          <cell r="Q974">
            <v>607.04999999999995</v>
          </cell>
          <cell r="R974">
            <v>607.04999999999995</v>
          </cell>
          <cell r="S974">
            <v>607.04999999999995</v>
          </cell>
          <cell r="T974">
            <v>607.04999999999995</v>
          </cell>
          <cell r="U974">
            <v>607.04999999999995</v>
          </cell>
          <cell r="V974">
            <v>607.04999999999995</v>
          </cell>
          <cell r="W974">
            <v>607.04999999999995</v>
          </cell>
          <cell r="X974">
            <v>627.51</v>
          </cell>
          <cell r="Y974">
            <v>627.51</v>
          </cell>
          <cell r="Z974">
            <v>0</v>
          </cell>
          <cell r="AA974">
            <v>184.84</v>
          </cell>
          <cell r="AB974">
            <v>2881.68</v>
          </cell>
          <cell r="AC974">
            <v>4316.8</v>
          </cell>
          <cell r="AD974">
            <v>6815.65</v>
          </cell>
          <cell r="AE974">
            <v>9029.65</v>
          </cell>
          <cell r="AF974">
            <v>10409.86</v>
          </cell>
          <cell r="AG974">
            <v>11672.67</v>
          </cell>
          <cell r="AH974">
            <v>12253.37</v>
          </cell>
          <cell r="AI974">
            <v>12253.37</v>
          </cell>
          <cell r="AJ974">
            <v>12253.37</v>
          </cell>
          <cell r="AK974">
            <v>12247.84</v>
          </cell>
          <cell r="AL974">
            <v>0</v>
          </cell>
          <cell r="AM974">
            <v>2</v>
          </cell>
          <cell r="AN974" t="str">
            <v/>
          </cell>
          <cell r="AO974">
            <v>0</v>
          </cell>
          <cell r="AP974">
            <v>0</v>
          </cell>
          <cell r="AQ974">
            <v>0</v>
          </cell>
          <cell r="AR974">
            <v>720</v>
          </cell>
          <cell r="AS974">
            <v>0</v>
          </cell>
          <cell r="AT974" t="str">
            <v/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1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 t="str">
            <v/>
          </cell>
          <cell r="BK974">
            <v>7000</v>
          </cell>
          <cell r="BL974" t="str">
            <v>0</v>
          </cell>
          <cell r="BM974" t="str">
            <v>1</v>
          </cell>
          <cell r="BN974" t="str">
            <v/>
          </cell>
          <cell r="BO974" t="str">
            <v/>
          </cell>
        </row>
        <row r="975">
          <cell r="A975">
            <v>1</v>
          </cell>
          <cell r="B975">
            <v>4470222</v>
          </cell>
          <cell r="C975" t="str">
            <v>ENTRETIEN ET REPARATIONS</v>
          </cell>
          <cell r="D975" t="str">
            <v>MACHINE 22</v>
          </cell>
          <cell r="E975" t="str">
            <v>O</v>
          </cell>
          <cell r="F975">
            <v>0</v>
          </cell>
          <cell r="G975">
            <v>0</v>
          </cell>
          <cell r="H975">
            <v>30818.19</v>
          </cell>
          <cell r="I975">
            <v>33468.959999999999</v>
          </cell>
          <cell r="J975">
            <v>2650.77</v>
          </cell>
          <cell r="K975">
            <v>0</v>
          </cell>
          <cell r="L975">
            <v>10045.459999999999</v>
          </cell>
          <cell r="M975">
            <v>8133.55</v>
          </cell>
          <cell r="N975">
            <v>2634.98</v>
          </cell>
          <cell r="O975">
            <v>4645.32</v>
          </cell>
          <cell r="P975">
            <v>12120.37</v>
          </cell>
          <cell r="Q975">
            <v>12214.23</v>
          </cell>
          <cell r="R975">
            <v>12275.49</v>
          </cell>
          <cell r="S975">
            <v>12620.66</v>
          </cell>
          <cell r="T975">
            <v>17347.72</v>
          </cell>
          <cell r="U975">
            <v>18290.400000000001</v>
          </cell>
          <cell r="V975">
            <v>18876.86</v>
          </cell>
          <cell r="W975">
            <v>21828.73</v>
          </cell>
          <cell r="X975">
            <v>30818.19</v>
          </cell>
          <cell r="Y975">
            <v>32730.1</v>
          </cell>
          <cell r="Z975">
            <v>0</v>
          </cell>
          <cell r="AA975">
            <v>7300.19</v>
          </cell>
          <cell r="AB975">
            <v>7414.31</v>
          </cell>
          <cell r="AC975">
            <v>7414.31</v>
          </cell>
          <cell r="AD975">
            <v>10308.790000000001</v>
          </cell>
          <cell r="AE975">
            <v>10460.06</v>
          </cell>
          <cell r="AF975">
            <v>10460.06</v>
          </cell>
          <cell r="AG975">
            <v>10842.78</v>
          </cell>
          <cell r="AH975">
            <v>13890.89</v>
          </cell>
          <cell r="AI975">
            <v>23459.5</v>
          </cell>
          <cell r="AJ975">
            <v>24679.27</v>
          </cell>
          <cell r="AK975">
            <v>26358.94</v>
          </cell>
          <cell r="AL975">
            <v>0</v>
          </cell>
          <cell r="AM975">
            <v>2</v>
          </cell>
          <cell r="AN975" t="str">
            <v/>
          </cell>
          <cell r="AO975">
            <v>0</v>
          </cell>
          <cell r="AP975">
            <v>0</v>
          </cell>
          <cell r="AQ975">
            <v>0</v>
          </cell>
          <cell r="AR975">
            <v>720</v>
          </cell>
          <cell r="AS975">
            <v>0</v>
          </cell>
          <cell r="AT975" t="str">
            <v/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1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 t="str">
            <v/>
          </cell>
          <cell r="BK975">
            <v>7000</v>
          </cell>
          <cell r="BL975" t="str">
            <v>0</v>
          </cell>
          <cell r="BM975" t="str">
            <v>1</v>
          </cell>
          <cell r="BN975" t="str">
            <v/>
          </cell>
          <cell r="BO975" t="str">
            <v/>
          </cell>
        </row>
        <row r="976">
          <cell r="A976">
            <v>1</v>
          </cell>
          <cell r="B976">
            <v>4552611</v>
          </cell>
          <cell r="C976" t="str">
            <v>MATERIEL ROULANT</v>
          </cell>
          <cell r="D976" t="str">
            <v>CAMION 3 TONNES</v>
          </cell>
          <cell r="E976" t="str">
            <v>O</v>
          </cell>
          <cell r="F976">
            <v>0</v>
          </cell>
          <cell r="G976">
            <v>0</v>
          </cell>
          <cell r="H976">
            <v>114.79</v>
          </cell>
          <cell r="I976">
            <v>204.58</v>
          </cell>
          <cell r="J976">
            <v>89.79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89.79</v>
          </cell>
          <cell r="T976">
            <v>89.79</v>
          </cell>
          <cell r="U976">
            <v>89.79</v>
          </cell>
          <cell r="V976">
            <v>89.79</v>
          </cell>
          <cell r="W976">
            <v>114.79</v>
          </cell>
          <cell r="X976">
            <v>114.79</v>
          </cell>
          <cell r="Y976">
            <v>114.79</v>
          </cell>
          <cell r="Z976">
            <v>0.89</v>
          </cell>
          <cell r="AA976">
            <v>0.89</v>
          </cell>
          <cell r="AB976">
            <v>0.89</v>
          </cell>
          <cell r="AC976">
            <v>0.89</v>
          </cell>
          <cell r="AD976">
            <v>0.89</v>
          </cell>
          <cell r="AE976">
            <v>0.89</v>
          </cell>
          <cell r="AF976">
            <v>0.89</v>
          </cell>
          <cell r="AG976">
            <v>0.89</v>
          </cell>
          <cell r="AH976">
            <v>0.89</v>
          </cell>
          <cell r="AI976">
            <v>1796.49</v>
          </cell>
          <cell r="AJ976">
            <v>1886.26</v>
          </cell>
          <cell r="AK976">
            <v>1886.26</v>
          </cell>
          <cell r="AL976">
            <v>0</v>
          </cell>
          <cell r="AM976">
            <v>1</v>
          </cell>
          <cell r="AN976" t="str">
            <v/>
          </cell>
          <cell r="AO976">
            <v>0</v>
          </cell>
          <cell r="AP976">
            <v>0</v>
          </cell>
          <cell r="AQ976">
            <v>0</v>
          </cell>
          <cell r="AR976">
            <v>750</v>
          </cell>
          <cell r="AS976">
            <v>0</v>
          </cell>
          <cell r="AT976" t="str">
            <v/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 t="str">
            <v/>
          </cell>
          <cell r="BK976">
            <v>7000</v>
          </cell>
          <cell r="BL976" t="str">
            <v>0</v>
          </cell>
          <cell r="BM976" t="str">
            <v>1</v>
          </cell>
          <cell r="BN976" t="str">
            <v/>
          </cell>
          <cell r="BO976" t="str">
            <v/>
          </cell>
        </row>
        <row r="977">
          <cell r="A977">
            <v>1</v>
          </cell>
          <cell r="B977">
            <v>4552621</v>
          </cell>
          <cell r="C977" t="str">
            <v>MATERIEL ROULANT</v>
          </cell>
          <cell r="D977" t="str">
            <v>PICK UP FORD RANGER</v>
          </cell>
          <cell r="E977" t="str">
            <v>O</v>
          </cell>
          <cell r="F977">
            <v>0</v>
          </cell>
          <cell r="G977">
            <v>0</v>
          </cell>
          <cell r="H977">
            <v>263.89</v>
          </cell>
          <cell r="I977">
            <v>310</v>
          </cell>
          <cell r="J977">
            <v>46.11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-46.11</v>
          </cell>
          <cell r="X977">
            <v>263.89</v>
          </cell>
          <cell r="Y977">
            <v>263.89</v>
          </cell>
          <cell r="Z977">
            <v>294.41000000000003</v>
          </cell>
          <cell r="AA977">
            <v>294.41000000000003</v>
          </cell>
          <cell r="AB977">
            <v>294.41000000000003</v>
          </cell>
          <cell r="AC977">
            <v>294.41000000000003</v>
          </cell>
          <cell r="AD977">
            <v>294.41000000000003</v>
          </cell>
          <cell r="AE977">
            <v>436.37</v>
          </cell>
          <cell r="AF977">
            <v>436.37</v>
          </cell>
          <cell r="AG977">
            <v>436.37</v>
          </cell>
          <cell r="AH977">
            <v>436.37</v>
          </cell>
          <cell r="AI977">
            <v>436.37</v>
          </cell>
          <cell r="AJ977">
            <v>436.37</v>
          </cell>
          <cell r="AK977">
            <v>436.37</v>
          </cell>
          <cell r="AL977">
            <v>0</v>
          </cell>
          <cell r="AM977">
            <v>1</v>
          </cell>
          <cell r="AN977" t="str">
            <v/>
          </cell>
          <cell r="AO977">
            <v>0</v>
          </cell>
          <cell r="AP977">
            <v>0</v>
          </cell>
          <cell r="AQ977">
            <v>0</v>
          </cell>
          <cell r="AR977">
            <v>750</v>
          </cell>
          <cell r="AS977">
            <v>0</v>
          </cell>
          <cell r="AT977" t="str">
            <v/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 t="str">
            <v/>
          </cell>
          <cell r="BK977">
            <v>7000</v>
          </cell>
          <cell r="BL977" t="str">
            <v>0</v>
          </cell>
          <cell r="BM977" t="str">
            <v>1</v>
          </cell>
          <cell r="BN977" t="str">
            <v/>
          </cell>
          <cell r="BO977" t="str">
            <v/>
          </cell>
        </row>
        <row r="978">
          <cell r="A978">
            <v>1</v>
          </cell>
          <cell r="B978">
            <v>4552601</v>
          </cell>
          <cell r="C978" t="str">
            <v>MATERIEL ROULANT</v>
          </cell>
          <cell r="D978" t="str">
            <v>BOB CAT 260-ENT. CHARIOTS</v>
          </cell>
          <cell r="E978" t="str">
            <v>O</v>
          </cell>
          <cell r="F978">
            <v>0</v>
          </cell>
          <cell r="G978">
            <v>0</v>
          </cell>
          <cell r="H978">
            <v>5059.68</v>
          </cell>
          <cell r="I978">
            <v>5301.03</v>
          </cell>
          <cell r="J978">
            <v>241.35</v>
          </cell>
          <cell r="K978">
            <v>0</v>
          </cell>
          <cell r="L978">
            <v>216.42</v>
          </cell>
          <cell r="M978">
            <v>238.06</v>
          </cell>
          <cell r="N978">
            <v>0</v>
          </cell>
          <cell r="O978">
            <v>257.35000000000002</v>
          </cell>
          <cell r="P978">
            <v>309.38</v>
          </cell>
          <cell r="Q978">
            <v>657.44</v>
          </cell>
          <cell r="R978">
            <v>852.84</v>
          </cell>
          <cell r="S978">
            <v>1224.08</v>
          </cell>
          <cell r="T978">
            <v>3559.31</v>
          </cell>
          <cell r="U978">
            <v>4624.74</v>
          </cell>
          <cell r="V978">
            <v>4821.62</v>
          </cell>
          <cell r="W978">
            <v>4821.62</v>
          </cell>
          <cell r="X978">
            <v>5059.68</v>
          </cell>
          <cell r="Y978">
            <v>5038.04</v>
          </cell>
          <cell r="Z978">
            <v>0</v>
          </cell>
          <cell r="AA978">
            <v>0</v>
          </cell>
          <cell r="AB978">
            <v>156.65</v>
          </cell>
          <cell r="AC978">
            <v>1029.98</v>
          </cell>
          <cell r="AD978">
            <v>1596.63</v>
          </cell>
          <cell r="AE978">
            <v>1647.81</v>
          </cell>
          <cell r="AF978">
            <v>11875.51</v>
          </cell>
          <cell r="AG978">
            <v>4659.84</v>
          </cell>
          <cell r="AH978">
            <v>4757.63</v>
          </cell>
          <cell r="AI978">
            <v>5197.16</v>
          </cell>
          <cell r="AJ978">
            <v>5386.58</v>
          </cell>
          <cell r="AK978">
            <v>5386.58</v>
          </cell>
          <cell r="AL978">
            <v>0</v>
          </cell>
          <cell r="AM978">
            <v>1</v>
          </cell>
          <cell r="AN978" t="str">
            <v/>
          </cell>
          <cell r="AO978">
            <v>0</v>
          </cell>
          <cell r="AP978">
            <v>0</v>
          </cell>
          <cell r="AQ978">
            <v>0</v>
          </cell>
          <cell r="AR978">
            <v>750</v>
          </cell>
          <cell r="AS978">
            <v>0</v>
          </cell>
          <cell r="AT978" t="str">
            <v/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 t="str">
            <v/>
          </cell>
          <cell r="BK978">
            <v>7000</v>
          </cell>
          <cell r="BL978" t="str">
            <v>0</v>
          </cell>
          <cell r="BM978" t="str">
            <v>1</v>
          </cell>
          <cell r="BN978" t="str">
            <v/>
          </cell>
          <cell r="BO978" t="str">
            <v/>
          </cell>
        </row>
        <row r="979">
          <cell r="A979">
            <v>1</v>
          </cell>
          <cell r="B979">
            <v>4552501</v>
          </cell>
          <cell r="C979" t="str">
            <v>MATERIEL ROULANT</v>
          </cell>
          <cell r="D979" t="str">
            <v>FORD 450-ENTRETIEN CHARIO</v>
          </cell>
          <cell r="E979" t="str">
            <v>O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1</v>
          </cell>
          <cell r="AN979" t="str">
            <v/>
          </cell>
          <cell r="AO979">
            <v>0</v>
          </cell>
          <cell r="AP979">
            <v>0</v>
          </cell>
          <cell r="AQ979">
            <v>0</v>
          </cell>
          <cell r="AR979">
            <v>750</v>
          </cell>
          <cell r="AS979">
            <v>0</v>
          </cell>
          <cell r="AT979" t="str">
            <v/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 t="str">
            <v/>
          </cell>
          <cell r="BK979">
            <v>7000</v>
          </cell>
          <cell r="BL979" t="str">
            <v>0</v>
          </cell>
          <cell r="BM979" t="str">
            <v>1</v>
          </cell>
          <cell r="BN979" t="str">
            <v/>
          </cell>
          <cell r="BO979" t="str">
            <v/>
          </cell>
        </row>
        <row r="980">
          <cell r="A980">
            <v>1</v>
          </cell>
          <cell r="B980">
            <v>4552661</v>
          </cell>
          <cell r="C980" t="str">
            <v>MATERIEL ROULANT</v>
          </cell>
          <cell r="D980" t="str">
            <v>ENTRETIEN CHARIOT-LIFT266</v>
          </cell>
          <cell r="E980" t="str">
            <v>O</v>
          </cell>
          <cell r="F980">
            <v>0</v>
          </cell>
          <cell r="G980">
            <v>0</v>
          </cell>
          <cell r="H980">
            <v>18895.509999999998</v>
          </cell>
          <cell r="I980">
            <v>23930.54</v>
          </cell>
          <cell r="J980">
            <v>5035.03</v>
          </cell>
          <cell r="K980">
            <v>0</v>
          </cell>
          <cell r="L980">
            <v>455.4</v>
          </cell>
          <cell r="M980">
            <v>195.13</v>
          </cell>
          <cell r="N980">
            <v>3409.06</v>
          </cell>
          <cell r="O980">
            <v>4636.21</v>
          </cell>
          <cell r="P980">
            <v>5381.78</v>
          </cell>
          <cell r="Q980">
            <v>5541.13</v>
          </cell>
          <cell r="R980">
            <v>6031.13</v>
          </cell>
          <cell r="S980">
            <v>6189.14</v>
          </cell>
          <cell r="T980">
            <v>6279.29</v>
          </cell>
          <cell r="U980">
            <v>10973.46</v>
          </cell>
          <cell r="V980">
            <v>13156.1</v>
          </cell>
          <cell r="W980">
            <v>18635.3</v>
          </cell>
          <cell r="X980">
            <v>18895.509999999998</v>
          </cell>
          <cell r="Y980">
            <v>19155.78</v>
          </cell>
          <cell r="Z980">
            <v>258.45999999999998</v>
          </cell>
          <cell r="AA980">
            <v>1940.58</v>
          </cell>
          <cell r="AB980">
            <v>2602.73</v>
          </cell>
          <cell r="AC980">
            <v>2748.84</v>
          </cell>
          <cell r="AD980">
            <v>3487.93</v>
          </cell>
          <cell r="AE980">
            <v>3539.35</v>
          </cell>
          <cell r="AF980">
            <v>4439.87</v>
          </cell>
          <cell r="AG980">
            <v>4485.3599999999997</v>
          </cell>
          <cell r="AH980">
            <v>5006.7700000000004</v>
          </cell>
          <cell r="AI980">
            <v>7556.82</v>
          </cell>
          <cell r="AJ980">
            <v>7754.73</v>
          </cell>
          <cell r="AK980">
            <v>10988.9</v>
          </cell>
          <cell r="AL980">
            <v>0</v>
          </cell>
          <cell r="AM980">
            <v>1</v>
          </cell>
          <cell r="AN980" t="str">
            <v/>
          </cell>
          <cell r="AO980">
            <v>0</v>
          </cell>
          <cell r="AP980">
            <v>0</v>
          </cell>
          <cell r="AQ980">
            <v>0</v>
          </cell>
          <cell r="AR980">
            <v>750</v>
          </cell>
          <cell r="AS980">
            <v>0</v>
          </cell>
          <cell r="AT980" t="str">
            <v/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 t="str">
            <v/>
          </cell>
          <cell r="BK980">
            <v>7000</v>
          </cell>
          <cell r="BL980" t="str">
            <v>0</v>
          </cell>
          <cell r="BM980" t="str">
            <v>1</v>
          </cell>
          <cell r="BN980" t="str">
            <v/>
          </cell>
          <cell r="BO980" t="str">
            <v/>
          </cell>
        </row>
        <row r="981">
          <cell r="A981">
            <v>1</v>
          </cell>
          <cell r="B981">
            <v>4552671</v>
          </cell>
          <cell r="C981" t="str">
            <v>MATERIEL ROULANT</v>
          </cell>
          <cell r="D981" t="str">
            <v>ENTRETIEN CHARIOT-LIFT267</v>
          </cell>
          <cell r="E981" t="str">
            <v>O</v>
          </cell>
          <cell r="F981">
            <v>0</v>
          </cell>
          <cell r="G981">
            <v>0</v>
          </cell>
          <cell r="H981">
            <v>4194.49</v>
          </cell>
          <cell r="I981">
            <v>4766.09</v>
          </cell>
          <cell r="J981">
            <v>571.6</v>
          </cell>
          <cell r="K981">
            <v>0</v>
          </cell>
          <cell r="L981">
            <v>389.79</v>
          </cell>
          <cell r="M981">
            <v>59.32</v>
          </cell>
          <cell r="N981">
            <v>173.93</v>
          </cell>
          <cell r="O981">
            <v>985.07</v>
          </cell>
          <cell r="P981">
            <v>1141.7</v>
          </cell>
          <cell r="Q981">
            <v>1168.7</v>
          </cell>
          <cell r="R981">
            <v>2073.8200000000002</v>
          </cell>
          <cell r="S981">
            <v>3330.69</v>
          </cell>
          <cell r="T981">
            <v>3768.26</v>
          </cell>
          <cell r="U981">
            <v>3768.26</v>
          </cell>
          <cell r="V981">
            <v>4144.62</v>
          </cell>
          <cell r="W981">
            <v>4219.6099999999997</v>
          </cell>
          <cell r="X981">
            <v>4194.49</v>
          </cell>
          <cell r="Y981">
            <v>4524.96</v>
          </cell>
          <cell r="Z981">
            <v>2317.09</v>
          </cell>
          <cell r="AA981">
            <v>2465.04</v>
          </cell>
          <cell r="AB981">
            <v>2473.52</v>
          </cell>
          <cell r="AC981">
            <v>2548.83</v>
          </cell>
          <cell r="AD981">
            <v>2557.87</v>
          </cell>
          <cell r="AE981">
            <v>2672.66</v>
          </cell>
          <cell r="AF981">
            <v>3403.28</v>
          </cell>
          <cell r="AG981">
            <v>3397.32</v>
          </cell>
          <cell r="AH981">
            <v>3833.38</v>
          </cell>
          <cell r="AI981">
            <v>4363.7</v>
          </cell>
          <cell r="AJ981">
            <v>6479</v>
          </cell>
          <cell r="AK981">
            <v>8549.48</v>
          </cell>
          <cell r="AL981">
            <v>0</v>
          </cell>
          <cell r="AM981">
            <v>1</v>
          </cell>
          <cell r="AN981" t="str">
            <v/>
          </cell>
          <cell r="AO981">
            <v>0</v>
          </cell>
          <cell r="AP981">
            <v>0</v>
          </cell>
          <cell r="AQ981">
            <v>0</v>
          </cell>
          <cell r="AR981">
            <v>750</v>
          </cell>
          <cell r="AS981">
            <v>0</v>
          </cell>
          <cell r="AT981" t="str">
            <v/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 t="str">
            <v/>
          </cell>
          <cell r="BK981">
            <v>7000</v>
          </cell>
          <cell r="BL981" t="str">
            <v>0</v>
          </cell>
          <cell r="BM981" t="str">
            <v>1</v>
          </cell>
          <cell r="BN981" t="str">
            <v/>
          </cell>
          <cell r="BO981" t="str">
            <v/>
          </cell>
        </row>
        <row r="982">
          <cell r="A982">
            <v>1</v>
          </cell>
          <cell r="B982">
            <v>4552681</v>
          </cell>
          <cell r="C982" t="str">
            <v>MATERIEL ROULANT</v>
          </cell>
          <cell r="D982" t="str">
            <v>ENTRETIEN CHARIOT-LIFT268</v>
          </cell>
          <cell r="E982" t="str">
            <v>O</v>
          </cell>
          <cell r="F982">
            <v>0</v>
          </cell>
          <cell r="G982">
            <v>0</v>
          </cell>
          <cell r="H982">
            <v>11980.62</v>
          </cell>
          <cell r="I982">
            <v>13243.32</v>
          </cell>
          <cell r="J982">
            <v>1262.7</v>
          </cell>
          <cell r="K982">
            <v>0</v>
          </cell>
          <cell r="L982">
            <v>611.65</v>
          </cell>
          <cell r="M982">
            <v>94.86</v>
          </cell>
          <cell r="N982">
            <v>1696.14</v>
          </cell>
          <cell r="O982">
            <v>3250.96</v>
          </cell>
          <cell r="P982">
            <v>3631.51</v>
          </cell>
          <cell r="Q982">
            <v>3657.22</v>
          </cell>
          <cell r="R982">
            <v>4476.01</v>
          </cell>
          <cell r="S982">
            <v>4873.32</v>
          </cell>
          <cell r="T982">
            <v>5765.31</v>
          </cell>
          <cell r="U982">
            <v>6212.49</v>
          </cell>
          <cell r="V982">
            <v>6679.76</v>
          </cell>
          <cell r="W982">
            <v>7363.45</v>
          </cell>
          <cell r="X982">
            <v>11980.62</v>
          </cell>
          <cell r="Y982">
            <v>12497.41</v>
          </cell>
          <cell r="Z982">
            <v>106.03</v>
          </cell>
          <cell r="AA982">
            <v>901.44</v>
          </cell>
          <cell r="AB982">
            <v>960.18</v>
          </cell>
          <cell r="AC982">
            <v>878.03</v>
          </cell>
          <cell r="AD982">
            <v>1610.45</v>
          </cell>
          <cell r="AE982">
            <v>2234.11</v>
          </cell>
          <cell r="AF982">
            <v>4016.99</v>
          </cell>
          <cell r="AG982">
            <v>4099.07</v>
          </cell>
          <cell r="AH982">
            <v>4191.34</v>
          </cell>
          <cell r="AI982">
            <v>4414.8</v>
          </cell>
          <cell r="AJ982">
            <v>4866.95</v>
          </cell>
          <cell r="AK982">
            <v>5649.52</v>
          </cell>
          <cell r="AL982">
            <v>0</v>
          </cell>
          <cell r="AM982">
            <v>1</v>
          </cell>
          <cell r="AN982" t="str">
            <v/>
          </cell>
          <cell r="AO982">
            <v>0</v>
          </cell>
          <cell r="AP982">
            <v>0</v>
          </cell>
          <cell r="AQ982">
            <v>0</v>
          </cell>
          <cell r="AR982">
            <v>750</v>
          </cell>
          <cell r="AS982">
            <v>0</v>
          </cell>
          <cell r="AT982" t="str">
            <v/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 t="str">
            <v/>
          </cell>
          <cell r="BK982">
            <v>7000</v>
          </cell>
          <cell r="BL982" t="str">
            <v>0</v>
          </cell>
          <cell r="BM982" t="str">
            <v>1</v>
          </cell>
          <cell r="BN982" t="str">
            <v/>
          </cell>
          <cell r="BO982" t="str">
            <v/>
          </cell>
        </row>
        <row r="983">
          <cell r="A983">
            <v>1</v>
          </cell>
          <cell r="B983">
            <v>4552691</v>
          </cell>
          <cell r="C983" t="str">
            <v>MATERIEL ROULANT</v>
          </cell>
          <cell r="D983" t="str">
            <v>ENTRETIEN NOUVEAU LIFT269</v>
          </cell>
          <cell r="E983" t="str">
            <v>O</v>
          </cell>
          <cell r="F983">
            <v>0</v>
          </cell>
          <cell r="G983">
            <v>0</v>
          </cell>
          <cell r="H983">
            <v>5827.45</v>
          </cell>
          <cell r="I983">
            <v>8163.35</v>
          </cell>
          <cell r="J983">
            <v>2335.9</v>
          </cell>
          <cell r="K983">
            <v>0</v>
          </cell>
          <cell r="L983">
            <v>2970.15</v>
          </cell>
          <cell r="M983">
            <v>1363.2</v>
          </cell>
          <cell r="N983">
            <v>95.54</v>
          </cell>
          <cell r="O983">
            <v>169.47</v>
          </cell>
          <cell r="P983">
            <v>169.47</v>
          </cell>
          <cell r="Q983">
            <v>899.17</v>
          </cell>
          <cell r="R983">
            <v>899.17</v>
          </cell>
          <cell r="S983">
            <v>1255.5899999999999</v>
          </cell>
          <cell r="T983">
            <v>971.67</v>
          </cell>
          <cell r="U983">
            <v>4100.18</v>
          </cell>
          <cell r="V983">
            <v>4579.05</v>
          </cell>
          <cell r="W983">
            <v>5464.69</v>
          </cell>
          <cell r="X983">
            <v>5827.45</v>
          </cell>
          <cell r="Y983">
            <v>7434.4</v>
          </cell>
          <cell r="Z983">
            <v>212.07</v>
          </cell>
          <cell r="AA983">
            <v>224.92</v>
          </cell>
          <cell r="AB983">
            <v>224.92</v>
          </cell>
          <cell r="AC983">
            <v>977.74</v>
          </cell>
          <cell r="AD983">
            <v>1191.1099999999999</v>
          </cell>
          <cell r="AE983">
            <v>1439.61</v>
          </cell>
          <cell r="AF983">
            <v>1439.61</v>
          </cell>
          <cell r="AG983">
            <v>1500.74</v>
          </cell>
          <cell r="AH983">
            <v>1537.47</v>
          </cell>
          <cell r="AI983">
            <v>1561.04</v>
          </cell>
          <cell r="AJ983">
            <v>2713.23</v>
          </cell>
          <cell r="AK983">
            <v>3320.33</v>
          </cell>
          <cell r="AL983">
            <v>0</v>
          </cell>
          <cell r="AM983">
            <v>1</v>
          </cell>
          <cell r="AN983" t="str">
            <v/>
          </cell>
          <cell r="AO983">
            <v>0</v>
          </cell>
          <cell r="AP983">
            <v>0</v>
          </cell>
          <cell r="AQ983">
            <v>0</v>
          </cell>
          <cell r="AR983">
            <v>750</v>
          </cell>
          <cell r="AS983">
            <v>0</v>
          </cell>
          <cell r="AT983" t="str">
            <v/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 t="str">
            <v/>
          </cell>
          <cell r="BK983">
            <v>7000</v>
          </cell>
          <cell r="BL983" t="str">
            <v>0</v>
          </cell>
          <cell r="BM983" t="str">
            <v>1</v>
          </cell>
          <cell r="BN983" t="str">
            <v/>
          </cell>
          <cell r="BO983" t="str">
            <v/>
          </cell>
        </row>
        <row r="984">
          <cell r="A984">
            <v>1</v>
          </cell>
          <cell r="B984">
            <v>4552761</v>
          </cell>
          <cell r="C984" t="str">
            <v>MATERIEL ROULANT</v>
          </cell>
          <cell r="D984" t="str">
            <v>ENT.CHARIOT - RAYMOND 276</v>
          </cell>
          <cell r="E984" t="str">
            <v>O</v>
          </cell>
          <cell r="F984">
            <v>0</v>
          </cell>
          <cell r="G984">
            <v>0</v>
          </cell>
          <cell r="H984">
            <v>3235.97</v>
          </cell>
          <cell r="I984">
            <v>5185.97</v>
          </cell>
          <cell r="J984">
            <v>1950</v>
          </cell>
          <cell r="K984">
            <v>0</v>
          </cell>
          <cell r="L984">
            <v>475</v>
          </cell>
          <cell r="M984">
            <v>475</v>
          </cell>
          <cell r="N984">
            <v>128.75</v>
          </cell>
          <cell r="O984">
            <v>128.75</v>
          </cell>
          <cell r="P984">
            <v>128.75</v>
          </cell>
          <cell r="Q984">
            <v>128.75</v>
          </cell>
          <cell r="R984">
            <v>377.56</v>
          </cell>
          <cell r="S984">
            <v>618.54</v>
          </cell>
          <cell r="T984">
            <v>2036.62</v>
          </cell>
          <cell r="U984">
            <v>2799.38</v>
          </cell>
          <cell r="V984">
            <v>3185.97</v>
          </cell>
          <cell r="W984">
            <v>3235.97</v>
          </cell>
          <cell r="X984">
            <v>3235.97</v>
          </cell>
          <cell r="Y984">
            <v>3235.97</v>
          </cell>
          <cell r="Z984">
            <v>203.17</v>
          </cell>
          <cell r="AA984">
            <v>241.59</v>
          </cell>
          <cell r="AB984">
            <v>243.6</v>
          </cell>
          <cell r="AC984">
            <v>243.6</v>
          </cell>
          <cell r="AD984">
            <v>243.6</v>
          </cell>
          <cell r="AE984">
            <v>319.8</v>
          </cell>
          <cell r="AF984">
            <v>749.77</v>
          </cell>
          <cell r="AG984">
            <v>745.81</v>
          </cell>
          <cell r="AH984">
            <v>745.81</v>
          </cell>
          <cell r="AI984">
            <v>1048.07</v>
          </cell>
          <cell r="AJ984">
            <v>1048.07</v>
          </cell>
          <cell r="AK984">
            <v>1048.07</v>
          </cell>
          <cell r="AL984">
            <v>0</v>
          </cell>
          <cell r="AM984">
            <v>1</v>
          </cell>
          <cell r="AN984" t="str">
            <v/>
          </cell>
          <cell r="AO984">
            <v>0</v>
          </cell>
          <cell r="AP984">
            <v>0</v>
          </cell>
          <cell r="AQ984">
            <v>0</v>
          </cell>
          <cell r="AR984">
            <v>750</v>
          </cell>
          <cell r="AS984">
            <v>0</v>
          </cell>
          <cell r="AT984" t="str">
            <v/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 t="str">
            <v/>
          </cell>
          <cell r="BK984">
            <v>7000</v>
          </cell>
          <cell r="BL984" t="str">
            <v>0</v>
          </cell>
          <cell r="BM984" t="str">
            <v>1</v>
          </cell>
          <cell r="BN984" t="str">
            <v/>
          </cell>
          <cell r="BO984" t="str">
            <v/>
          </cell>
        </row>
        <row r="985">
          <cell r="A985">
            <v>1</v>
          </cell>
          <cell r="B985">
            <v>4552771</v>
          </cell>
          <cell r="C985" t="str">
            <v>MATERIEL ROULANT</v>
          </cell>
          <cell r="D985" t="str">
            <v>ENT.CHARIOT - RAYMOND 277</v>
          </cell>
          <cell r="E985" t="str">
            <v>O</v>
          </cell>
          <cell r="F985">
            <v>0</v>
          </cell>
          <cell r="G985">
            <v>0</v>
          </cell>
          <cell r="H985">
            <v>624.41999999999996</v>
          </cell>
          <cell r="I985">
            <v>624.41999999999996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137.44999999999999</v>
          </cell>
          <cell r="P985">
            <v>612.01</v>
          </cell>
          <cell r="Q985">
            <v>624.41999999999996</v>
          </cell>
          <cell r="R985">
            <v>624.41999999999996</v>
          </cell>
          <cell r="S985">
            <v>624.41999999999996</v>
          </cell>
          <cell r="T985">
            <v>624.41999999999996</v>
          </cell>
          <cell r="U985">
            <v>624.41999999999996</v>
          </cell>
          <cell r="V985">
            <v>624.41999999999996</v>
          </cell>
          <cell r="W985">
            <v>624.41999999999996</v>
          </cell>
          <cell r="X985">
            <v>624.41999999999996</v>
          </cell>
          <cell r="Y985">
            <v>624.41999999999996</v>
          </cell>
          <cell r="Z985">
            <v>1031.42</v>
          </cell>
          <cell r="AA985">
            <v>1441.23</v>
          </cell>
          <cell r="AB985">
            <v>1811.91</v>
          </cell>
          <cell r="AC985">
            <v>1811.91</v>
          </cell>
          <cell r="AD985">
            <v>2900.55</v>
          </cell>
          <cell r="AE985">
            <v>3606.67</v>
          </cell>
          <cell r="AF985">
            <v>3606.67</v>
          </cell>
          <cell r="AG985">
            <v>3606.67</v>
          </cell>
          <cell r="AH985">
            <v>3606.67</v>
          </cell>
          <cell r="AI985">
            <v>3606.67</v>
          </cell>
          <cell r="AJ985">
            <v>3606.67</v>
          </cell>
          <cell r="AK985">
            <v>3606.67</v>
          </cell>
          <cell r="AL985">
            <v>0</v>
          </cell>
          <cell r="AM985">
            <v>1</v>
          </cell>
          <cell r="AN985" t="str">
            <v/>
          </cell>
          <cell r="AO985">
            <v>0</v>
          </cell>
          <cell r="AP985">
            <v>0</v>
          </cell>
          <cell r="AQ985">
            <v>0</v>
          </cell>
          <cell r="AR985">
            <v>750</v>
          </cell>
          <cell r="AS985">
            <v>0</v>
          </cell>
          <cell r="AT985" t="str">
            <v/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 t="str">
            <v/>
          </cell>
          <cell r="BK985">
            <v>7000</v>
          </cell>
          <cell r="BL985" t="str">
            <v>0</v>
          </cell>
          <cell r="BM985" t="str">
            <v>1</v>
          </cell>
          <cell r="BN985" t="str">
            <v/>
          </cell>
          <cell r="BO985" t="str">
            <v/>
          </cell>
        </row>
        <row r="986">
          <cell r="A986">
            <v>1</v>
          </cell>
          <cell r="B986">
            <v>4552801</v>
          </cell>
          <cell r="C986" t="str">
            <v>MATERIEL ROULANT</v>
          </cell>
          <cell r="D986" t="str">
            <v>ENT. CHARIOTS - CLARK 280</v>
          </cell>
          <cell r="E986" t="str">
            <v>O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939.25</v>
          </cell>
          <cell r="AF986">
            <v>1208.3699999999999</v>
          </cell>
          <cell r="AG986">
            <v>1208.3699999999999</v>
          </cell>
          <cell r="AH986">
            <v>1208.3699999999999</v>
          </cell>
          <cell r="AI986">
            <v>1552.27</v>
          </cell>
          <cell r="AJ986">
            <v>1552.27</v>
          </cell>
          <cell r="AK986">
            <v>1552.27</v>
          </cell>
          <cell r="AL986">
            <v>0</v>
          </cell>
          <cell r="AM986">
            <v>1</v>
          </cell>
          <cell r="AN986" t="str">
            <v/>
          </cell>
          <cell r="AO986">
            <v>0</v>
          </cell>
          <cell r="AP986">
            <v>0</v>
          </cell>
          <cell r="AQ986">
            <v>0</v>
          </cell>
          <cell r="AR986">
            <v>750</v>
          </cell>
          <cell r="AS986">
            <v>0</v>
          </cell>
          <cell r="AT986" t="str">
            <v/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 t="str">
            <v/>
          </cell>
          <cell r="BK986">
            <v>7000</v>
          </cell>
          <cell r="BL986" t="str">
            <v>0</v>
          </cell>
          <cell r="BM986" t="str">
            <v>1</v>
          </cell>
          <cell r="BN986" t="str">
            <v/>
          </cell>
          <cell r="BO986" t="str">
            <v/>
          </cell>
        </row>
        <row r="987">
          <cell r="A987">
            <v>1</v>
          </cell>
          <cell r="B987">
            <v>4552811</v>
          </cell>
          <cell r="C987" t="str">
            <v>MATERIEL ROULANT</v>
          </cell>
          <cell r="D987" t="str">
            <v>ENT. CHARIOTS - CLARK 281</v>
          </cell>
          <cell r="E987" t="str">
            <v>O</v>
          </cell>
          <cell r="F987">
            <v>0</v>
          </cell>
          <cell r="G987">
            <v>0</v>
          </cell>
          <cell r="H987">
            <v>3223.16</v>
          </cell>
          <cell r="I987">
            <v>3889.35</v>
          </cell>
          <cell r="J987">
            <v>666.19</v>
          </cell>
          <cell r="K987">
            <v>0</v>
          </cell>
          <cell r="L987">
            <v>306.92</v>
          </cell>
          <cell r="M987">
            <v>0</v>
          </cell>
          <cell r="N987">
            <v>168.92</v>
          </cell>
          <cell r="O987">
            <v>563.58000000000004</v>
          </cell>
          <cell r="P987">
            <v>720.04</v>
          </cell>
          <cell r="Q987">
            <v>1028.99</v>
          </cell>
          <cell r="R987">
            <v>1167.99</v>
          </cell>
          <cell r="S987">
            <v>1318.44</v>
          </cell>
          <cell r="T987">
            <v>3106.05</v>
          </cell>
          <cell r="U987">
            <v>3333.2</v>
          </cell>
          <cell r="V987">
            <v>3374.73</v>
          </cell>
          <cell r="W987">
            <v>3374.73</v>
          </cell>
          <cell r="X987">
            <v>3223.16</v>
          </cell>
          <cell r="Y987">
            <v>3530.08</v>
          </cell>
          <cell r="Z987">
            <v>159.05000000000001</v>
          </cell>
          <cell r="AA987">
            <v>4505.28</v>
          </cell>
          <cell r="AB987">
            <v>4581.1000000000004</v>
          </cell>
          <cell r="AC987">
            <v>4591.1400000000003</v>
          </cell>
          <cell r="AD987">
            <v>4591.1400000000003</v>
          </cell>
          <cell r="AE987">
            <v>4727.28</v>
          </cell>
          <cell r="AF987">
            <v>4883.66</v>
          </cell>
          <cell r="AG987">
            <v>5261.78</v>
          </cell>
          <cell r="AH987">
            <v>5858.15</v>
          </cell>
          <cell r="AI987">
            <v>5858.15</v>
          </cell>
          <cell r="AJ987">
            <v>5967.57</v>
          </cell>
          <cell r="AK987">
            <v>6328.38</v>
          </cell>
          <cell r="AL987">
            <v>0</v>
          </cell>
          <cell r="AM987">
            <v>1</v>
          </cell>
          <cell r="AN987" t="str">
            <v/>
          </cell>
          <cell r="AO987">
            <v>0</v>
          </cell>
          <cell r="AP987">
            <v>0</v>
          </cell>
          <cell r="AQ987">
            <v>0</v>
          </cell>
          <cell r="AR987">
            <v>750</v>
          </cell>
          <cell r="AS987">
            <v>0</v>
          </cell>
          <cell r="AT987" t="str">
            <v/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 t="str">
            <v/>
          </cell>
          <cell r="BK987">
            <v>7000</v>
          </cell>
          <cell r="BL987" t="str">
            <v>0</v>
          </cell>
          <cell r="BM987" t="str">
            <v>1</v>
          </cell>
          <cell r="BN987" t="str">
            <v/>
          </cell>
          <cell r="BO987" t="str">
            <v/>
          </cell>
        </row>
        <row r="988">
          <cell r="A988">
            <v>1</v>
          </cell>
          <cell r="B988">
            <v>4552821</v>
          </cell>
          <cell r="C988" t="str">
            <v>MATERIEL ROULANT</v>
          </cell>
          <cell r="D988" t="str">
            <v>ENT. CHARIOTS - CLARK 282</v>
          </cell>
          <cell r="E988" t="str">
            <v>O</v>
          </cell>
          <cell r="F988">
            <v>0</v>
          </cell>
          <cell r="G988">
            <v>0</v>
          </cell>
          <cell r="H988">
            <v>28.93</v>
          </cell>
          <cell r="I988">
            <v>28.93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28.93</v>
          </cell>
          <cell r="U988">
            <v>28.93</v>
          </cell>
          <cell r="V988">
            <v>28.93</v>
          </cell>
          <cell r="W988">
            <v>28.93</v>
          </cell>
          <cell r="X988">
            <v>28.93</v>
          </cell>
          <cell r="Y988">
            <v>28.93</v>
          </cell>
          <cell r="Z988">
            <v>0</v>
          </cell>
          <cell r="AA988">
            <v>0</v>
          </cell>
          <cell r="AB988">
            <v>46.13</v>
          </cell>
          <cell r="AC988">
            <v>53.82</v>
          </cell>
          <cell r="AD988">
            <v>53.82</v>
          </cell>
          <cell r="AE988">
            <v>53.82</v>
          </cell>
          <cell r="AF988">
            <v>127.93</v>
          </cell>
          <cell r="AG988">
            <v>127.93</v>
          </cell>
          <cell r="AH988">
            <v>127.93</v>
          </cell>
          <cell r="AI988">
            <v>127.93</v>
          </cell>
          <cell r="AJ988">
            <v>127.93</v>
          </cell>
          <cell r="AK988">
            <v>127.93</v>
          </cell>
          <cell r="AL988">
            <v>0</v>
          </cell>
          <cell r="AM988">
            <v>1</v>
          </cell>
          <cell r="AN988" t="str">
            <v/>
          </cell>
          <cell r="AO988">
            <v>0</v>
          </cell>
          <cell r="AP988">
            <v>0</v>
          </cell>
          <cell r="AQ988">
            <v>0</v>
          </cell>
          <cell r="AR988">
            <v>750</v>
          </cell>
          <cell r="AS988">
            <v>0</v>
          </cell>
          <cell r="AT988" t="str">
            <v/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 t="str">
            <v/>
          </cell>
          <cell r="BK988">
            <v>7000</v>
          </cell>
          <cell r="BL988" t="str">
            <v>0</v>
          </cell>
          <cell r="BM988" t="str">
            <v>1</v>
          </cell>
          <cell r="BN988" t="str">
            <v/>
          </cell>
          <cell r="BO988" t="str">
            <v/>
          </cell>
        </row>
        <row r="989">
          <cell r="A989">
            <v>1</v>
          </cell>
          <cell r="B989">
            <v>4552831</v>
          </cell>
          <cell r="C989" t="str">
            <v>MATERIEL ROULANT</v>
          </cell>
          <cell r="D989" t="str">
            <v>ENT. CHARIOTS - CLARK 283</v>
          </cell>
          <cell r="E989" t="str">
            <v>O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132.55000000000001</v>
          </cell>
          <cell r="AA989">
            <v>1258.6600000000001</v>
          </cell>
          <cell r="AB989">
            <v>2459.9499999999998</v>
          </cell>
          <cell r="AC989">
            <v>2575.73</v>
          </cell>
          <cell r="AD989">
            <v>2581.75</v>
          </cell>
          <cell r="AE989">
            <v>2684.58</v>
          </cell>
          <cell r="AF989">
            <v>4496.46</v>
          </cell>
          <cell r="AG989">
            <v>5120.66</v>
          </cell>
          <cell r="AH989">
            <v>5171.25</v>
          </cell>
          <cell r="AI989">
            <v>5193.1499999999996</v>
          </cell>
          <cell r="AJ989">
            <v>5217.33</v>
          </cell>
          <cell r="AK989">
            <v>6195.71</v>
          </cell>
          <cell r="AL989">
            <v>0</v>
          </cell>
          <cell r="AM989">
            <v>1</v>
          </cell>
          <cell r="AN989" t="str">
            <v/>
          </cell>
          <cell r="AO989">
            <v>0</v>
          </cell>
          <cell r="AP989">
            <v>0</v>
          </cell>
          <cell r="AQ989">
            <v>0</v>
          </cell>
          <cell r="AR989">
            <v>750</v>
          </cell>
          <cell r="AS989">
            <v>0</v>
          </cell>
          <cell r="AT989" t="str">
            <v/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 t="str">
            <v/>
          </cell>
          <cell r="BK989">
            <v>7000</v>
          </cell>
          <cell r="BL989" t="str">
            <v>0</v>
          </cell>
          <cell r="BM989" t="str">
            <v>1</v>
          </cell>
          <cell r="BN989" t="str">
            <v/>
          </cell>
          <cell r="BO989" t="str">
            <v/>
          </cell>
        </row>
        <row r="990">
          <cell r="A990">
            <v>1</v>
          </cell>
          <cell r="B990">
            <v>4552841</v>
          </cell>
          <cell r="C990" t="str">
            <v>MATERIEL ROULANT</v>
          </cell>
          <cell r="D990" t="str">
            <v>ENT. CHARIOTS - CLARK 284</v>
          </cell>
          <cell r="E990" t="str">
            <v>O</v>
          </cell>
          <cell r="F990">
            <v>0</v>
          </cell>
          <cell r="G990">
            <v>0</v>
          </cell>
          <cell r="H990">
            <v>110.54</v>
          </cell>
          <cell r="I990">
            <v>110.54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26.86</v>
          </cell>
          <cell r="O990">
            <v>26.86</v>
          </cell>
          <cell r="P990">
            <v>26.86</v>
          </cell>
          <cell r="Q990">
            <v>26.86</v>
          </cell>
          <cell r="R990">
            <v>110.54</v>
          </cell>
          <cell r="S990">
            <v>110.54</v>
          </cell>
          <cell r="T990">
            <v>110.54</v>
          </cell>
          <cell r="U990">
            <v>110.54</v>
          </cell>
          <cell r="V990">
            <v>110.54</v>
          </cell>
          <cell r="W990">
            <v>110.54</v>
          </cell>
          <cell r="X990">
            <v>110.54</v>
          </cell>
          <cell r="Y990">
            <v>110.54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49.11</v>
          </cell>
          <cell r="AJ990">
            <v>49.11</v>
          </cell>
          <cell r="AK990">
            <v>49.11</v>
          </cell>
          <cell r="AL990">
            <v>0</v>
          </cell>
          <cell r="AM990">
            <v>1</v>
          </cell>
          <cell r="AN990" t="str">
            <v/>
          </cell>
          <cell r="AO990">
            <v>0</v>
          </cell>
          <cell r="AP990">
            <v>0</v>
          </cell>
          <cell r="AQ990">
            <v>0</v>
          </cell>
          <cell r="AR990">
            <v>750</v>
          </cell>
          <cell r="AS990">
            <v>0</v>
          </cell>
          <cell r="AT990" t="str">
            <v/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 t="str">
            <v/>
          </cell>
          <cell r="BK990">
            <v>7000</v>
          </cell>
          <cell r="BL990" t="str">
            <v>0</v>
          </cell>
          <cell r="BM990" t="str">
            <v>1</v>
          </cell>
          <cell r="BN990" t="str">
            <v/>
          </cell>
          <cell r="BO990" t="str">
            <v/>
          </cell>
        </row>
        <row r="991">
          <cell r="A991">
            <v>1</v>
          </cell>
          <cell r="B991">
            <v>4552851</v>
          </cell>
          <cell r="C991" t="str">
            <v>MATERIEL ROULANT</v>
          </cell>
          <cell r="D991" t="str">
            <v>ENT. CHARIOTS - CLARK 285</v>
          </cell>
          <cell r="E991" t="str">
            <v>O</v>
          </cell>
          <cell r="F991">
            <v>0</v>
          </cell>
          <cell r="G991">
            <v>0</v>
          </cell>
          <cell r="H991">
            <v>10838.96</v>
          </cell>
          <cell r="I991">
            <v>11204.15</v>
          </cell>
          <cell r="J991">
            <v>365.19</v>
          </cell>
          <cell r="K991">
            <v>0</v>
          </cell>
          <cell r="L991">
            <v>145.84</v>
          </cell>
          <cell r="M991">
            <v>48.44</v>
          </cell>
          <cell r="N991">
            <v>103.97</v>
          </cell>
          <cell r="O991">
            <v>103.97</v>
          </cell>
          <cell r="P991">
            <v>187.49</v>
          </cell>
          <cell r="Q991">
            <v>333.8</v>
          </cell>
          <cell r="R991">
            <v>725.86</v>
          </cell>
          <cell r="S991">
            <v>1782.86</v>
          </cell>
          <cell r="T991">
            <v>5412.85</v>
          </cell>
          <cell r="U991">
            <v>5699.21</v>
          </cell>
          <cell r="V991">
            <v>5836.63</v>
          </cell>
          <cell r="W991">
            <v>10790.52</v>
          </cell>
          <cell r="X991">
            <v>10838.96</v>
          </cell>
          <cell r="Y991">
            <v>10936.36</v>
          </cell>
          <cell r="Z991">
            <v>145.80000000000001</v>
          </cell>
          <cell r="AA991">
            <v>154.63999999999999</v>
          </cell>
          <cell r="AB991">
            <v>154.63999999999999</v>
          </cell>
          <cell r="AC991">
            <v>380.56</v>
          </cell>
          <cell r="AD991">
            <v>407.68</v>
          </cell>
          <cell r="AE991">
            <v>709.18</v>
          </cell>
          <cell r="AF991">
            <v>757.6</v>
          </cell>
          <cell r="AG991">
            <v>757.6</v>
          </cell>
          <cell r="AH991">
            <v>1964.42</v>
          </cell>
          <cell r="AI991">
            <v>2344.8200000000002</v>
          </cell>
          <cell r="AJ991">
            <v>2503.7199999999998</v>
          </cell>
          <cell r="AK991">
            <v>3832.89</v>
          </cell>
          <cell r="AL991">
            <v>0</v>
          </cell>
          <cell r="AM991">
            <v>1</v>
          </cell>
          <cell r="AN991" t="str">
            <v/>
          </cell>
          <cell r="AO991">
            <v>0</v>
          </cell>
          <cell r="AP991">
            <v>0</v>
          </cell>
          <cell r="AQ991">
            <v>0</v>
          </cell>
          <cell r="AR991">
            <v>750</v>
          </cell>
          <cell r="AS991">
            <v>0</v>
          </cell>
          <cell r="AT991" t="str">
            <v/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 t="str">
            <v/>
          </cell>
          <cell r="BK991">
            <v>7000</v>
          </cell>
          <cell r="BL991" t="str">
            <v>0</v>
          </cell>
          <cell r="BM991" t="str">
            <v>1</v>
          </cell>
          <cell r="BN991" t="str">
            <v/>
          </cell>
          <cell r="BO991" t="str">
            <v/>
          </cell>
        </row>
        <row r="992">
          <cell r="A992">
            <v>1</v>
          </cell>
          <cell r="B992">
            <v>4552871</v>
          </cell>
          <cell r="C992" t="str">
            <v>MATERIEL ROULANT</v>
          </cell>
          <cell r="D992" t="str">
            <v>ENT. CHARIOTS - CLARK 287</v>
          </cell>
          <cell r="E992" t="str">
            <v>O</v>
          </cell>
          <cell r="F992">
            <v>0</v>
          </cell>
          <cell r="G992">
            <v>0</v>
          </cell>
          <cell r="H992">
            <v>6078.72</v>
          </cell>
          <cell r="I992">
            <v>6127.88</v>
          </cell>
          <cell r="J992">
            <v>49.16</v>
          </cell>
          <cell r="K992">
            <v>0</v>
          </cell>
          <cell r="L992">
            <v>133.6</v>
          </cell>
          <cell r="M992">
            <v>0</v>
          </cell>
          <cell r="N992">
            <v>1662.89</v>
          </cell>
          <cell r="O992">
            <v>1662.89</v>
          </cell>
          <cell r="P992">
            <v>1897.95</v>
          </cell>
          <cell r="Q992">
            <v>3149.13</v>
          </cell>
          <cell r="R992">
            <v>3447.83</v>
          </cell>
          <cell r="S992">
            <v>3663.74</v>
          </cell>
          <cell r="T992">
            <v>3980.59</v>
          </cell>
          <cell r="U992">
            <v>5024.66</v>
          </cell>
          <cell r="V992">
            <v>5024.66</v>
          </cell>
          <cell r="W992">
            <v>6078.72</v>
          </cell>
          <cell r="X992">
            <v>6078.72</v>
          </cell>
          <cell r="Y992">
            <v>6212.32</v>
          </cell>
          <cell r="Z992">
            <v>367.41</v>
          </cell>
          <cell r="AA992">
            <v>447.35</v>
          </cell>
          <cell r="AB992">
            <v>2219.29</v>
          </cell>
          <cell r="AC992">
            <v>2640.67</v>
          </cell>
          <cell r="AD992">
            <v>2640.67</v>
          </cell>
          <cell r="AE992">
            <v>2640.67</v>
          </cell>
          <cell r="AF992">
            <v>3364.28</v>
          </cell>
          <cell r="AG992">
            <v>3364.28</v>
          </cell>
          <cell r="AH992">
            <v>3364.28</v>
          </cell>
          <cell r="AI992">
            <v>3563.56</v>
          </cell>
          <cell r="AJ992">
            <v>3803.29</v>
          </cell>
          <cell r="AK992">
            <v>4714.41</v>
          </cell>
          <cell r="AL992">
            <v>0</v>
          </cell>
          <cell r="AM992">
            <v>1</v>
          </cell>
          <cell r="AN992" t="str">
            <v/>
          </cell>
          <cell r="AO992">
            <v>0</v>
          </cell>
          <cell r="AP992">
            <v>0</v>
          </cell>
          <cell r="AQ992">
            <v>0</v>
          </cell>
          <cell r="AR992">
            <v>750</v>
          </cell>
          <cell r="AS992">
            <v>0</v>
          </cell>
          <cell r="AT992" t="str">
            <v/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 t="str">
            <v/>
          </cell>
          <cell r="BK992">
            <v>7000</v>
          </cell>
          <cell r="BL992" t="str">
            <v>0</v>
          </cell>
          <cell r="BM992" t="str">
            <v>1</v>
          </cell>
          <cell r="BN992" t="str">
            <v/>
          </cell>
          <cell r="BO992" t="str">
            <v/>
          </cell>
        </row>
        <row r="993">
          <cell r="A993">
            <v>1</v>
          </cell>
          <cell r="B993">
            <v>4552881</v>
          </cell>
          <cell r="C993" t="str">
            <v>MATERIEL ROULANT</v>
          </cell>
          <cell r="D993" t="str">
            <v>ENT. CHARIOTS - CLARK 288</v>
          </cell>
          <cell r="E993" t="str">
            <v>O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-125</v>
          </cell>
          <cell r="AG993">
            <v>-125</v>
          </cell>
          <cell r="AH993">
            <v>-125</v>
          </cell>
          <cell r="AI993">
            <v>-125</v>
          </cell>
          <cell r="AJ993">
            <v>-125</v>
          </cell>
          <cell r="AK993">
            <v>-125</v>
          </cell>
          <cell r="AL993">
            <v>0</v>
          </cell>
          <cell r="AM993">
            <v>1</v>
          </cell>
          <cell r="AN993" t="str">
            <v/>
          </cell>
          <cell r="AO993">
            <v>0</v>
          </cell>
          <cell r="AP993">
            <v>0</v>
          </cell>
          <cell r="AQ993">
            <v>0</v>
          </cell>
          <cell r="AR993">
            <v>750</v>
          </cell>
          <cell r="AS993">
            <v>0</v>
          </cell>
          <cell r="AT993" t="str">
            <v/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 t="str">
            <v/>
          </cell>
          <cell r="BK993">
            <v>7000</v>
          </cell>
          <cell r="BL993" t="str">
            <v>0</v>
          </cell>
          <cell r="BM993" t="str">
            <v>1</v>
          </cell>
          <cell r="BN993" t="str">
            <v/>
          </cell>
          <cell r="BO993" t="str">
            <v/>
          </cell>
        </row>
        <row r="994">
          <cell r="A994">
            <v>1</v>
          </cell>
          <cell r="B994">
            <v>4552891</v>
          </cell>
          <cell r="C994" t="str">
            <v>MATERIEL ROULANT</v>
          </cell>
          <cell r="D994" t="str">
            <v>ENT. CHARIOTS - CLARK 289</v>
          </cell>
          <cell r="E994" t="str">
            <v>O</v>
          </cell>
          <cell r="F994">
            <v>0</v>
          </cell>
          <cell r="G994">
            <v>0</v>
          </cell>
          <cell r="H994">
            <v>1262.7</v>
          </cell>
          <cell r="I994">
            <v>2134.67</v>
          </cell>
          <cell r="J994">
            <v>871.97</v>
          </cell>
          <cell r="K994">
            <v>0</v>
          </cell>
          <cell r="L994">
            <v>1190.67</v>
          </cell>
          <cell r="M994">
            <v>859.92</v>
          </cell>
          <cell r="N994">
            <v>38.659999999999997</v>
          </cell>
          <cell r="O994">
            <v>105.16</v>
          </cell>
          <cell r="P994">
            <v>105.16</v>
          </cell>
          <cell r="Q994">
            <v>105.16</v>
          </cell>
          <cell r="R994">
            <v>185.05</v>
          </cell>
          <cell r="S994">
            <v>185.05</v>
          </cell>
          <cell r="T994">
            <v>208.59</v>
          </cell>
          <cell r="U994">
            <v>258.92</v>
          </cell>
          <cell r="V994">
            <v>258.92</v>
          </cell>
          <cell r="W994">
            <v>402.78</v>
          </cell>
          <cell r="X994">
            <v>1262.7</v>
          </cell>
          <cell r="Y994">
            <v>1593.45</v>
          </cell>
          <cell r="Z994">
            <v>26.51</v>
          </cell>
          <cell r="AA994">
            <v>28.12</v>
          </cell>
          <cell r="AB994">
            <v>269.11</v>
          </cell>
          <cell r="AC994">
            <v>1952.68</v>
          </cell>
          <cell r="AD994">
            <v>1546.3</v>
          </cell>
          <cell r="AE994">
            <v>1765.9</v>
          </cell>
          <cell r="AF994">
            <v>1771.52</v>
          </cell>
          <cell r="AG994">
            <v>2009.96</v>
          </cell>
          <cell r="AH994">
            <v>2083.14</v>
          </cell>
          <cell r="AI994">
            <v>2498.29</v>
          </cell>
          <cell r="AJ994">
            <v>2680.66</v>
          </cell>
          <cell r="AK994">
            <v>3380.34</v>
          </cell>
          <cell r="AL994">
            <v>0</v>
          </cell>
          <cell r="AM994">
            <v>1</v>
          </cell>
          <cell r="AN994" t="str">
            <v/>
          </cell>
          <cell r="AO994">
            <v>0</v>
          </cell>
          <cell r="AP994">
            <v>0</v>
          </cell>
          <cell r="AQ994">
            <v>0</v>
          </cell>
          <cell r="AR994">
            <v>750</v>
          </cell>
          <cell r="AS994">
            <v>0</v>
          </cell>
          <cell r="AT994" t="str">
            <v/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 t="str">
            <v/>
          </cell>
          <cell r="BK994">
            <v>7000</v>
          </cell>
          <cell r="BL994" t="str">
            <v>0</v>
          </cell>
          <cell r="BM994" t="str">
            <v>1</v>
          </cell>
          <cell r="BN994" t="str">
            <v/>
          </cell>
          <cell r="BO994" t="str">
            <v/>
          </cell>
        </row>
        <row r="995">
          <cell r="A995">
            <v>1</v>
          </cell>
          <cell r="B995">
            <v>5021061</v>
          </cell>
          <cell r="C995" t="str">
            <v>FRAIS DE BUREAU</v>
          </cell>
          <cell r="D995" t="str">
            <v>PHOTOCOPIEUR+FAX</v>
          </cell>
          <cell r="E995" t="str">
            <v>O</v>
          </cell>
          <cell r="F995">
            <v>0</v>
          </cell>
          <cell r="G995">
            <v>0</v>
          </cell>
          <cell r="H995">
            <v>4672.3900000000003</v>
          </cell>
          <cell r="I995">
            <v>5269.97</v>
          </cell>
          <cell r="J995">
            <v>597.58000000000004</v>
          </cell>
          <cell r="K995">
            <v>0</v>
          </cell>
          <cell r="L995">
            <v>750</v>
          </cell>
          <cell r="M995">
            <v>0</v>
          </cell>
          <cell r="N995">
            <v>0</v>
          </cell>
          <cell r="O995">
            <v>0</v>
          </cell>
          <cell r="P995">
            <v>1048.79</v>
          </cell>
          <cell r="Q995">
            <v>1048.79</v>
          </cell>
          <cell r="R995">
            <v>1869.78</v>
          </cell>
          <cell r="S995">
            <v>2918.57</v>
          </cell>
          <cell r="T995">
            <v>2918.57</v>
          </cell>
          <cell r="U995">
            <v>3199.72</v>
          </cell>
          <cell r="V995">
            <v>4248.51</v>
          </cell>
          <cell r="W995">
            <v>4450.51</v>
          </cell>
          <cell r="X995">
            <v>4672.3900000000003</v>
          </cell>
          <cell r="Y995">
            <v>5422.39</v>
          </cell>
          <cell r="Z995">
            <v>0</v>
          </cell>
          <cell r="AA995">
            <v>1994.06</v>
          </cell>
          <cell r="AB995">
            <v>3265.36</v>
          </cell>
          <cell r="AC995">
            <v>3535.36</v>
          </cell>
          <cell r="AD995">
            <v>3535.36</v>
          </cell>
          <cell r="AE995">
            <v>6843.79</v>
          </cell>
          <cell r="AF995">
            <v>6843.79</v>
          </cell>
          <cell r="AG995">
            <v>6843.79</v>
          </cell>
          <cell r="AH995">
            <v>10237.41</v>
          </cell>
          <cell r="AI995">
            <v>10435.91</v>
          </cell>
          <cell r="AJ995">
            <v>11245.99</v>
          </cell>
          <cell r="AK995">
            <v>12294.78</v>
          </cell>
          <cell r="AL995">
            <v>0</v>
          </cell>
          <cell r="AM995">
            <v>1</v>
          </cell>
          <cell r="AN995" t="str">
            <v/>
          </cell>
          <cell r="AO995">
            <v>0</v>
          </cell>
          <cell r="AP995">
            <v>0</v>
          </cell>
          <cell r="AQ995">
            <v>0</v>
          </cell>
          <cell r="AR995">
            <v>810</v>
          </cell>
          <cell r="AS995">
            <v>0</v>
          </cell>
          <cell r="AT995" t="str">
            <v/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 t="str">
            <v/>
          </cell>
          <cell r="BK995">
            <v>7200</v>
          </cell>
          <cell r="BL995" t="str">
            <v>0</v>
          </cell>
          <cell r="BM995" t="str">
            <v>1</v>
          </cell>
          <cell r="BN995" t="str">
            <v/>
          </cell>
          <cell r="BO995" t="str">
            <v/>
          </cell>
        </row>
        <row r="996">
          <cell r="A996">
            <v>1</v>
          </cell>
          <cell r="B996">
            <v>2113015</v>
          </cell>
          <cell r="C996" t="str">
            <v>C.A.P.   ESSUIE-MAINS</v>
          </cell>
          <cell r="D996" t="str">
            <v>COURUS - TRANSPORT-VENTES</v>
          </cell>
          <cell r="E996" t="str">
            <v>O</v>
          </cell>
          <cell r="F996">
            <v>0</v>
          </cell>
          <cell r="G996">
            <v>0</v>
          </cell>
          <cell r="H996">
            <v>0</v>
          </cell>
          <cell r="I996">
            <v>4857280.3499999996</v>
          </cell>
          <cell r="J996">
            <v>4857280.78</v>
          </cell>
          <cell r="K996">
            <v>0</v>
          </cell>
          <cell r="L996">
            <v>604178.17000000004</v>
          </cell>
          <cell r="M996">
            <v>604178.17000000004</v>
          </cell>
          <cell r="N996">
            <v>-0.43</v>
          </cell>
          <cell r="O996">
            <v>212148.85</v>
          </cell>
          <cell r="P996">
            <v>-4535.83</v>
          </cell>
          <cell r="Q996">
            <v>230000.17</v>
          </cell>
          <cell r="R996">
            <v>355005.09</v>
          </cell>
          <cell r="S996">
            <v>-63440.75</v>
          </cell>
          <cell r="T996">
            <v>144727.71</v>
          </cell>
          <cell r="U996">
            <v>216039.8</v>
          </cell>
          <cell r="V996">
            <v>769.99</v>
          </cell>
          <cell r="W996">
            <v>249801.48</v>
          </cell>
          <cell r="X996">
            <v>0</v>
          </cell>
          <cell r="Y996">
            <v>0</v>
          </cell>
          <cell r="Z996">
            <v>-0.43</v>
          </cell>
          <cell r="AA996">
            <v>-0.43</v>
          </cell>
          <cell r="AB996">
            <v>-0.43</v>
          </cell>
          <cell r="AC996">
            <v>-0.43</v>
          </cell>
          <cell r="AD996">
            <v>-0.43</v>
          </cell>
          <cell r="AE996">
            <v>-0.43</v>
          </cell>
          <cell r="AF996">
            <v>-0.43</v>
          </cell>
          <cell r="AG996">
            <v>-0.43</v>
          </cell>
          <cell r="AH996">
            <v>-0.43</v>
          </cell>
          <cell r="AI996">
            <v>-0.43</v>
          </cell>
          <cell r="AJ996">
            <v>-0.43</v>
          </cell>
          <cell r="AK996">
            <v>-0.43</v>
          </cell>
          <cell r="AL996">
            <v>0</v>
          </cell>
          <cell r="AM996">
            <v>5</v>
          </cell>
          <cell r="AN996" t="str">
            <v/>
          </cell>
          <cell r="AO996">
            <v>0</v>
          </cell>
          <cell r="AP996">
            <v>0</v>
          </cell>
          <cell r="AQ996">
            <v>0</v>
          </cell>
          <cell r="AR996">
            <v>420</v>
          </cell>
          <cell r="AS996">
            <v>0</v>
          </cell>
          <cell r="AT996" t="str">
            <v/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 t="str">
            <v/>
          </cell>
          <cell r="BK996">
            <v>2100</v>
          </cell>
          <cell r="BL996" t="str">
            <v>0</v>
          </cell>
          <cell r="BM996" t="str">
            <v>1</v>
          </cell>
          <cell r="BN996" t="str">
            <v/>
          </cell>
          <cell r="BO996" t="str">
            <v/>
          </cell>
        </row>
        <row r="997">
          <cell r="A997">
            <v>1</v>
          </cell>
          <cell r="B997">
            <v>5011061</v>
          </cell>
          <cell r="C997" t="str">
            <v>INFORMATIQUE</v>
          </cell>
          <cell r="D997" t="str">
            <v>LIGNES DATA</v>
          </cell>
          <cell r="E997" t="str">
            <v>O</v>
          </cell>
          <cell r="F997">
            <v>0</v>
          </cell>
          <cell r="G997">
            <v>0</v>
          </cell>
          <cell r="H997">
            <v>9460.15</v>
          </cell>
          <cell r="I997">
            <v>13885.89</v>
          </cell>
          <cell r="J997">
            <v>4425.74</v>
          </cell>
          <cell r="K997">
            <v>0</v>
          </cell>
          <cell r="L997">
            <v>2014.79</v>
          </cell>
          <cell r="M997">
            <v>0</v>
          </cell>
          <cell r="N997">
            <v>0</v>
          </cell>
          <cell r="O997">
            <v>1336.95</v>
          </cell>
          <cell r="P997">
            <v>2882.07</v>
          </cell>
          <cell r="Q997">
            <v>3082.31</v>
          </cell>
          <cell r="R997">
            <v>4005.99</v>
          </cell>
          <cell r="S997">
            <v>5246.79</v>
          </cell>
          <cell r="T997">
            <v>5246.79</v>
          </cell>
          <cell r="U997">
            <v>6051.63</v>
          </cell>
          <cell r="V997">
            <v>8528.07</v>
          </cell>
          <cell r="W997">
            <v>9460.15</v>
          </cell>
          <cell r="X997">
            <v>9460.15</v>
          </cell>
          <cell r="Y997">
            <v>11474.94</v>
          </cell>
          <cell r="Z997">
            <v>1736.61</v>
          </cell>
          <cell r="AA997">
            <v>2537.0100000000002</v>
          </cell>
          <cell r="AB997">
            <v>4182.92</v>
          </cell>
          <cell r="AC997">
            <v>4338.51</v>
          </cell>
          <cell r="AD997">
            <v>5544.15</v>
          </cell>
          <cell r="AE997">
            <v>6919.95</v>
          </cell>
          <cell r="AF997">
            <v>6919.95</v>
          </cell>
          <cell r="AG997">
            <v>7867.71</v>
          </cell>
          <cell r="AH997">
            <v>10161.299999999999</v>
          </cell>
          <cell r="AI997">
            <v>10376.450000000001</v>
          </cell>
          <cell r="AJ997">
            <v>10996.85</v>
          </cell>
          <cell r="AK997">
            <v>12351.58</v>
          </cell>
          <cell r="AL997">
            <v>0</v>
          </cell>
          <cell r="AM997">
            <v>1</v>
          </cell>
          <cell r="AN997" t="str">
            <v/>
          </cell>
          <cell r="AO997">
            <v>0</v>
          </cell>
          <cell r="AP997">
            <v>0</v>
          </cell>
          <cell r="AQ997">
            <v>0</v>
          </cell>
          <cell r="AR997">
            <v>810</v>
          </cell>
          <cell r="AS997">
            <v>0</v>
          </cell>
          <cell r="AT997" t="str">
            <v/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 t="str">
            <v/>
          </cell>
          <cell r="BK997">
            <v>7200</v>
          </cell>
          <cell r="BL997" t="str">
            <v>0</v>
          </cell>
          <cell r="BM997" t="str">
            <v>1</v>
          </cell>
          <cell r="BN997" t="str">
            <v/>
          </cell>
          <cell r="BO997" t="str">
            <v/>
          </cell>
        </row>
        <row r="998">
          <cell r="A998">
            <v>1</v>
          </cell>
          <cell r="B998">
            <v>2113020</v>
          </cell>
          <cell r="C998" t="str">
            <v>C.A.P.</v>
          </cell>
          <cell r="D998" t="str">
            <v>COURUS - DOUANES-VENTES</v>
          </cell>
          <cell r="E998" t="str">
            <v>O</v>
          </cell>
          <cell r="F998">
            <v>0</v>
          </cell>
          <cell r="G998">
            <v>0</v>
          </cell>
          <cell r="H998">
            <v>-9.26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9.26</v>
          </cell>
          <cell r="N998">
            <v>-9.26</v>
          </cell>
          <cell r="O998">
            <v>-9.26</v>
          </cell>
          <cell r="P998">
            <v>-9.26</v>
          </cell>
          <cell r="Q998">
            <v>-9.26</v>
          </cell>
          <cell r="R998">
            <v>-9.26</v>
          </cell>
          <cell r="S998">
            <v>-9.26</v>
          </cell>
          <cell r="T998">
            <v>-9.26</v>
          </cell>
          <cell r="U998">
            <v>-9.26</v>
          </cell>
          <cell r="V998">
            <v>-9.26</v>
          </cell>
          <cell r="W998">
            <v>-9.26</v>
          </cell>
          <cell r="X998">
            <v>-9.26</v>
          </cell>
          <cell r="Y998">
            <v>0</v>
          </cell>
          <cell r="Z998">
            <v>-9.26</v>
          </cell>
          <cell r="AA998">
            <v>-9.26</v>
          </cell>
          <cell r="AB998">
            <v>-9.26</v>
          </cell>
          <cell r="AC998">
            <v>-9.26</v>
          </cell>
          <cell r="AD998">
            <v>-9.26</v>
          </cell>
          <cell r="AE998">
            <v>-9.26</v>
          </cell>
          <cell r="AF998">
            <v>-9.26</v>
          </cell>
          <cell r="AG998">
            <v>-9.26</v>
          </cell>
          <cell r="AH998">
            <v>-9.26</v>
          </cell>
          <cell r="AI998">
            <v>-9.26</v>
          </cell>
          <cell r="AJ998">
            <v>-9.26</v>
          </cell>
          <cell r="AK998">
            <v>-9.26</v>
          </cell>
          <cell r="AL998">
            <v>0</v>
          </cell>
          <cell r="AM998">
            <v>0</v>
          </cell>
          <cell r="AN998" t="str">
            <v/>
          </cell>
          <cell r="AO998">
            <v>0</v>
          </cell>
          <cell r="AP998">
            <v>0</v>
          </cell>
          <cell r="AQ998">
            <v>0</v>
          </cell>
          <cell r="AR998">
            <v>420</v>
          </cell>
          <cell r="AS998">
            <v>0</v>
          </cell>
          <cell r="AT998" t="str">
            <v/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 t="str">
            <v/>
          </cell>
          <cell r="BK998">
            <v>2100</v>
          </cell>
          <cell r="BL998" t="str">
            <v>0</v>
          </cell>
          <cell r="BM998" t="str">
            <v>1</v>
          </cell>
          <cell r="BN998" t="str">
            <v/>
          </cell>
          <cell r="BO998" t="str">
            <v/>
          </cell>
        </row>
        <row r="999">
          <cell r="A999">
            <v>1</v>
          </cell>
          <cell r="B999">
            <v>5004001</v>
          </cell>
          <cell r="C999" t="str">
            <v>SALAIRE ADM</v>
          </cell>
          <cell r="D999" t="str">
            <v>ALLOCATION AUTO</v>
          </cell>
          <cell r="E999" t="str">
            <v>O</v>
          </cell>
          <cell r="F999">
            <v>0</v>
          </cell>
          <cell r="G999">
            <v>0</v>
          </cell>
          <cell r="H999">
            <v>7228.44</v>
          </cell>
          <cell r="I999">
            <v>9260.9599999999991</v>
          </cell>
          <cell r="J999">
            <v>2032.52</v>
          </cell>
          <cell r="K999">
            <v>0</v>
          </cell>
          <cell r="L999">
            <v>590.24</v>
          </cell>
          <cell r="M999">
            <v>0</v>
          </cell>
          <cell r="N999">
            <v>621.04</v>
          </cell>
          <cell r="O999">
            <v>1562.08</v>
          </cell>
          <cell r="P999">
            <v>2414.12</v>
          </cell>
          <cell r="Q999">
            <v>3035.16</v>
          </cell>
          <cell r="R999">
            <v>3656.2</v>
          </cell>
          <cell r="S999">
            <v>4867.4799999999996</v>
          </cell>
          <cell r="T999">
            <v>5457.72</v>
          </cell>
          <cell r="U999">
            <v>5457.72</v>
          </cell>
          <cell r="V999">
            <v>6047.96</v>
          </cell>
          <cell r="W999">
            <v>7228.44</v>
          </cell>
          <cell r="X999">
            <v>7228.44</v>
          </cell>
          <cell r="Y999">
            <v>7818.68</v>
          </cell>
          <cell r="Z999">
            <v>0</v>
          </cell>
          <cell r="AA999">
            <v>971.84</v>
          </cell>
          <cell r="AB999">
            <v>1623.68</v>
          </cell>
          <cell r="AC999">
            <v>2275.52</v>
          </cell>
          <cell r="AD999">
            <v>3579.2</v>
          </cell>
          <cell r="AE999">
            <v>4200.24</v>
          </cell>
          <cell r="AF999">
            <v>4821.28</v>
          </cell>
          <cell r="AG999">
            <v>5442.32</v>
          </cell>
          <cell r="AH999">
            <v>5442.32</v>
          </cell>
          <cell r="AI999">
            <v>6684.4</v>
          </cell>
          <cell r="AJ999">
            <v>6684.4</v>
          </cell>
          <cell r="AK999">
            <v>7305.44</v>
          </cell>
          <cell r="AL999">
            <v>0</v>
          </cell>
          <cell r="AM999">
            <v>1</v>
          </cell>
          <cell r="AN999" t="str">
            <v/>
          </cell>
          <cell r="AO999">
            <v>0</v>
          </cell>
          <cell r="AP999">
            <v>0</v>
          </cell>
          <cell r="AQ999">
            <v>0</v>
          </cell>
          <cell r="AR999">
            <v>810</v>
          </cell>
          <cell r="AS999">
            <v>0</v>
          </cell>
          <cell r="AT999" t="str">
            <v/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 t="str">
            <v/>
          </cell>
          <cell r="BK999">
            <v>7200</v>
          </cell>
          <cell r="BL999" t="str">
            <v>0</v>
          </cell>
          <cell r="BM999" t="str">
            <v>1</v>
          </cell>
          <cell r="BN999" t="str">
            <v/>
          </cell>
          <cell r="BO999" t="str">
            <v/>
          </cell>
        </row>
        <row r="1000">
          <cell r="A1000">
            <v>1</v>
          </cell>
          <cell r="B1000">
            <v>2113025</v>
          </cell>
          <cell r="C1000" t="str">
            <v>C.A.P.</v>
          </cell>
          <cell r="D1000" t="str">
            <v>COURUS - RETOUR PALETTES</v>
          </cell>
          <cell r="E1000" t="str">
            <v>O</v>
          </cell>
          <cell r="F1000">
            <v>0</v>
          </cell>
          <cell r="G1000">
            <v>0</v>
          </cell>
          <cell r="H1000">
            <v>-700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700</v>
          </cell>
          <cell r="N1000">
            <v>-700</v>
          </cell>
          <cell r="O1000">
            <v>-700</v>
          </cell>
          <cell r="P1000">
            <v>-700</v>
          </cell>
          <cell r="Q1000">
            <v>-700</v>
          </cell>
          <cell r="R1000">
            <v>-700</v>
          </cell>
          <cell r="S1000">
            <v>-700</v>
          </cell>
          <cell r="T1000">
            <v>-700</v>
          </cell>
          <cell r="U1000">
            <v>-700</v>
          </cell>
          <cell r="V1000">
            <v>-700</v>
          </cell>
          <cell r="W1000">
            <v>-700</v>
          </cell>
          <cell r="X1000">
            <v>-700</v>
          </cell>
          <cell r="Y1000">
            <v>0</v>
          </cell>
          <cell r="Z1000">
            <v>-700</v>
          </cell>
          <cell r="AA1000">
            <v>-700</v>
          </cell>
          <cell r="AB1000">
            <v>-700</v>
          </cell>
          <cell r="AC1000">
            <v>-700</v>
          </cell>
          <cell r="AD1000">
            <v>-700</v>
          </cell>
          <cell r="AE1000">
            <v>-700</v>
          </cell>
          <cell r="AF1000">
            <v>-700</v>
          </cell>
          <cell r="AG1000">
            <v>-700</v>
          </cell>
          <cell r="AH1000">
            <v>-700</v>
          </cell>
          <cell r="AI1000">
            <v>-700</v>
          </cell>
          <cell r="AJ1000">
            <v>-700</v>
          </cell>
          <cell r="AK1000">
            <v>-700</v>
          </cell>
          <cell r="AL1000">
            <v>0</v>
          </cell>
          <cell r="AM1000">
            <v>5</v>
          </cell>
          <cell r="AN1000" t="str">
            <v/>
          </cell>
          <cell r="AO1000">
            <v>0</v>
          </cell>
          <cell r="AP1000">
            <v>0</v>
          </cell>
          <cell r="AQ1000">
            <v>0</v>
          </cell>
          <cell r="AR1000">
            <v>420</v>
          </cell>
          <cell r="AS1000">
            <v>0</v>
          </cell>
          <cell r="AT1000" t="str">
            <v/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 t="str">
            <v/>
          </cell>
          <cell r="BK1000">
            <v>2100</v>
          </cell>
          <cell r="BL1000" t="str">
            <v>0</v>
          </cell>
          <cell r="BM1000" t="str">
            <v>1</v>
          </cell>
          <cell r="BN1000" t="str">
            <v/>
          </cell>
          <cell r="BO1000" t="str">
            <v/>
          </cell>
        </row>
        <row r="1001">
          <cell r="A1001">
            <v>1</v>
          </cell>
          <cell r="B1001">
            <v>5005001</v>
          </cell>
          <cell r="C1001" t="str">
            <v>SALAIRE ADM</v>
          </cell>
          <cell r="D1001" t="str">
            <v>REUNION/COLLOQUE</v>
          </cell>
          <cell r="E1001" t="str">
            <v>O</v>
          </cell>
          <cell r="F1001">
            <v>0</v>
          </cell>
          <cell r="G1001">
            <v>0</v>
          </cell>
          <cell r="H1001">
            <v>8176.85</v>
          </cell>
          <cell r="I1001">
            <v>12127.9</v>
          </cell>
          <cell r="J1001">
            <v>3951.05</v>
          </cell>
          <cell r="K1001">
            <v>0</v>
          </cell>
          <cell r="L1001">
            <v>2445.9899999999998</v>
          </cell>
          <cell r="M1001">
            <v>0</v>
          </cell>
          <cell r="N1001">
            <v>3768.57</v>
          </cell>
          <cell r="O1001">
            <v>4087.62</v>
          </cell>
          <cell r="P1001">
            <v>4198.43</v>
          </cell>
          <cell r="Q1001">
            <v>4339.93</v>
          </cell>
          <cell r="R1001">
            <v>4339.93</v>
          </cell>
          <cell r="S1001">
            <v>4668.37</v>
          </cell>
          <cell r="T1001">
            <v>5168.37</v>
          </cell>
          <cell r="U1001">
            <v>5492.44</v>
          </cell>
          <cell r="V1001">
            <v>8040.66</v>
          </cell>
          <cell r="W1001">
            <v>8176.85</v>
          </cell>
          <cell r="X1001">
            <v>8176.85</v>
          </cell>
          <cell r="Y1001">
            <v>10622.84</v>
          </cell>
          <cell r="Z1001">
            <v>4577.29</v>
          </cell>
          <cell r="AA1001">
            <v>5096.08</v>
          </cell>
          <cell r="AB1001">
            <v>6390.71</v>
          </cell>
          <cell r="AC1001">
            <v>9972.2099999999991</v>
          </cell>
          <cell r="AD1001">
            <v>10526.3</v>
          </cell>
          <cell r="AE1001">
            <v>11634.26</v>
          </cell>
          <cell r="AF1001">
            <v>12273.78</v>
          </cell>
          <cell r="AG1001">
            <v>12273.78</v>
          </cell>
          <cell r="AH1001">
            <v>12611.99</v>
          </cell>
          <cell r="AI1001">
            <v>12778.01</v>
          </cell>
          <cell r="AJ1001">
            <v>13271.47</v>
          </cell>
          <cell r="AK1001">
            <v>14245.14</v>
          </cell>
          <cell r="AL1001">
            <v>0</v>
          </cell>
          <cell r="AM1001">
            <v>1</v>
          </cell>
          <cell r="AN1001" t="str">
            <v/>
          </cell>
          <cell r="AO1001">
            <v>0</v>
          </cell>
          <cell r="AP1001">
            <v>0</v>
          </cell>
          <cell r="AQ1001">
            <v>0</v>
          </cell>
          <cell r="AR1001">
            <v>810</v>
          </cell>
          <cell r="AS1001">
            <v>0</v>
          </cell>
          <cell r="AT1001" t="str">
            <v/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 t="str">
            <v/>
          </cell>
          <cell r="BK1001">
            <v>7200</v>
          </cell>
          <cell r="BL1001" t="str">
            <v>0</v>
          </cell>
          <cell r="BM1001" t="str">
            <v>1</v>
          </cell>
          <cell r="BN1001" t="str">
            <v/>
          </cell>
          <cell r="BO1001" t="str">
            <v/>
          </cell>
        </row>
        <row r="1002">
          <cell r="A1002">
            <v>1</v>
          </cell>
          <cell r="B1002">
            <v>4553991</v>
          </cell>
          <cell r="C1002" t="str">
            <v>MATERIEL ROULANT</v>
          </cell>
          <cell r="D1002" t="str">
            <v>ENT. CHARIOTS - GENERAL</v>
          </cell>
          <cell r="E1002" t="str">
            <v>O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1</v>
          </cell>
          <cell r="AN1002" t="str">
            <v/>
          </cell>
          <cell r="AO1002">
            <v>0</v>
          </cell>
          <cell r="AP1002">
            <v>0</v>
          </cell>
          <cell r="AQ1002">
            <v>0</v>
          </cell>
          <cell r="AR1002">
            <v>750</v>
          </cell>
          <cell r="AS1002">
            <v>0</v>
          </cell>
          <cell r="AT1002" t="str">
            <v/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 t="str">
            <v/>
          </cell>
          <cell r="BK1002">
            <v>7000</v>
          </cell>
          <cell r="BL1002" t="str">
            <v>0</v>
          </cell>
          <cell r="BM1002" t="str">
            <v>1</v>
          </cell>
          <cell r="BN1002" t="str">
            <v/>
          </cell>
          <cell r="BO1002" t="str">
            <v/>
          </cell>
        </row>
        <row r="1003">
          <cell r="A1003">
            <v>2</v>
          </cell>
          <cell r="B1003">
            <v>1330011</v>
          </cell>
          <cell r="C1003" t="str">
            <v>BRUN 10 TONNES</v>
          </cell>
          <cell r="D1003" t="str">
            <v>STOCK PREP CIVIL</v>
          </cell>
          <cell r="E1003" t="str">
            <v>N</v>
          </cell>
          <cell r="F1003">
            <v>0</v>
          </cell>
          <cell r="G1003">
            <v>0</v>
          </cell>
          <cell r="H1003">
            <v>433949.34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433949.34</v>
          </cell>
          <cell r="O1003">
            <v>433949.34</v>
          </cell>
          <cell r="P1003">
            <v>433949.34</v>
          </cell>
          <cell r="Q1003">
            <v>433949.34</v>
          </cell>
          <cell r="R1003">
            <v>433949.34</v>
          </cell>
          <cell r="S1003">
            <v>433949.34</v>
          </cell>
          <cell r="T1003">
            <v>433949.34</v>
          </cell>
          <cell r="U1003">
            <v>433949.34</v>
          </cell>
          <cell r="V1003">
            <v>433949.34</v>
          </cell>
          <cell r="W1003">
            <v>433949.34</v>
          </cell>
          <cell r="X1003">
            <v>433949.34</v>
          </cell>
          <cell r="Y1003">
            <v>433949.34</v>
          </cell>
          <cell r="Z1003">
            <v>433949.34</v>
          </cell>
          <cell r="AA1003">
            <v>433949.34</v>
          </cell>
          <cell r="AB1003">
            <v>433949.34</v>
          </cell>
          <cell r="AC1003">
            <v>433949.34</v>
          </cell>
          <cell r="AD1003">
            <v>433949.34</v>
          </cell>
          <cell r="AE1003">
            <v>433949.34</v>
          </cell>
          <cell r="AF1003">
            <v>433949.34</v>
          </cell>
          <cell r="AG1003">
            <v>433949.34</v>
          </cell>
          <cell r="AH1003">
            <v>433949.34</v>
          </cell>
          <cell r="AI1003">
            <v>433949.34</v>
          </cell>
          <cell r="AJ1003">
            <v>433949.34</v>
          </cell>
          <cell r="AK1003">
            <v>433949.34</v>
          </cell>
          <cell r="AL1003">
            <v>0</v>
          </cell>
          <cell r="AM1003">
            <v>1</v>
          </cell>
          <cell r="AN1003" t="str">
            <v/>
          </cell>
          <cell r="AO1003">
            <v>0</v>
          </cell>
          <cell r="AP1003">
            <v>0</v>
          </cell>
          <cell r="AQ1003">
            <v>0</v>
          </cell>
          <cell r="AR1003">
            <v>290</v>
          </cell>
          <cell r="AS1003">
            <v>0</v>
          </cell>
          <cell r="AT1003" t="str">
            <v/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240</v>
          </cell>
          <cell r="BJ1003" t="str">
            <v/>
          </cell>
          <cell r="BK1003">
            <v>1700</v>
          </cell>
          <cell r="BL1003" t="str">
            <v>1</v>
          </cell>
          <cell r="BM1003" t="str">
            <v>1</v>
          </cell>
          <cell r="BN1003" t="str">
            <v/>
          </cell>
          <cell r="BO1003" t="str">
            <v/>
          </cell>
        </row>
        <row r="1004">
          <cell r="A1004">
            <v>2</v>
          </cell>
          <cell r="B1004">
            <v>1330021</v>
          </cell>
          <cell r="C1004" t="str">
            <v>BRUN 100 TONNES</v>
          </cell>
          <cell r="D1004" t="str">
            <v>STOCK PREP MECANIQUE</v>
          </cell>
          <cell r="E1004" t="str">
            <v>N</v>
          </cell>
          <cell r="F1004">
            <v>0</v>
          </cell>
          <cell r="G1004">
            <v>0</v>
          </cell>
          <cell r="H1004">
            <v>1426470.29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1426470.29</v>
          </cell>
          <cell r="O1004">
            <v>1426470.29</v>
          </cell>
          <cell r="P1004">
            <v>1426470.29</v>
          </cell>
          <cell r="Q1004">
            <v>1426470.29</v>
          </cell>
          <cell r="R1004">
            <v>1426470.29</v>
          </cell>
          <cell r="S1004">
            <v>1426470.29</v>
          </cell>
          <cell r="T1004">
            <v>1426470.29</v>
          </cell>
          <cell r="U1004">
            <v>1426470.29</v>
          </cell>
          <cell r="V1004">
            <v>1426470.29</v>
          </cell>
          <cell r="W1004">
            <v>1426470.29</v>
          </cell>
          <cell r="X1004">
            <v>1426470.29</v>
          </cell>
          <cell r="Y1004">
            <v>1426470.29</v>
          </cell>
          <cell r="Z1004">
            <v>1426470.29</v>
          </cell>
          <cell r="AA1004">
            <v>1426470.29</v>
          </cell>
          <cell r="AB1004">
            <v>1426470.29</v>
          </cell>
          <cell r="AC1004">
            <v>1426470.29</v>
          </cell>
          <cell r="AD1004">
            <v>1426470.29</v>
          </cell>
          <cell r="AE1004">
            <v>1426470.29</v>
          </cell>
          <cell r="AF1004">
            <v>1426470.29</v>
          </cell>
          <cell r="AG1004">
            <v>1426470.29</v>
          </cell>
          <cell r="AH1004">
            <v>1426470.29</v>
          </cell>
          <cell r="AI1004">
            <v>1426470.29</v>
          </cell>
          <cell r="AJ1004">
            <v>1426470.29</v>
          </cell>
          <cell r="AK1004">
            <v>1426470.29</v>
          </cell>
          <cell r="AL1004">
            <v>0</v>
          </cell>
          <cell r="AM1004">
            <v>1</v>
          </cell>
          <cell r="AN1004" t="str">
            <v/>
          </cell>
          <cell r="AO1004">
            <v>0</v>
          </cell>
          <cell r="AP1004">
            <v>0</v>
          </cell>
          <cell r="AQ1004">
            <v>0</v>
          </cell>
          <cell r="AR1004">
            <v>290</v>
          </cell>
          <cell r="AS1004">
            <v>0</v>
          </cell>
          <cell r="AT1004" t="str">
            <v/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240</v>
          </cell>
          <cell r="BJ1004" t="str">
            <v/>
          </cell>
          <cell r="BK1004">
            <v>1700</v>
          </cell>
          <cell r="BL1004" t="str">
            <v>1</v>
          </cell>
          <cell r="BM1004" t="str">
            <v>1</v>
          </cell>
          <cell r="BN1004" t="str">
            <v/>
          </cell>
          <cell r="BO1004" t="str">
            <v/>
          </cell>
        </row>
        <row r="1005">
          <cell r="A1005">
            <v>2</v>
          </cell>
          <cell r="B1005">
            <v>1330031</v>
          </cell>
          <cell r="C1005" t="str">
            <v>BRUN 100 TONNES</v>
          </cell>
          <cell r="D1005" t="str">
            <v>STOCK PREP INSTRUMENT</v>
          </cell>
          <cell r="E1005" t="str">
            <v>N</v>
          </cell>
          <cell r="F1005">
            <v>0</v>
          </cell>
          <cell r="G1005">
            <v>0</v>
          </cell>
          <cell r="H1005">
            <v>441315.45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441315.45</v>
          </cell>
          <cell r="O1005">
            <v>441315.45</v>
          </cell>
          <cell r="P1005">
            <v>441315.45</v>
          </cell>
          <cell r="Q1005">
            <v>441315.45</v>
          </cell>
          <cell r="R1005">
            <v>441315.45</v>
          </cell>
          <cell r="S1005">
            <v>441315.45</v>
          </cell>
          <cell r="T1005">
            <v>441315.45</v>
          </cell>
          <cell r="U1005">
            <v>441315.45</v>
          </cell>
          <cell r="V1005">
            <v>441315.45</v>
          </cell>
          <cell r="W1005">
            <v>441315.45</v>
          </cell>
          <cell r="X1005">
            <v>441315.45</v>
          </cell>
          <cell r="Y1005">
            <v>441315.45</v>
          </cell>
          <cell r="Z1005">
            <v>441315.45</v>
          </cell>
          <cell r="AA1005">
            <v>441315.45</v>
          </cell>
          <cell r="AB1005">
            <v>441315.45</v>
          </cell>
          <cell r="AC1005">
            <v>441315.45</v>
          </cell>
          <cell r="AD1005">
            <v>441315.45</v>
          </cell>
          <cell r="AE1005">
            <v>441315.45</v>
          </cell>
          <cell r="AF1005">
            <v>441315.45</v>
          </cell>
          <cell r="AG1005">
            <v>441315.45</v>
          </cell>
          <cell r="AH1005">
            <v>441315.45</v>
          </cell>
          <cell r="AI1005">
            <v>441315.45</v>
          </cell>
          <cell r="AJ1005">
            <v>441315.45</v>
          </cell>
          <cell r="AK1005">
            <v>441315.45</v>
          </cell>
          <cell r="AL1005">
            <v>0</v>
          </cell>
          <cell r="AM1005">
            <v>1</v>
          </cell>
          <cell r="AN1005" t="str">
            <v/>
          </cell>
          <cell r="AO1005">
            <v>0</v>
          </cell>
          <cell r="AP1005">
            <v>0</v>
          </cell>
          <cell r="AQ1005">
            <v>0</v>
          </cell>
          <cell r="AR1005">
            <v>290</v>
          </cell>
          <cell r="AS1005">
            <v>0</v>
          </cell>
          <cell r="AT1005" t="str">
            <v/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240</v>
          </cell>
          <cell r="BJ1005" t="str">
            <v/>
          </cell>
          <cell r="BK1005">
            <v>1700</v>
          </cell>
          <cell r="BL1005" t="str">
            <v>1</v>
          </cell>
          <cell r="BM1005" t="str">
            <v>1</v>
          </cell>
          <cell r="BN1005" t="str">
            <v/>
          </cell>
          <cell r="BO1005" t="str">
            <v/>
          </cell>
        </row>
        <row r="1006">
          <cell r="A1006">
            <v>2</v>
          </cell>
          <cell r="B1006">
            <v>1330041</v>
          </cell>
          <cell r="C1006" t="str">
            <v>BRUN 100 TONNES</v>
          </cell>
          <cell r="D1006" t="str">
            <v>STOCK PREP ELECTRIQUE</v>
          </cell>
          <cell r="E1006" t="str">
            <v>N</v>
          </cell>
          <cell r="F1006">
            <v>0</v>
          </cell>
          <cell r="G1006">
            <v>0</v>
          </cell>
          <cell r="H1006">
            <v>988156.82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988156.82</v>
          </cell>
          <cell r="O1006">
            <v>988156.82</v>
          </cell>
          <cell r="P1006">
            <v>988156.82</v>
          </cell>
          <cell r="Q1006">
            <v>988156.82</v>
          </cell>
          <cell r="R1006">
            <v>988156.82</v>
          </cell>
          <cell r="S1006">
            <v>988156.82</v>
          </cell>
          <cell r="T1006">
            <v>988156.82</v>
          </cell>
          <cell r="U1006">
            <v>988156.82</v>
          </cell>
          <cell r="V1006">
            <v>988156.82</v>
          </cell>
          <cell r="W1006">
            <v>988156.82</v>
          </cell>
          <cell r="X1006">
            <v>988156.82</v>
          </cell>
          <cell r="Y1006">
            <v>988156.82</v>
          </cell>
          <cell r="Z1006">
            <v>988156.82</v>
          </cell>
          <cell r="AA1006">
            <v>988156.82</v>
          </cell>
          <cell r="AB1006">
            <v>988156.82</v>
          </cell>
          <cell r="AC1006">
            <v>988156.82</v>
          </cell>
          <cell r="AD1006">
            <v>988156.82</v>
          </cell>
          <cell r="AE1006">
            <v>988156.82</v>
          </cell>
          <cell r="AF1006">
            <v>988156.82</v>
          </cell>
          <cell r="AG1006">
            <v>988156.82</v>
          </cell>
          <cell r="AH1006">
            <v>988156.82</v>
          </cell>
          <cell r="AI1006">
            <v>988156.82</v>
          </cell>
          <cell r="AJ1006">
            <v>988156.82</v>
          </cell>
          <cell r="AK1006">
            <v>988156.82</v>
          </cell>
          <cell r="AL1006">
            <v>0</v>
          </cell>
          <cell r="AM1006">
            <v>1</v>
          </cell>
          <cell r="AN1006" t="str">
            <v/>
          </cell>
          <cell r="AO1006">
            <v>0</v>
          </cell>
          <cell r="AP1006">
            <v>0</v>
          </cell>
          <cell r="AQ1006">
            <v>0</v>
          </cell>
          <cell r="AR1006">
            <v>290</v>
          </cell>
          <cell r="AS1006">
            <v>0</v>
          </cell>
          <cell r="AT1006" t="str">
            <v/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240</v>
          </cell>
          <cell r="BJ1006" t="str">
            <v/>
          </cell>
          <cell r="BK1006">
            <v>1700</v>
          </cell>
          <cell r="BL1006" t="str">
            <v>1</v>
          </cell>
          <cell r="BM1006" t="str">
            <v>1</v>
          </cell>
          <cell r="BN1006" t="str">
            <v/>
          </cell>
          <cell r="BO1006" t="str">
            <v/>
          </cell>
        </row>
        <row r="1007">
          <cell r="A1007">
            <v>1</v>
          </cell>
          <cell r="B1007">
            <v>1332360</v>
          </cell>
          <cell r="C1007" t="str">
            <v>COMPACTEURS</v>
          </cell>
          <cell r="D1007" t="str">
            <v/>
          </cell>
          <cell r="E1007" t="str">
            <v>N</v>
          </cell>
          <cell r="F1007">
            <v>0</v>
          </cell>
          <cell r="G1007">
            <v>0</v>
          </cell>
          <cell r="H1007">
            <v>51275.38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51275.38</v>
          </cell>
          <cell r="O1007">
            <v>51275.38</v>
          </cell>
          <cell r="P1007">
            <v>51275.38</v>
          </cell>
          <cell r="Q1007">
            <v>51275.38</v>
          </cell>
          <cell r="R1007">
            <v>51275.38</v>
          </cell>
          <cell r="S1007">
            <v>51275.38</v>
          </cell>
          <cell r="T1007">
            <v>51275.38</v>
          </cell>
          <cell r="U1007">
            <v>51275.38</v>
          </cell>
          <cell r="V1007">
            <v>51275.38</v>
          </cell>
          <cell r="W1007">
            <v>51275.38</v>
          </cell>
          <cell r="X1007">
            <v>51275.38</v>
          </cell>
          <cell r="Y1007">
            <v>51275.38</v>
          </cell>
          <cell r="Z1007">
            <v>51275.38</v>
          </cell>
          <cell r="AA1007">
            <v>51275.38</v>
          </cell>
          <cell r="AB1007">
            <v>51275.38</v>
          </cell>
          <cell r="AC1007">
            <v>51275.38</v>
          </cell>
          <cell r="AD1007">
            <v>51275.38</v>
          </cell>
          <cell r="AE1007">
            <v>51275.38</v>
          </cell>
          <cell r="AF1007">
            <v>51275.38</v>
          </cell>
          <cell r="AG1007">
            <v>51275.38</v>
          </cell>
          <cell r="AH1007">
            <v>51275.38</v>
          </cell>
          <cell r="AI1007">
            <v>51275.38</v>
          </cell>
          <cell r="AJ1007">
            <v>51275.38</v>
          </cell>
          <cell r="AK1007">
            <v>51275.38</v>
          </cell>
          <cell r="AL1007">
            <v>0</v>
          </cell>
          <cell r="AM1007">
            <v>0</v>
          </cell>
          <cell r="AN1007" t="str">
            <v/>
          </cell>
          <cell r="AO1007">
            <v>0</v>
          </cell>
          <cell r="AP1007">
            <v>0</v>
          </cell>
          <cell r="AQ1007">
            <v>0</v>
          </cell>
          <cell r="AR1007">
            <v>290</v>
          </cell>
          <cell r="AS1007">
            <v>0</v>
          </cell>
          <cell r="AT1007" t="str">
            <v/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240</v>
          </cell>
          <cell r="BJ1007" t="str">
            <v/>
          </cell>
          <cell r="BK1007">
            <v>1700</v>
          </cell>
          <cell r="BL1007" t="str">
            <v>1</v>
          </cell>
          <cell r="BM1007" t="str">
            <v>1</v>
          </cell>
          <cell r="BN1007" t="str">
            <v/>
          </cell>
          <cell r="BO1007" t="str">
            <v/>
          </cell>
        </row>
        <row r="1008">
          <cell r="A1008">
            <v>1</v>
          </cell>
          <cell r="B1008">
            <v>1332390</v>
          </cell>
          <cell r="C1008" t="str">
            <v>CAMION</v>
          </cell>
          <cell r="D1008" t="str">
            <v/>
          </cell>
          <cell r="E1008" t="str">
            <v>N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 t="str">
            <v/>
          </cell>
          <cell r="AO1008">
            <v>0</v>
          </cell>
          <cell r="AP1008">
            <v>0</v>
          </cell>
          <cell r="AQ1008">
            <v>0</v>
          </cell>
          <cell r="AR1008">
            <v>290</v>
          </cell>
          <cell r="AS1008">
            <v>0</v>
          </cell>
          <cell r="AT1008" t="str">
            <v/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240</v>
          </cell>
          <cell r="BJ1008" t="str">
            <v/>
          </cell>
          <cell r="BK1008">
            <v>1700</v>
          </cell>
          <cell r="BL1008" t="str">
            <v>1</v>
          </cell>
          <cell r="BM1008" t="str">
            <v>1</v>
          </cell>
          <cell r="BN1008" t="str">
            <v/>
          </cell>
          <cell r="BO1008" t="str">
            <v/>
          </cell>
        </row>
        <row r="1009">
          <cell r="A1009">
            <v>1</v>
          </cell>
          <cell r="B1009">
            <v>1339022</v>
          </cell>
          <cell r="C1009" t="str">
            <v>DIVERS SERVIETTES</v>
          </cell>
          <cell r="D1009" t="str">
            <v/>
          </cell>
          <cell r="E1009" t="str">
            <v>N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2</v>
          </cell>
          <cell r="AN1009" t="str">
            <v/>
          </cell>
          <cell r="AO1009">
            <v>0</v>
          </cell>
          <cell r="AP1009">
            <v>0</v>
          </cell>
          <cell r="AQ1009">
            <v>0</v>
          </cell>
          <cell r="AR1009">
            <v>290</v>
          </cell>
          <cell r="AS1009">
            <v>0</v>
          </cell>
          <cell r="AT1009" t="str">
            <v/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240</v>
          </cell>
          <cell r="BJ1009" t="str">
            <v/>
          </cell>
          <cell r="BK1009">
            <v>1700</v>
          </cell>
          <cell r="BL1009" t="str">
            <v>1</v>
          </cell>
          <cell r="BM1009" t="str">
            <v>1</v>
          </cell>
          <cell r="BN1009" t="str">
            <v/>
          </cell>
          <cell r="BO1009" t="str">
            <v/>
          </cell>
        </row>
        <row r="1010">
          <cell r="A1010">
            <v>1</v>
          </cell>
          <cell r="B1010">
            <v>4592021</v>
          </cell>
          <cell r="C1010" t="str">
            <v>ENTRETIEN BATIMENT</v>
          </cell>
          <cell r="D1010" t="str">
            <v>ENTRETIEN TOIT</v>
          </cell>
          <cell r="E1010" t="str">
            <v>O</v>
          </cell>
          <cell r="F1010">
            <v>0</v>
          </cell>
          <cell r="G1010">
            <v>0</v>
          </cell>
          <cell r="H1010">
            <v>154954.91</v>
          </cell>
          <cell r="I1010">
            <v>554954.91</v>
          </cell>
          <cell r="J1010">
            <v>400000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146000</v>
          </cell>
          <cell r="V1010">
            <v>146000</v>
          </cell>
          <cell r="W1010">
            <v>149060.99</v>
          </cell>
          <cell r="X1010">
            <v>154954.91</v>
          </cell>
          <cell r="Y1010">
            <v>154954.91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114185.96</v>
          </cell>
          <cell r="AJ1010">
            <v>114185.96</v>
          </cell>
          <cell r="AK1010">
            <v>114185.96</v>
          </cell>
          <cell r="AL1010">
            <v>0</v>
          </cell>
          <cell r="AM1010">
            <v>1</v>
          </cell>
          <cell r="AN1010" t="str">
            <v/>
          </cell>
          <cell r="AO1010">
            <v>0</v>
          </cell>
          <cell r="AP1010">
            <v>0</v>
          </cell>
          <cell r="AQ1010">
            <v>0</v>
          </cell>
          <cell r="AR1010">
            <v>710</v>
          </cell>
          <cell r="AS1010">
            <v>0</v>
          </cell>
          <cell r="AT1010" t="str">
            <v/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 t="str">
            <v/>
          </cell>
          <cell r="BK1010">
            <v>7000</v>
          </cell>
          <cell r="BL1010" t="str">
            <v>0</v>
          </cell>
          <cell r="BM1010" t="str">
            <v>1</v>
          </cell>
          <cell r="BN1010" t="str">
            <v/>
          </cell>
          <cell r="BO1010" t="str">
            <v/>
          </cell>
        </row>
        <row r="1011">
          <cell r="A1011">
            <v>1</v>
          </cell>
          <cell r="B1011">
            <v>4592031</v>
          </cell>
          <cell r="C1011" t="str">
            <v>ENTRETIEN BATIMENT</v>
          </cell>
          <cell r="D1011" t="str">
            <v>COMPRESSEUR SULLAIR</v>
          </cell>
          <cell r="E1011" t="str">
            <v>O</v>
          </cell>
          <cell r="F1011">
            <v>0</v>
          </cell>
          <cell r="G1011">
            <v>0</v>
          </cell>
          <cell r="H1011">
            <v>16168.08</v>
          </cell>
          <cell r="I1011">
            <v>16351.54</v>
          </cell>
          <cell r="J1011">
            <v>183.46</v>
          </cell>
          <cell r="K1011">
            <v>0</v>
          </cell>
          <cell r="L1011">
            <v>2964.33</v>
          </cell>
          <cell r="M1011">
            <v>2980.76</v>
          </cell>
          <cell r="N1011">
            <v>679.31</v>
          </cell>
          <cell r="O1011">
            <v>978.22</v>
          </cell>
          <cell r="P1011">
            <v>1332.54</v>
          </cell>
          <cell r="Q1011">
            <v>2879.64</v>
          </cell>
          <cell r="R1011">
            <v>4571.45</v>
          </cell>
          <cell r="S1011">
            <v>5270.55</v>
          </cell>
          <cell r="T1011">
            <v>7093.58</v>
          </cell>
          <cell r="U1011">
            <v>9553.31</v>
          </cell>
          <cell r="V1011">
            <v>12357.42</v>
          </cell>
          <cell r="W1011">
            <v>13187.32</v>
          </cell>
          <cell r="X1011">
            <v>16168.08</v>
          </cell>
          <cell r="Y1011">
            <v>16151.65</v>
          </cell>
          <cell r="Z1011">
            <v>5372.34</v>
          </cell>
          <cell r="AA1011">
            <v>10836.85</v>
          </cell>
          <cell r="AB1011">
            <v>31022.29</v>
          </cell>
          <cell r="AC1011">
            <v>39018.89</v>
          </cell>
          <cell r="AD1011">
            <v>46757.24</v>
          </cell>
          <cell r="AE1011">
            <v>52105.03</v>
          </cell>
          <cell r="AF1011">
            <v>60038.52</v>
          </cell>
          <cell r="AG1011">
            <v>77626.78</v>
          </cell>
          <cell r="AH1011">
            <v>80561.58</v>
          </cell>
          <cell r="AI1011">
            <v>83361.09</v>
          </cell>
          <cell r="AJ1011">
            <v>84540.75</v>
          </cell>
          <cell r="AK1011">
            <v>85184.06</v>
          </cell>
          <cell r="AL1011">
            <v>0</v>
          </cell>
          <cell r="AM1011">
            <v>1</v>
          </cell>
          <cell r="AN1011" t="str">
            <v/>
          </cell>
          <cell r="AO1011">
            <v>0</v>
          </cell>
          <cell r="AP1011">
            <v>0</v>
          </cell>
          <cell r="AQ1011">
            <v>0</v>
          </cell>
          <cell r="AR1011">
            <v>710</v>
          </cell>
          <cell r="AS1011">
            <v>0</v>
          </cell>
          <cell r="AT1011" t="str">
            <v/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 t="str">
            <v/>
          </cell>
          <cell r="BK1011">
            <v>7000</v>
          </cell>
          <cell r="BL1011" t="str">
            <v>0</v>
          </cell>
          <cell r="BM1011" t="str">
            <v>1</v>
          </cell>
          <cell r="BN1011" t="str">
            <v/>
          </cell>
          <cell r="BO1011" t="str">
            <v/>
          </cell>
        </row>
        <row r="1012">
          <cell r="A1012">
            <v>1</v>
          </cell>
          <cell r="B1012">
            <v>4221321</v>
          </cell>
          <cell r="C1012" t="str">
            <v>MATIERE PREMIERE   ACHATS</v>
          </cell>
          <cell r="D1012" t="str">
            <v>WHITE LEDGER   - GRADE#40</v>
          </cell>
          <cell r="E1012" t="str">
            <v>O</v>
          </cell>
          <cell r="F1012">
            <v>0</v>
          </cell>
          <cell r="G1012">
            <v>0</v>
          </cell>
          <cell r="H1012">
            <v>700512.65</v>
          </cell>
          <cell r="I1012">
            <v>992259.04</v>
          </cell>
          <cell r="J1012">
            <v>291746.39</v>
          </cell>
          <cell r="K1012">
            <v>0</v>
          </cell>
          <cell r="L1012">
            <v>50091.41</v>
          </cell>
          <cell r="M1012">
            <v>7252.5</v>
          </cell>
          <cell r="N1012">
            <v>79303.83</v>
          </cell>
          <cell r="O1012">
            <v>160534.14000000001</v>
          </cell>
          <cell r="P1012">
            <v>217723.41</v>
          </cell>
          <cell r="Q1012">
            <v>323954.09000000003</v>
          </cell>
          <cell r="R1012">
            <v>416349.08</v>
          </cell>
          <cell r="S1012">
            <v>508000.54</v>
          </cell>
          <cell r="T1012">
            <v>586158.11</v>
          </cell>
          <cell r="U1012">
            <v>617659.92000000004</v>
          </cell>
          <cell r="V1012">
            <v>634264.47</v>
          </cell>
          <cell r="W1012">
            <v>660056.68000000005</v>
          </cell>
          <cell r="X1012">
            <v>700512.65</v>
          </cell>
          <cell r="Y1012">
            <v>743351.56</v>
          </cell>
          <cell r="Z1012">
            <v>26935.11</v>
          </cell>
          <cell r="AA1012">
            <v>60803.46</v>
          </cell>
          <cell r="AB1012">
            <v>109856.03</v>
          </cell>
          <cell r="AC1012">
            <v>138017.14000000001</v>
          </cell>
          <cell r="AD1012">
            <v>182575.78</v>
          </cell>
          <cell r="AE1012">
            <v>220333.83</v>
          </cell>
          <cell r="AF1012">
            <v>246581.69</v>
          </cell>
          <cell r="AG1012">
            <v>281478.28999999998</v>
          </cell>
          <cell r="AH1012">
            <v>333649.15999999997</v>
          </cell>
          <cell r="AI1012">
            <v>375844.41</v>
          </cell>
          <cell r="AJ1012">
            <v>421210.89</v>
          </cell>
          <cell r="AK1012">
            <v>488103.1</v>
          </cell>
          <cell r="AL1012">
            <v>0</v>
          </cell>
          <cell r="AM1012">
            <v>1</v>
          </cell>
          <cell r="AN1012" t="str">
            <v/>
          </cell>
          <cell r="AO1012">
            <v>0</v>
          </cell>
          <cell r="AP1012">
            <v>0</v>
          </cell>
          <cell r="AQ1012">
            <v>0</v>
          </cell>
          <cell r="AR1012">
            <v>660</v>
          </cell>
          <cell r="AS1012">
            <v>0</v>
          </cell>
          <cell r="AT1012" t="str">
            <v/>
          </cell>
          <cell r="AU1012">
            <v>1321</v>
          </cell>
          <cell r="AV1012">
            <v>0</v>
          </cell>
          <cell r="AW1012">
            <v>162.28</v>
          </cell>
          <cell r="AX1012">
            <v>0</v>
          </cell>
          <cell r="AY1012">
            <v>0</v>
          </cell>
          <cell r="AZ1012">
            <v>155.46</v>
          </cell>
          <cell r="BA1012">
            <v>0</v>
          </cell>
          <cell r="BB1012">
            <v>0</v>
          </cell>
          <cell r="BC1012">
            <v>1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 t="str">
            <v/>
          </cell>
          <cell r="BK1012">
            <v>5100</v>
          </cell>
          <cell r="BL1012" t="str">
            <v>0</v>
          </cell>
          <cell r="BM1012" t="str">
            <v>1</v>
          </cell>
          <cell r="BN1012" t="str">
            <v/>
          </cell>
          <cell r="BO1012" t="str">
            <v/>
          </cell>
        </row>
        <row r="1013">
          <cell r="A1013">
            <v>1</v>
          </cell>
          <cell r="B1013">
            <v>4243321</v>
          </cell>
          <cell r="C1013" t="str">
            <v>ENVIRONNEMENT</v>
          </cell>
          <cell r="D1013" t="str">
            <v>SENTINEL 828 ANTI MOUSSE</v>
          </cell>
          <cell r="E1013" t="str">
            <v>O</v>
          </cell>
          <cell r="F1013">
            <v>0</v>
          </cell>
          <cell r="G1013">
            <v>0</v>
          </cell>
          <cell r="H1013">
            <v>38512.449999999997</v>
          </cell>
          <cell r="I1013">
            <v>82257.25</v>
          </cell>
          <cell r="J1013">
            <v>43744.800000000003</v>
          </cell>
          <cell r="K1013">
            <v>0</v>
          </cell>
          <cell r="L1013">
            <v>7313</v>
          </cell>
          <cell r="M1013">
            <v>5478</v>
          </cell>
          <cell r="N1013">
            <v>2148.3000000000002</v>
          </cell>
          <cell r="O1013">
            <v>4445.1000000000004</v>
          </cell>
          <cell r="P1013">
            <v>7507.5</v>
          </cell>
          <cell r="Q1013">
            <v>10279.5</v>
          </cell>
          <cell r="R1013">
            <v>14133.9</v>
          </cell>
          <cell r="S1013">
            <v>18199.5</v>
          </cell>
          <cell r="T1013">
            <v>21974.7</v>
          </cell>
          <cell r="U1013">
            <v>28375.05</v>
          </cell>
          <cell r="V1013">
            <v>32071.05</v>
          </cell>
          <cell r="W1013">
            <v>35582.449999999997</v>
          </cell>
          <cell r="X1013">
            <v>38512.449999999997</v>
          </cell>
          <cell r="Y1013">
            <v>40347.449999999997</v>
          </cell>
          <cell r="Z1013">
            <v>4410</v>
          </cell>
          <cell r="AA1013">
            <v>7021.36</v>
          </cell>
          <cell r="AB1013">
            <v>11339.76</v>
          </cell>
          <cell r="AC1013">
            <v>17697.560000000001</v>
          </cell>
          <cell r="AD1013">
            <v>21344.36</v>
          </cell>
          <cell r="AE1013">
            <v>23997.360000000001</v>
          </cell>
          <cell r="AF1013">
            <v>23682.76</v>
          </cell>
          <cell r="AG1013">
            <v>33296.76</v>
          </cell>
          <cell r="AH1013">
            <v>39170.76</v>
          </cell>
          <cell r="AI1013">
            <v>43764.36</v>
          </cell>
          <cell r="AJ1013">
            <v>46769.01</v>
          </cell>
          <cell r="AK1013">
            <v>48229.26</v>
          </cell>
          <cell r="AL1013">
            <v>0</v>
          </cell>
          <cell r="AM1013">
            <v>1</v>
          </cell>
          <cell r="AN1013" t="str">
            <v/>
          </cell>
          <cell r="AO1013">
            <v>0</v>
          </cell>
          <cell r="AP1013">
            <v>0</v>
          </cell>
          <cell r="AQ1013">
            <v>0</v>
          </cell>
          <cell r="AR1013">
            <v>740</v>
          </cell>
          <cell r="AS1013">
            <v>0</v>
          </cell>
          <cell r="AT1013" t="str">
            <v/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1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 t="str">
            <v/>
          </cell>
          <cell r="BK1013">
            <v>6300</v>
          </cell>
          <cell r="BL1013" t="str">
            <v>0</v>
          </cell>
          <cell r="BM1013" t="str">
            <v>1</v>
          </cell>
          <cell r="BN1013" t="str">
            <v/>
          </cell>
          <cell r="BO1013" t="str">
            <v/>
          </cell>
        </row>
        <row r="1014">
          <cell r="A1014">
            <v>1</v>
          </cell>
          <cell r="B1014">
            <v>4313311</v>
          </cell>
          <cell r="C1014" t="str">
            <v>CHIMIQUES           CYTEC</v>
          </cell>
          <cell r="D1014" t="str">
            <v>PAREZ 631 NC 10%</v>
          </cell>
          <cell r="E1014" t="str">
            <v>O</v>
          </cell>
          <cell r="F1014">
            <v>0</v>
          </cell>
          <cell r="G1014">
            <v>0</v>
          </cell>
          <cell r="H1014">
            <v>300875.81</v>
          </cell>
          <cell r="I1014">
            <v>521259.88</v>
          </cell>
          <cell r="J1014">
            <v>220384.07</v>
          </cell>
          <cell r="K1014">
            <v>0</v>
          </cell>
          <cell r="L1014">
            <v>72808.399999999994</v>
          </cell>
          <cell r="M1014">
            <v>38558.300000000003</v>
          </cell>
          <cell r="N1014">
            <v>16571.45</v>
          </cell>
          <cell r="O1014">
            <v>45941.71</v>
          </cell>
          <cell r="P1014">
            <v>72737.17</v>
          </cell>
          <cell r="Q1014">
            <v>101191.27</v>
          </cell>
          <cell r="R1014">
            <v>138646.34</v>
          </cell>
          <cell r="S1014">
            <v>167936.06</v>
          </cell>
          <cell r="T1014">
            <v>196791.91</v>
          </cell>
          <cell r="U1014">
            <v>217663.58</v>
          </cell>
          <cell r="V1014">
            <v>244008.12</v>
          </cell>
          <cell r="W1014">
            <v>274225.15999999997</v>
          </cell>
          <cell r="X1014">
            <v>300875.81</v>
          </cell>
          <cell r="Y1014">
            <v>335125.90999999997</v>
          </cell>
          <cell r="Z1014">
            <v>20918.71</v>
          </cell>
          <cell r="AA1014">
            <v>39589.43</v>
          </cell>
          <cell r="AB1014">
            <v>67486.37</v>
          </cell>
          <cell r="AC1014">
            <v>90374.77</v>
          </cell>
          <cell r="AD1014">
            <v>121964.95</v>
          </cell>
          <cell r="AE1014">
            <v>148929.94</v>
          </cell>
          <cell r="AF1014">
            <v>174717.87</v>
          </cell>
          <cell r="AG1014">
            <v>205929.55</v>
          </cell>
          <cell r="AH1014">
            <v>226910.45</v>
          </cell>
          <cell r="AI1014">
            <v>248458.29</v>
          </cell>
          <cell r="AJ1014">
            <v>274127.77</v>
          </cell>
          <cell r="AK1014">
            <v>291168.34000000003</v>
          </cell>
          <cell r="AL1014">
            <v>0</v>
          </cell>
          <cell r="AM1014">
            <v>1</v>
          </cell>
          <cell r="AN1014" t="str">
            <v/>
          </cell>
          <cell r="AO1014">
            <v>0</v>
          </cell>
          <cell r="AP1014">
            <v>0</v>
          </cell>
          <cell r="AQ1014">
            <v>0</v>
          </cell>
          <cell r="AR1014">
            <v>660</v>
          </cell>
          <cell r="AS1014">
            <v>0</v>
          </cell>
          <cell r="AT1014" t="str">
            <v/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1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 t="str">
            <v/>
          </cell>
          <cell r="BK1014">
            <v>6200</v>
          </cell>
          <cell r="BL1014" t="str">
            <v>0</v>
          </cell>
          <cell r="BM1014" t="str">
            <v>1</v>
          </cell>
          <cell r="BN1014" t="str">
            <v/>
          </cell>
          <cell r="BO1014" t="str">
            <v/>
          </cell>
        </row>
        <row r="1015">
          <cell r="A1015">
            <v>1</v>
          </cell>
          <cell r="B1015">
            <v>4313291</v>
          </cell>
          <cell r="C1015" t="str">
            <v>CHIMIQUES          BORDEN</v>
          </cell>
          <cell r="D1015" t="str">
            <v>CASCAMIDE C470 12.5%</v>
          </cell>
          <cell r="E1015" t="str">
            <v>O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1</v>
          </cell>
          <cell r="AN1015" t="str">
            <v/>
          </cell>
          <cell r="AO1015">
            <v>0</v>
          </cell>
          <cell r="AP1015">
            <v>0</v>
          </cell>
          <cell r="AQ1015">
            <v>0</v>
          </cell>
          <cell r="AR1015">
            <v>660</v>
          </cell>
          <cell r="AS1015">
            <v>0</v>
          </cell>
          <cell r="AT1015" t="str">
            <v/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1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 t="str">
            <v/>
          </cell>
          <cell r="BK1015">
            <v>6200</v>
          </cell>
          <cell r="BL1015" t="str">
            <v>0</v>
          </cell>
          <cell r="BM1015" t="str">
            <v>1</v>
          </cell>
          <cell r="BN1015" t="str">
            <v/>
          </cell>
          <cell r="BO1015" t="str">
            <v/>
          </cell>
        </row>
        <row r="1016">
          <cell r="A1016">
            <v>1</v>
          </cell>
          <cell r="B1016">
            <v>5001011</v>
          </cell>
          <cell r="C1016" t="str">
            <v>SALAIRE ADM</v>
          </cell>
          <cell r="D1016" t="str">
            <v>ASSURANCE AETNA</v>
          </cell>
          <cell r="E1016" t="str">
            <v>O</v>
          </cell>
          <cell r="F1016">
            <v>0</v>
          </cell>
          <cell r="G1016">
            <v>0</v>
          </cell>
          <cell r="H1016">
            <v>114690.47</v>
          </cell>
          <cell r="I1016">
            <v>185821.7</v>
          </cell>
          <cell r="J1016">
            <v>71131.23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3735.7</v>
          </cell>
          <cell r="Q1016">
            <v>28735.7</v>
          </cell>
          <cell r="R1016">
            <v>28735.7</v>
          </cell>
          <cell r="S1016">
            <v>28735.7</v>
          </cell>
          <cell r="T1016">
            <v>28735.7</v>
          </cell>
          <cell r="U1016">
            <v>28735.7</v>
          </cell>
          <cell r="V1016">
            <v>99866.93</v>
          </cell>
          <cell r="W1016">
            <v>99866.93</v>
          </cell>
          <cell r="X1016">
            <v>114690.47</v>
          </cell>
          <cell r="Y1016">
            <v>114690.47</v>
          </cell>
          <cell r="Z1016">
            <v>0</v>
          </cell>
          <cell r="AA1016">
            <v>16905.919999999998</v>
          </cell>
          <cell r="AB1016">
            <v>16905.919999999998</v>
          </cell>
          <cell r="AC1016">
            <v>16905.919999999998</v>
          </cell>
          <cell r="AD1016">
            <v>18078.95</v>
          </cell>
          <cell r="AE1016">
            <v>22708.49</v>
          </cell>
          <cell r="AF1016">
            <v>22708.49</v>
          </cell>
          <cell r="AG1016">
            <v>25400.06</v>
          </cell>
          <cell r="AH1016">
            <v>43953.53</v>
          </cell>
          <cell r="AI1016">
            <v>43953.53</v>
          </cell>
          <cell r="AJ1016">
            <v>46515.15</v>
          </cell>
          <cell r="AK1016">
            <v>46515.15</v>
          </cell>
          <cell r="AL1016">
            <v>0</v>
          </cell>
          <cell r="AM1016">
            <v>1</v>
          </cell>
          <cell r="AN1016" t="str">
            <v/>
          </cell>
          <cell r="AO1016">
            <v>0</v>
          </cell>
          <cell r="AP1016">
            <v>0</v>
          </cell>
          <cell r="AQ1016">
            <v>0</v>
          </cell>
          <cell r="AR1016">
            <v>810</v>
          </cell>
          <cell r="AS1016">
            <v>0</v>
          </cell>
          <cell r="AT1016" t="str">
            <v/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 t="str">
            <v/>
          </cell>
          <cell r="BK1016">
            <v>7200</v>
          </cell>
          <cell r="BL1016" t="str">
            <v>0</v>
          </cell>
          <cell r="BM1016" t="str">
            <v>1</v>
          </cell>
          <cell r="BN1016" t="str">
            <v/>
          </cell>
          <cell r="BO1016" t="str">
            <v/>
          </cell>
        </row>
        <row r="1017">
          <cell r="A1017">
            <v>1</v>
          </cell>
          <cell r="B1017">
            <v>4812001</v>
          </cell>
          <cell r="C1017" t="str">
            <v>SAL., DEPT DE VENTE</v>
          </cell>
          <cell r="D1017" t="str">
            <v>TRAVAUX ART.-SERV. CLIENT</v>
          </cell>
          <cell r="E1017" t="str">
            <v>O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1</v>
          </cell>
          <cell r="AN1017" t="str">
            <v/>
          </cell>
          <cell r="AO1017">
            <v>0</v>
          </cell>
          <cell r="AP1017">
            <v>0</v>
          </cell>
          <cell r="AQ1017">
            <v>0</v>
          </cell>
          <cell r="AR1017">
            <v>800</v>
          </cell>
          <cell r="AS1017">
            <v>0</v>
          </cell>
          <cell r="AT1017" t="str">
            <v/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 t="str">
            <v/>
          </cell>
          <cell r="BK1017">
            <v>4100</v>
          </cell>
          <cell r="BL1017" t="str">
            <v>0</v>
          </cell>
          <cell r="BM1017" t="str">
            <v>1</v>
          </cell>
          <cell r="BN1017" t="str">
            <v/>
          </cell>
          <cell r="BO1017" t="str">
            <v/>
          </cell>
        </row>
        <row r="1018">
          <cell r="A1018">
            <v>1</v>
          </cell>
          <cell r="B1018">
            <v>4322011</v>
          </cell>
          <cell r="C1018" t="str">
            <v>CHAUDIERE</v>
          </cell>
          <cell r="D1018" t="str">
            <v>HUILE</v>
          </cell>
          <cell r="E1018" t="str">
            <v>O</v>
          </cell>
          <cell r="F1018">
            <v>0</v>
          </cell>
          <cell r="G1018">
            <v>0</v>
          </cell>
          <cell r="H1018">
            <v>164335.03</v>
          </cell>
          <cell r="I1018">
            <v>164335.03</v>
          </cell>
          <cell r="J1018">
            <v>0</v>
          </cell>
          <cell r="K1018">
            <v>0</v>
          </cell>
          <cell r="L1018">
            <v>13338.08</v>
          </cell>
          <cell r="M1018">
            <v>0</v>
          </cell>
          <cell r="N1018">
            <v>23884.79</v>
          </cell>
          <cell r="O1018">
            <v>140035.29</v>
          </cell>
          <cell r="P1018">
            <v>164018.78</v>
          </cell>
          <cell r="Q1018">
            <v>164018.78</v>
          </cell>
          <cell r="R1018">
            <v>164335.03</v>
          </cell>
          <cell r="S1018">
            <v>164335.03</v>
          </cell>
          <cell r="T1018">
            <v>164335.03</v>
          </cell>
          <cell r="U1018">
            <v>164335.03</v>
          </cell>
          <cell r="V1018">
            <v>164335.03</v>
          </cell>
          <cell r="W1018">
            <v>164335.03</v>
          </cell>
          <cell r="X1018">
            <v>164335.03</v>
          </cell>
          <cell r="Y1018">
            <v>177673.11</v>
          </cell>
          <cell r="Z1018">
            <v>0</v>
          </cell>
          <cell r="AA1018">
            <v>0</v>
          </cell>
          <cell r="AB1018">
            <v>-600</v>
          </cell>
          <cell r="AC1018">
            <v>-684</v>
          </cell>
          <cell r="AD1018">
            <v>-684</v>
          </cell>
          <cell r="AE1018">
            <v>-684</v>
          </cell>
          <cell r="AF1018">
            <v>-684</v>
          </cell>
          <cell r="AG1018">
            <v>-684</v>
          </cell>
          <cell r="AH1018">
            <v>-684</v>
          </cell>
          <cell r="AI1018">
            <v>-684</v>
          </cell>
          <cell r="AJ1018">
            <v>-684</v>
          </cell>
          <cell r="AK1018">
            <v>-684</v>
          </cell>
          <cell r="AL1018">
            <v>0</v>
          </cell>
          <cell r="AM1018">
            <v>1</v>
          </cell>
          <cell r="AN1018" t="str">
            <v/>
          </cell>
          <cell r="AO1018">
            <v>0</v>
          </cell>
          <cell r="AP1018">
            <v>0</v>
          </cell>
          <cell r="AQ1018">
            <v>0</v>
          </cell>
          <cell r="AR1018">
            <v>730</v>
          </cell>
          <cell r="AS1018">
            <v>0</v>
          </cell>
          <cell r="AT1018" t="str">
            <v/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 t="str">
            <v/>
          </cell>
          <cell r="BK1018">
            <v>6100</v>
          </cell>
          <cell r="BL1018" t="str">
            <v>0</v>
          </cell>
          <cell r="BM1018" t="str">
            <v>1</v>
          </cell>
          <cell r="BN1018" t="str">
            <v/>
          </cell>
          <cell r="BO1018" t="str">
            <v/>
          </cell>
        </row>
        <row r="1019">
          <cell r="A1019">
            <v>1</v>
          </cell>
          <cell r="B1019">
            <v>4239003</v>
          </cell>
          <cell r="C1019" t="str">
            <v>MAT. PREMIERES INTERNES</v>
          </cell>
          <cell r="D1019" t="str">
            <v>TRANSFERT DE REBUTS SACS</v>
          </cell>
          <cell r="E1019" t="str">
            <v>O</v>
          </cell>
          <cell r="F1019">
            <v>0</v>
          </cell>
          <cell r="G1019">
            <v>0</v>
          </cell>
          <cell r="H1019">
            <v>-50524</v>
          </cell>
          <cell r="I1019">
            <v>3300</v>
          </cell>
          <cell r="J1019">
            <v>53824</v>
          </cell>
          <cell r="K1019">
            <v>0</v>
          </cell>
          <cell r="L1019">
            <v>0</v>
          </cell>
          <cell r="M1019">
            <v>4000</v>
          </cell>
          <cell r="N1019">
            <v>-3300</v>
          </cell>
          <cell r="O1019">
            <v>-6600</v>
          </cell>
          <cell r="P1019">
            <v>-9900</v>
          </cell>
          <cell r="Q1019">
            <v>-14712</v>
          </cell>
          <cell r="R1019">
            <v>-18012</v>
          </cell>
          <cell r="S1019">
            <v>-21312</v>
          </cell>
          <cell r="T1019">
            <v>-25312</v>
          </cell>
          <cell r="U1019">
            <v>-29312</v>
          </cell>
          <cell r="V1019">
            <v>-33312</v>
          </cell>
          <cell r="W1019">
            <v>-37312</v>
          </cell>
          <cell r="X1019">
            <v>-50524</v>
          </cell>
          <cell r="Y1019">
            <v>-54524</v>
          </cell>
          <cell r="Z1019">
            <v>-3300</v>
          </cell>
          <cell r="AA1019">
            <v>-6600</v>
          </cell>
          <cell r="AB1019">
            <v>-9901.65</v>
          </cell>
          <cell r="AC1019">
            <v>-13201.65</v>
          </cell>
          <cell r="AD1019">
            <v>-16501.650000000001</v>
          </cell>
          <cell r="AE1019">
            <v>-19801.650000000001</v>
          </cell>
          <cell r="AF1019">
            <v>-23801.65</v>
          </cell>
          <cell r="AG1019">
            <v>-27801.65</v>
          </cell>
          <cell r="AH1019">
            <v>-31801.65</v>
          </cell>
          <cell r="AI1019">
            <v>-31801.65</v>
          </cell>
          <cell r="AJ1019">
            <v>-35801.65</v>
          </cell>
          <cell r="AK1019">
            <v>-39801.65</v>
          </cell>
          <cell r="AL1019">
            <v>0</v>
          </cell>
          <cell r="AM1019">
            <v>3</v>
          </cell>
          <cell r="AN1019" t="str">
            <v/>
          </cell>
          <cell r="AO1019">
            <v>0</v>
          </cell>
          <cell r="AP1019">
            <v>0</v>
          </cell>
          <cell r="AQ1019">
            <v>0</v>
          </cell>
          <cell r="AR1019">
            <v>660</v>
          </cell>
          <cell r="AS1019">
            <v>0</v>
          </cell>
          <cell r="AT1019" t="str">
            <v/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 t="str">
            <v/>
          </cell>
          <cell r="BK1019">
            <v>5000</v>
          </cell>
          <cell r="BL1019" t="str">
            <v>0</v>
          </cell>
          <cell r="BM1019" t="str">
            <v>1</v>
          </cell>
          <cell r="BN1019" t="str">
            <v/>
          </cell>
          <cell r="BO1019" t="str">
            <v/>
          </cell>
        </row>
        <row r="1020">
          <cell r="A1020">
            <v>1</v>
          </cell>
          <cell r="B1020">
            <v>1125000</v>
          </cell>
          <cell r="C1020" t="str">
            <v>C.A.R.</v>
          </cell>
          <cell r="D1020" t="str">
            <v>REFACTURATION C &amp; I</v>
          </cell>
          <cell r="E1020" t="str">
            <v>O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13.15</v>
          </cell>
          <cell r="AA1020">
            <v>13.15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 t="str">
            <v/>
          </cell>
          <cell r="AO1020">
            <v>0</v>
          </cell>
          <cell r="AP1020">
            <v>0</v>
          </cell>
          <cell r="AQ1020">
            <v>0</v>
          </cell>
          <cell r="AR1020">
            <v>50</v>
          </cell>
          <cell r="AS1020">
            <v>0</v>
          </cell>
          <cell r="AT1020" t="str">
            <v/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 t="str">
            <v/>
          </cell>
          <cell r="BK1020">
            <v>1200</v>
          </cell>
          <cell r="BL1020" t="str">
            <v>0</v>
          </cell>
          <cell r="BM1020" t="str">
            <v>1</v>
          </cell>
          <cell r="BN1020" t="str">
            <v/>
          </cell>
          <cell r="BO1020" t="str">
            <v/>
          </cell>
        </row>
        <row r="1021">
          <cell r="A1021">
            <v>1</v>
          </cell>
          <cell r="B1021">
            <v>2111002</v>
          </cell>
          <cell r="C1021" t="str">
            <v>C.A.P</v>
          </cell>
          <cell r="D1021" t="str">
            <v>SOLDE PRMS</v>
          </cell>
          <cell r="E1021" t="str">
            <v>O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0</v>
          </cell>
          <cell r="AM1021">
            <v>2</v>
          </cell>
          <cell r="AN1021" t="str">
            <v/>
          </cell>
          <cell r="AO1021">
            <v>0</v>
          </cell>
          <cell r="AP1021">
            <v>0</v>
          </cell>
          <cell r="AQ1021">
            <v>0</v>
          </cell>
          <cell r="AR1021">
            <v>420</v>
          </cell>
          <cell r="AS1021">
            <v>0</v>
          </cell>
          <cell r="AT1021" t="str">
            <v/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 t="str">
            <v/>
          </cell>
          <cell r="BK1021">
            <v>2100</v>
          </cell>
          <cell r="BL1021" t="str">
            <v>0</v>
          </cell>
          <cell r="BM1021" t="str">
            <v>1</v>
          </cell>
          <cell r="BN1021" t="str">
            <v/>
          </cell>
          <cell r="BO1021" t="str">
            <v/>
          </cell>
        </row>
        <row r="1022">
          <cell r="A1022">
            <v>1</v>
          </cell>
          <cell r="B1022">
            <v>2111016</v>
          </cell>
          <cell r="C1022" t="str">
            <v>C.A.P</v>
          </cell>
          <cell r="D1022" t="str">
            <v>ACCRUS INTERCO PRMS</v>
          </cell>
          <cell r="E1022" t="str">
            <v>O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5374.52</v>
          </cell>
          <cell r="AA1022">
            <v>5374.52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0</v>
          </cell>
          <cell r="AM1022">
            <v>6</v>
          </cell>
          <cell r="AN1022" t="str">
            <v/>
          </cell>
          <cell r="AO1022">
            <v>0</v>
          </cell>
          <cell r="AP1022">
            <v>0</v>
          </cell>
          <cell r="AQ1022">
            <v>0</v>
          </cell>
          <cell r="AR1022">
            <v>430</v>
          </cell>
          <cell r="AS1022">
            <v>0</v>
          </cell>
          <cell r="AT1022" t="str">
            <v/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 t="str">
            <v/>
          </cell>
          <cell r="BK1022">
            <v>2100</v>
          </cell>
          <cell r="BL1022" t="str">
            <v>0</v>
          </cell>
          <cell r="BM1022" t="str">
            <v>1</v>
          </cell>
          <cell r="BN1022" t="str">
            <v/>
          </cell>
          <cell r="BO1022" t="str">
            <v/>
          </cell>
        </row>
        <row r="1023">
          <cell r="A1023">
            <v>1</v>
          </cell>
          <cell r="B1023">
            <v>2119991</v>
          </cell>
          <cell r="C1023" t="str">
            <v>C.A.P.</v>
          </cell>
          <cell r="D1023" t="str">
            <v>CLEARING ACCOUNT</v>
          </cell>
          <cell r="E1023" t="str">
            <v>O</v>
          </cell>
          <cell r="F1023">
            <v>0</v>
          </cell>
          <cell r="G1023">
            <v>0</v>
          </cell>
          <cell r="H1023">
            <v>0.01</v>
          </cell>
          <cell r="I1023">
            <v>586066.38</v>
          </cell>
          <cell r="J1023">
            <v>583211.53</v>
          </cell>
          <cell r="K1023">
            <v>0</v>
          </cell>
          <cell r="L1023">
            <v>91065.919999999998</v>
          </cell>
          <cell r="M1023">
            <v>91065.91</v>
          </cell>
          <cell r="N1023">
            <v>6087.07</v>
          </cell>
          <cell r="O1023">
            <v>0</v>
          </cell>
          <cell r="P1023">
            <v>-245.9</v>
          </cell>
          <cell r="Q1023">
            <v>0</v>
          </cell>
          <cell r="R1023">
            <v>387</v>
          </cell>
          <cell r="S1023">
            <v>0</v>
          </cell>
          <cell r="T1023">
            <v>0</v>
          </cell>
          <cell r="U1023">
            <v>0</v>
          </cell>
          <cell r="V1023">
            <v>-1.89</v>
          </cell>
          <cell r="W1023">
            <v>0</v>
          </cell>
          <cell r="X1023">
            <v>0.01</v>
          </cell>
          <cell r="Y1023">
            <v>0</v>
          </cell>
          <cell r="Z1023">
            <v>0.01</v>
          </cell>
          <cell r="AA1023">
            <v>-770.09</v>
          </cell>
          <cell r="AB1023">
            <v>0.01</v>
          </cell>
          <cell r="AC1023">
            <v>0.01</v>
          </cell>
          <cell r="AD1023">
            <v>0.01</v>
          </cell>
          <cell r="AE1023">
            <v>0.01</v>
          </cell>
          <cell r="AF1023">
            <v>0.01</v>
          </cell>
          <cell r="AG1023">
            <v>0.01</v>
          </cell>
          <cell r="AH1023">
            <v>0.01</v>
          </cell>
          <cell r="AI1023">
            <v>0.01</v>
          </cell>
          <cell r="AJ1023">
            <v>2452.46</v>
          </cell>
          <cell r="AK1023">
            <v>2854.86</v>
          </cell>
          <cell r="AL1023">
            <v>0</v>
          </cell>
          <cell r="AM1023">
            <v>1</v>
          </cell>
          <cell r="AN1023" t="str">
            <v/>
          </cell>
          <cell r="AO1023">
            <v>0</v>
          </cell>
          <cell r="AP1023">
            <v>0</v>
          </cell>
          <cell r="AQ1023">
            <v>0</v>
          </cell>
          <cell r="AR1023">
            <v>420</v>
          </cell>
          <cell r="AS1023">
            <v>0</v>
          </cell>
          <cell r="AT1023" t="str">
            <v/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 t="str">
            <v/>
          </cell>
          <cell r="BK1023">
            <v>2100</v>
          </cell>
          <cell r="BL1023" t="str">
            <v>0</v>
          </cell>
          <cell r="BM1023" t="str">
            <v>1</v>
          </cell>
          <cell r="BN1023" t="str">
            <v/>
          </cell>
          <cell r="BO1023" t="str">
            <v/>
          </cell>
        </row>
        <row r="1024">
          <cell r="A1024">
            <v>1</v>
          </cell>
          <cell r="B1024">
            <v>4239004</v>
          </cell>
          <cell r="C1024" t="str">
            <v>TRANSFERT INTERNE</v>
          </cell>
          <cell r="D1024" t="str">
            <v>REBUTS BOITES 40072 &amp; 92</v>
          </cell>
          <cell r="E1024" t="str">
            <v>O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-341021.39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0</v>
          </cell>
          <cell r="AM1024">
            <v>4</v>
          </cell>
          <cell r="AN1024" t="str">
            <v/>
          </cell>
          <cell r="AO1024">
            <v>0</v>
          </cell>
          <cell r="AP1024">
            <v>0</v>
          </cell>
          <cell r="AQ1024">
            <v>0</v>
          </cell>
          <cell r="AR1024">
            <v>660</v>
          </cell>
          <cell r="AS1024">
            <v>0</v>
          </cell>
          <cell r="AT1024" t="str">
            <v/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 t="str">
            <v/>
          </cell>
          <cell r="BK1024">
            <v>5000</v>
          </cell>
          <cell r="BL1024" t="str">
            <v>0</v>
          </cell>
          <cell r="BM1024" t="str">
            <v>1</v>
          </cell>
          <cell r="BN1024" t="str">
            <v/>
          </cell>
          <cell r="BO1024" t="str">
            <v/>
          </cell>
        </row>
        <row r="1025">
          <cell r="A1025">
            <v>1</v>
          </cell>
          <cell r="B1025">
            <v>2111012</v>
          </cell>
          <cell r="C1025" t="str">
            <v>C.A.P</v>
          </cell>
          <cell r="D1025" t="str">
            <v>AGE DES CAP INTERCO PRMS</v>
          </cell>
          <cell r="E1025" t="str">
            <v>O</v>
          </cell>
          <cell r="F1025">
            <v>0</v>
          </cell>
          <cell r="G1025">
            <v>0</v>
          </cell>
          <cell r="H1025">
            <v>-0.04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0.04</v>
          </cell>
          <cell r="N1025">
            <v>-0.04</v>
          </cell>
          <cell r="O1025">
            <v>-0.04</v>
          </cell>
          <cell r="P1025">
            <v>-0.04</v>
          </cell>
          <cell r="Q1025">
            <v>-0.04</v>
          </cell>
          <cell r="R1025">
            <v>-0.04</v>
          </cell>
          <cell r="S1025">
            <v>-0.04</v>
          </cell>
          <cell r="T1025">
            <v>-0.04</v>
          </cell>
          <cell r="U1025">
            <v>-0.04</v>
          </cell>
          <cell r="V1025">
            <v>-0.04</v>
          </cell>
          <cell r="W1025">
            <v>-0.04</v>
          </cell>
          <cell r="X1025">
            <v>-0.04</v>
          </cell>
          <cell r="Y1025">
            <v>0</v>
          </cell>
          <cell r="Z1025">
            <v>-0.04</v>
          </cell>
          <cell r="AA1025">
            <v>-0.04</v>
          </cell>
          <cell r="AB1025">
            <v>-0.04</v>
          </cell>
          <cell r="AC1025">
            <v>-0.04</v>
          </cell>
          <cell r="AD1025">
            <v>-0.04</v>
          </cell>
          <cell r="AE1025">
            <v>-0.04</v>
          </cell>
          <cell r="AF1025">
            <v>-0.04</v>
          </cell>
          <cell r="AG1025">
            <v>-0.04</v>
          </cell>
          <cell r="AH1025">
            <v>-0.04</v>
          </cell>
          <cell r="AI1025">
            <v>-0.04</v>
          </cell>
          <cell r="AJ1025">
            <v>-0.04</v>
          </cell>
          <cell r="AK1025">
            <v>-0.04</v>
          </cell>
          <cell r="AL1025">
            <v>0</v>
          </cell>
          <cell r="AM1025">
            <v>2</v>
          </cell>
          <cell r="AN1025" t="str">
            <v/>
          </cell>
          <cell r="AO1025">
            <v>0</v>
          </cell>
          <cell r="AP1025">
            <v>0</v>
          </cell>
          <cell r="AQ1025">
            <v>0</v>
          </cell>
          <cell r="AR1025">
            <v>430</v>
          </cell>
          <cell r="AS1025">
            <v>0</v>
          </cell>
          <cell r="AT1025" t="str">
            <v/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 t="str">
            <v/>
          </cell>
          <cell r="BK1025">
            <v>2100</v>
          </cell>
          <cell r="BL1025" t="str">
            <v>0</v>
          </cell>
          <cell r="BM1025" t="str">
            <v>1</v>
          </cell>
          <cell r="BN1025" t="str">
            <v/>
          </cell>
          <cell r="BO1025" t="str">
            <v/>
          </cell>
        </row>
        <row r="1026">
          <cell r="A1026">
            <v>1</v>
          </cell>
          <cell r="B1026">
            <v>2111006</v>
          </cell>
          <cell r="C1026" t="str">
            <v>C.A.P</v>
          </cell>
          <cell r="D1026" t="str">
            <v>ACCRUS CAP ORDI PRMS</v>
          </cell>
          <cell r="E1026" t="str">
            <v>O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-1961.2</v>
          </cell>
          <cell r="AA1026">
            <v>-1961.2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6</v>
          </cell>
          <cell r="AN1026" t="str">
            <v/>
          </cell>
          <cell r="AO1026">
            <v>0</v>
          </cell>
          <cell r="AP1026">
            <v>0</v>
          </cell>
          <cell r="AQ1026">
            <v>0</v>
          </cell>
          <cell r="AR1026">
            <v>420</v>
          </cell>
          <cell r="AS1026">
            <v>0</v>
          </cell>
          <cell r="AT1026" t="str">
            <v/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 t="str">
            <v/>
          </cell>
          <cell r="BK1026">
            <v>2100</v>
          </cell>
          <cell r="BL1026" t="str">
            <v>0</v>
          </cell>
          <cell r="BM1026" t="str">
            <v>1</v>
          </cell>
          <cell r="BN1026" t="str">
            <v/>
          </cell>
          <cell r="BO1026" t="str">
            <v/>
          </cell>
        </row>
        <row r="1027">
          <cell r="A1027">
            <v>1</v>
          </cell>
          <cell r="B1027">
            <v>1174021</v>
          </cell>
          <cell r="C1027" t="str">
            <v>PAYE D'AVANCE</v>
          </cell>
          <cell r="D1027" t="str">
            <v>PIECES MAJEURS MACHINE</v>
          </cell>
          <cell r="E1027" t="str">
            <v>N</v>
          </cell>
          <cell r="F1027">
            <v>0</v>
          </cell>
          <cell r="G1027">
            <v>0</v>
          </cell>
          <cell r="H1027">
            <v>0</v>
          </cell>
          <cell r="I1027">
            <v>16879</v>
          </cell>
          <cell r="J1027">
            <v>42522.52</v>
          </cell>
          <cell r="K1027">
            <v>0</v>
          </cell>
          <cell r="L1027">
            <v>0</v>
          </cell>
          <cell r="M1027">
            <v>0</v>
          </cell>
          <cell r="N1027">
            <v>42522.52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28035.69</v>
          </cell>
          <cell r="AA1027">
            <v>20774.349999999999</v>
          </cell>
          <cell r="AB1027">
            <v>8582</v>
          </cell>
          <cell r="AC1027">
            <v>8582</v>
          </cell>
          <cell r="AD1027">
            <v>8582</v>
          </cell>
          <cell r="AE1027">
            <v>27347.67</v>
          </cell>
          <cell r="AF1027">
            <v>43141.85</v>
          </cell>
          <cell r="AG1027">
            <v>0.34</v>
          </cell>
          <cell r="AH1027">
            <v>0.34</v>
          </cell>
          <cell r="AI1027">
            <v>16879.34</v>
          </cell>
          <cell r="AJ1027">
            <v>2400.34</v>
          </cell>
          <cell r="AK1027">
            <v>25643.52</v>
          </cell>
          <cell r="AL1027">
            <v>0</v>
          </cell>
          <cell r="AM1027">
            <v>1</v>
          </cell>
          <cell r="AN1027" t="str">
            <v/>
          </cell>
          <cell r="AO1027">
            <v>0</v>
          </cell>
          <cell r="AP1027">
            <v>0</v>
          </cell>
          <cell r="AQ1027">
            <v>0</v>
          </cell>
          <cell r="AR1027">
            <v>120</v>
          </cell>
          <cell r="AS1027">
            <v>0</v>
          </cell>
          <cell r="AT1027" t="str">
            <v/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 t="str">
            <v/>
          </cell>
          <cell r="BK1027">
            <v>1600</v>
          </cell>
          <cell r="BL1027" t="str">
            <v>0</v>
          </cell>
          <cell r="BM1027" t="str">
            <v>1</v>
          </cell>
          <cell r="BN1027" t="str">
            <v/>
          </cell>
          <cell r="BO1027" t="str">
            <v/>
          </cell>
        </row>
        <row r="1028">
          <cell r="A1028">
            <v>1</v>
          </cell>
          <cell r="B1028">
            <v>1332411</v>
          </cell>
          <cell r="C1028" t="str">
            <v>MAT ET OUTILLAGE</v>
          </cell>
          <cell r="D1028" t="str">
            <v>AFFUTEUSE DE LAME</v>
          </cell>
          <cell r="E1028" t="str">
            <v>O</v>
          </cell>
          <cell r="F1028">
            <v>0</v>
          </cell>
          <cell r="G1028">
            <v>0</v>
          </cell>
          <cell r="H1028">
            <v>16697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16697</v>
          </cell>
          <cell r="O1028">
            <v>16697</v>
          </cell>
          <cell r="P1028">
            <v>16697</v>
          </cell>
          <cell r="Q1028">
            <v>16697</v>
          </cell>
          <cell r="R1028">
            <v>16697</v>
          </cell>
          <cell r="S1028">
            <v>16697</v>
          </cell>
          <cell r="T1028">
            <v>16697</v>
          </cell>
          <cell r="U1028">
            <v>16697</v>
          </cell>
          <cell r="V1028">
            <v>16697</v>
          </cell>
          <cell r="W1028">
            <v>16697</v>
          </cell>
          <cell r="X1028">
            <v>16697</v>
          </cell>
          <cell r="Y1028">
            <v>16697</v>
          </cell>
          <cell r="Z1028">
            <v>16697</v>
          </cell>
          <cell r="AA1028">
            <v>16697</v>
          </cell>
          <cell r="AB1028">
            <v>16697</v>
          </cell>
          <cell r="AC1028">
            <v>16697</v>
          </cell>
          <cell r="AD1028">
            <v>16697</v>
          </cell>
          <cell r="AE1028">
            <v>16697</v>
          </cell>
          <cell r="AF1028">
            <v>16697</v>
          </cell>
          <cell r="AG1028">
            <v>16697</v>
          </cell>
          <cell r="AH1028">
            <v>16697</v>
          </cell>
          <cell r="AI1028">
            <v>16697</v>
          </cell>
          <cell r="AJ1028">
            <v>16697</v>
          </cell>
          <cell r="AK1028">
            <v>16697</v>
          </cell>
          <cell r="AL1028">
            <v>0</v>
          </cell>
          <cell r="AM1028">
            <v>1</v>
          </cell>
          <cell r="AN1028" t="str">
            <v/>
          </cell>
          <cell r="AO1028">
            <v>0</v>
          </cell>
          <cell r="AP1028">
            <v>0</v>
          </cell>
          <cell r="AQ1028">
            <v>0</v>
          </cell>
          <cell r="AR1028">
            <v>290</v>
          </cell>
          <cell r="AS1028">
            <v>0</v>
          </cell>
          <cell r="AT1028" t="str">
            <v/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240</v>
          </cell>
          <cell r="BJ1028" t="str">
            <v/>
          </cell>
          <cell r="BK1028">
            <v>1700</v>
          </cell>
          <cell r="BL1028" t="str">
            <v>1</v>
          </cell>
          <cell r="BM1028" t="str">
            <v>1</v>
          </cell>
          <cell r="BN1028" t="str">
            <v/>
          </cell>
          <cell r="BO1028" t="str">
            <v/>
          </cell>
        </row>
        <row r="1029">
          <cell r="A1029">
            <v>1</v>
          </cell>
          <cell r="B1029">
            <v>1121002</v>
          </cell>
          <cell r="C1029" t="str">
            <v>C.A.R.</v>
          </cell>
          <cell r="D1029" t="str">
            <v>AGE DES CAR SOLDE PRMS</v>
          </cell>
          <cell r="E1029" t="str">
            <v>O</v>
          </cell>
          <cell r="F1029">
            <v>0</v>
          </cell>
          <cell r="G1029">
            <v>0</v>
          </cell>
          <cell r="H1029">
            <v>0.28999999999999998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0.28999999999999998</v>
          </cell>
          <cell r="N1029">
            <v>0.28999999999999998</v>
          </cell>
          <cell r="O1029">
            <v>0.28999999999999998</v>
          </cell>
          <cell r="P1029">
            <v>0.28999999999999998</v>
          </cell>
          <cell r="Q1029">
            <v>0.28999999999999998</v>
          </cell>
          <cell r="R1029">
            <v>0.28999999999999998</v>
          </cell>
          <cell r="S1029">
            <v>0.28999999999999998</v>
          </cell>
          <cell r="T1029">
            <v>0.28999999999999998</v>
          </cell>
          <cell r="U1029">
            <v>0.28999999999999998</v>
          </cell>
          <cell r="V1029">
            <v>0.28999999999999998</v>
          </cell>
          <cell r="W1029">
            <v>0.28999999999999998</v>
          </cell>
          <cell r="X1029">
            <v>0.28999999999999998</v>
          </cell>
          <cell r="Y1029">
            <v>0</v>
          </cell>
          <cell r="Z1029">
            <v>0.28999999999999998</v>
          </cell>
          <cell r="AA1029">
            <v>0.28999999999999998</v>
          </cell>
          <cell r="AB1029">
            <v>0.28999999999999998</v>
          </cell>
          <cell r="AC1029">
            <v>0.28999999999999998</v>
          </cell>
          <cell r="AD1029">
            <v>0.28999999999999998</v>
          </cell>
          <cell r="AE1029">
            <v>0.28999999999999998</v>
          </cell>
          <cell r="AF1029">
            <v>0.28999999999999998</v>
          </cell>
          <cell r="AG1029">
            <v>0.28999999999999998</v>
          </cell>
          <cell r="AH1029">
            <v>0.28999999999999998</v>
          </cell>
          <cell r="AI1029">
            <v>0.28999999999999998</v>
          </cell>
          <cell r="AJ1029">
            <v>0.28999999999999998</v>
          </cell>
          <cell r="AK1029">
            <v>0.28999999999999998</v>
          </cell>
          <cell r="AL1029">
            <v>0</v>
          </cell>
          <cell r="AM1029">
            <v>2</v>
          </cell>
          <cell r="AN1029" t="str">
            <v/>
          </cell>
          <cell r="AO1029">
            <v>0</v>
          </cell>
          <cell r="AP1029">
            <v>0</v>
          </cell>
          <cell r="AQ1029">
            <v>0</v>
          </cell>
          <cell r="AR1029">
            <v>30</v>
          </cell>
          <cell r="AS1029">
            <v>0</v>
          </cell>
          <cell r="AT1029" t="str">
            <v/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 t="str">
            <v/>
          </cell>
          <cell r="BK1029">
            <v>1100</v>
          </cell>
          <cell r="BL1029" t="str">
            <v>0</v>
          </cell>
          <cell r="BM1029" t="str">
            <v>1</v>
          </cell>
          <cell r="BN1029" t="str">
            <v/>
          </cell>
          <cell r="BO1029" t="str">
            <v/>
          </cell>
        </row>
        <row r="1030">
          <cell r="A1030">
            <v>1</v>
          </cell>
          <cell r="B1030">
            <v>4982001</v>
          </cell>
          <cell r="C1030" t="str">
            <v>HONORAIRES PROFESSIONNELS</v>
          </cell>
          <cell r="D1030" t="str">
            <v>EXPERTISE</v>
          </cell>
          <cell r="E1030" t="str">
            <v>O</v>
          </cell>
          <cell r="F1030">
            <v>0</v>
          </cell>
          <cell r="G1030">
            <v>0</v>
          </cell>
          <cell r="H1030">
            <v>7372.16</v>
          </cell>
          <cell r="I1030">
            <v>7372.16</v>
          </cell>
          <cell r="J1030">
            <v>0</v>
          </cell>
          <cell r="K1030">
            <v>0</v>
          </cell>
          <cell r="L1030">
            <v>7520</v>
          </cell>
          <cell r="M1030">
            <v>0</v>
          </cell>
          <cell r="N1030">
            <v>0</v>
          </cell>
          <cell r="O1030">
            <v>184.71</v>
          </cell>
          <cell r="P1030">
            <v>216.87</v>
          </cell>
          <cell r="Q1030">
            <v>326.87</v>
          </cell>
          <cell r="R1030">
            <v>326.87</v>
          </cell>
          <cell r="S1030">
            <v>326.87</v>
          </cell>
          <cell r="T1030">
            <v>326.87</v>
          </cell>
          <cell r="U1030">
            <v>326.87</v>
          </cell>
          <cell r="V1030">
            <v>5449.67</v>
          </cell>
          <cell r="W1030">
            <v>6672.72</v>
          </cell>
          <cell r="X1030">
            <v>7372.16</v>
          </cell>
          <cell r="Y1030">
            <v>14892.16</v>
          </cell>
          <cell r="Z1030">
            <v>459.93</v>
          </cell>
          <cell r="AA1030">
            <v>1299.48</v>
          </cell>
          <cell r="AB1030">
            <v>3489.4</v>
          </cell>
          <cell r="AC1030">
            <v>3926.9</v>
          </cell>
          <cell r="AD1030">
            <v>5184.3900000000003</v>
          </cell>
          <cell r="AE1030">
            <v>5658.39</v>
          </cell>
          <cell r="AF1030">
            <v>9148.39</v>
          </cell>
          <cell r="AG1030">
            <v>9205.39</v>
          </cell>
          <cell r="AH1030">
            <v>9625.39</v>
          </cell>
          <cell r="AI1030">
            <v>9700.89</v>
          </cell>
          <cell r="AJ1030">
            <v>11009.49</v>
          </cell>
          <cell r="AK1030">
            <v>11614.49</v>
          </cell>
          <cell r="AL1030">
            <v>0</v>
          </cell>
          <cell r="AM1030">
            <v>1</v>
          </cell>
          <cell r="AN1030" t="str">
            <v/>
          </cell>
          <cell r="AO1030">
            <v>0</v>
          </cell>
          <cell r="AP1030">
            <v>0</v>
          </cell>
          <cell r="AQ1030">
            <v>0</v>
          </cell>
          <cell r="AR1030">
            <v>810</v>
          </cell>
          <cell r="AS1030">
            <v>0</v>
          </cell>
          <cell r="AT1030" t="str">
            <v/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 t="str">
            <v/>
          </cell>
          <cell r="BK1030">
            <v>7200</v>
          </cell>
          <cell r="BL1030" t="str">
            <v>0</v>
          </cell>
          <cell r="BM1030" t="str">
            <v>1</v>
          </cell>
          <cell r="BN1030" t="str">
            <v/>
          </cell>
          <cell r="BO1030" t="str">
            <v/>
          </cell>
        </row>
        <row r="1031">
          <cell r="A1031">
            <v>1</v>
          </cell>
          <cell r="B1031">
            <v>1121016</v>
          </cell>
          <cell r="C1031" t="str">
            <v>C.A.R</v>
          </cell>
          <cell r="D1031" t="str">
            <v>ACCRUS INTERCO SOLDE PRMS</v>
          </cell>
          <cell r="E1031" t="str">
            <v>O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0</v>
          </cell>
          <cell r="AM1031">
            <v>6</v>
          </cell>
          <cell r="AN1031" t="str">
            <v/>
          </cell>
          <cell r="AO1031">
            <v>0</v>
          </cell>
          <cell r="AP1031">
            <v>0</v>
          </cell>
          <cell r="AQ1031">
            <v>0</v>
          </cell>
          <cell r="AR1031">
            <v>30</v>
          </cell>
          <cell r="AS1031">
            <v>0</v>
          </cell>
          <cell r="AT1031" t="str">
            <v/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 t="str">
            <v/>
          </cell>
          <cell r="BK1031">
            <v>1100</v>
          </cell>
          <cell r="BL1031" t="str">
            <v>0</v>
          </cell>
          <cell r="BM1031" t="str">
            <v>1</v>
          </cell>
          <cell r="BN1031" t="str">
            <v/>
          </cell>
          <cell r="BO1031" t="str">
            <v/>
          </cell>
        </row>
        <row r="1032">
          <cell r="A1032">
            <v>1</v>
          </cell>
          <cell r="B1032">
            <v>1121006</v>
          </cell>
          <cell r="C1032" t="str">
            <v>C.A.R</v>
          </cell>
          <cell r="D1032" t="str">
            <v>ACCRUS C.A.R ORDI PRMS</v>
          </cell>
          <cell r="E1032" t="str">
            <v>O</v>
          </cell>
          <cell r="F1032">
            <v>0</v>
          </cell>
          <cell r="G1032">
            <v>0</v>
          </cell>
          <cell r="H1032">
            <v>-39.090000000000003</v>
          </cell>
          <cell r="I1032">
            <v>0</v>
          </cell>
          <cell r="J1032">
            <v>0</v>
          </cell>
          <cell r="K1032">
            <v>0</v>
          </cell>
          <cell r="L1032">
            <v>39.090000000000003</v>
          </cell>
          <cell r="M1032">
            <v>0</v>
          </cell>
          <cell r="N1032">
            <v>-39.090000000000003</v>
          </cell>
          <cell r="O1032">
            <v>-39.090000000000003</v>
          </cell>
          <cell r="P1032">
            <v>-39.090000000000003</v>
          </cell>
          <cell r="Q1032">
            <v>-39.090000000000003</v>
          </cell>
          <cell r="R1032">
            <v>-39.090000000000003</v>
          </cell>
          <cell r="S1032">
            <v>-39.090000000000003</v>
          </cell>
          <cell r="T1032">
            <v>-39.090000000000003</v>
          </cell>
          <cell r="U1032">
            <v>-39.090000000000003</v>
          </cell>
          <cell r="V1032">
            <v>-39.090000000000003</v>
          </cell>
          <cell r="W1032">
            <v>-39.090000000000003</v>
          </cell>
          <cell r="X1032">
            <v>-39.090000000000003</v>
          </cell>
          <cell r="Y1032">
            <v>0</v>
          </cell>
          <cell r="Z1032">
            <v>-39.090000000000003</v>
          </cell>
          <cell r="AA1032">
            <v>-39.090000000000003</v>
          </cell>
          <cell r="AB1032">
            <v>-39.090000000000003</v>
          </cell>
          <cell r="AC1032">
            <v>-39.090000000000003</v>
          </cell>
          <cell r="AD1032">
            <v>-39.090000000000003</v>
          </cell>
          <cell r="AE1032">
            <v>-39.090000000000003</v>
          </cell>
          <cell r="AF1032">
            <v>-39.090000000000003</v>
          </cell>
          <cell r="AG1032">
            <v>-39.090000000000003</v>
          </cell>
          <cell r="AH1032">
            <v>-39.090000000000003</v>
          </cell>
          <cell r="AI1032">
            <v>-39.090000000000003</v>
          </cell>
          <cell r="AJ1032">
            <v>-39.090000000000003</v>
          </cell>
          <cell r="AK1032">
            <v>-39.090000000000003</v>
          </cell>
          <cell r="AL1032">
            <v>0</v>
          </cell>
          <cell r="AM1032">
            <v>6</v>
          </cell>
          <cell r="AN1032" t="str">
            <v/>
          </cell>
          <cell r="AO1032">
            <v>0</v>
          </cell>
          <cell r="AP1032">
            <v>0</v>
          </cell>
          <cell r="AQ1032">
            <v>0</v>
          </cell>
          <cell r="AR1032">
            <v>30</v>
          </cell>
          <cell r="AS1032">
            <v>0</v>
          </cell>
          <cell r="AT1032" t="str">
            <v/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 t="str">
            <v/>
          </cell>
          <cell r="BK1032">
            <v>1100</v>
          </cell>
          <cell r="BL1032" t="str">
            <v>0</v>
          </cell>
          <cell r="BM1032" t="str">
            <v>1</v>
          </cell>
          <cell r="BN1032" t="str">
            <v/>
          </cell>
          <cell r="BO1032" t="str">
            <v/>
          </cell>
        </row>
        <row r="1033">
          <cell r="A1033">
            <v>1</v>
          </cell>
          <cell r="B1033">
            <v>1121012</v>
          </cell>
          <cell r="C1033" t="str">
            <v>C.A.R</v>
          </cell>
          <cell r="D1033" t="str">
            <v>AGE DES C.A.R INT-CO PRMS</v>
          </cell>
          <cell r="E1033" t="str">
            <v>O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2</v>
          </cell>
          <cell r="AN1033" t="str">
            <v/>
          </cell>
          <cell r="AO1033">
            <v>0</v>
          </cell>
          <cell r="AP1033">
            <v>0</v>
          </cell>
          <cell r="AQ1033">
            <v>0</v>
          </cell>
          <cell r="AR1033">
            <v>30</v>
          </cell>
          <cell r="AS1033">
            <v>0</v>
          </cell>
          <cell r="AT1033" t="str">
            <v/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 t="str">
            <v/>
          </cell>
          <cell r="BK1033">
            <v>1100</v>
          </cell>
          <cell r="BL1033" t="str">
            <v>0</v>
          </cell>
          <cell r="BM1033" t="str">
            <v>1</v>
          </cell>
          <cell r="BN1033" t="str">
            <v/>
          </cell>
          <cell r="BO1033" t="str">
            <v/>
          </cell>
        </row>
        <row r="1034">
          <cell r="A1034">
            <v>1</v>
          </cell>
          <cell r="B1034">
            <v>1165010</v>
          </cell>
          <cell r="C1034" t="str">
            <v>INV PIECES DE RECHANGES</v>
          </cell>
          <cell r="D1034" t="str">
            <v>INV D'ENCRE - POUR BOITES</v>
          </cell>
          <cell r="E1034" t="str">
            <v>O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 t="str">
            <v/>
          </cell>
          <cell r="AO1034">
            <v>0</v>
          </cell>
          <cell r="AP1034">
            <v>0</v>
          </cell>
          <cell r="AQ1034">
            <v>0</v>
          </cell>
          <cell r="AR1034">
            <v>100</v>
          </cell>
          <cell r="AS1034">
            <v>0</v>
          </cell>
          <cell r="AT1034" t="str">
            <v/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 t="str">
            <v/>
          </cell>
          <cell r="BK1034">
            <v>1600</v>
          </cell>
          <cell r="BL1034" t="str">
            <v>0</v>
          </cell>
          <cell r="BM1034" t="str">
            <v>1</v>
          </cell>
          <cell r="BN1034" t="str">
            <v/>
          </cell>
          <cell r="BO1034" t="str">
            <v/>
          </cell>
        </row>
        <row r="1035">
          <cell r="A1035">
            <v>1</v>
          </cell>
          <cell r="B1035">
            <v>1372390</v>
          </cell>
          <cell r="C1035" t="str">
            <v>MATERIEL ROULANT</v>
          </cell>
          <cell r="D1035" t="str">
            <v>CAMION COUR</v>
          </cell>
          <cell r="E1035" t="str">
            <v>O</v>
          </cell>
          <cell r="F1035">
            <v>0</v>
          </cell>
          <cell r="G1035">
            <v>0</v>
          </cell>
          <cell r="H1035">
            <v>31425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31425</v>
          </cell>
          <cell r="O1035">
            <v>31425</v>
          </cell>
          <cell r="P1035">
            <v>31425</v>
          </cell>
          <cell r="Q1035">
            <v>31425</v>
          </cell>
          <cell r="R1035">
            <v>31425</v>
          </cell>
          <cell r="S1035">
            <v>31425</v>
          </cell>
          <cell r="T1035">
            <v>31425</v>
          </cell>
          <cell r="U1035">
            <v>31425</v>
          </cell>
          <cell r="V1035">
            <v>31425</v>
          </cell>
          <cell r="W1035">
            <v>31425</v>
          </cell>
          <cell r="X1035">
            <v>31425</v>
          </cell>
          <cell r="Y1035">
            <v>31425</v>
          </cell>
          <cell r="Z1035">
            <v>31425</v>
          </cell>
          <cell r="AA1035">
            <v>31425</v>
          </cell>
          <cell r="AB1035">
            <v>31425</v>
          </cell>
          <cell r="AC1035">
            <v>31425</v>
          </cell>
          <cell r="AD1035">
            <v>31425</v>
          </cell>
          <cell r="AE1035">
            <v>31425</v>
          </cell>
          <cell r="AF1035">
            <v>31425</v>
          </cell>
          <cell r="AG1035">
            <v>31425</v>
          </cell>
          <cell r="AH1035">
            <v>31425</v>
          </cell>
          <cell r="AI1035">
            <v>31425</v>
          </cell>
          <cell r="AJ1035">
            <v>31425</v>
          </cell>
          <cell r="AK1035">
            <v>31425</v>
          </cell>
          <cell r="AL1035">
            <v>0</v>
          </cell>
          <cell r="AM1035">
            <v>0</v>
          </cell>
          <cell r="AN1035" t="str">
            <v/>
          </cell>
          <cell r="AO1035">
            <v>0</v>
          </cell>
          <cell r="AP1035">
            <v>0</v>
          </cell>
          <cell r="AQ1035">
            <v>0</v>
          </cell>
          <cell r="AR1035">
            <v>320</v>
          </cell>
          <cell r="AS1035">
            <v>0</v>
          </cell>
          <cell r="AT1035" t="str">
            <v/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60</v>
          </cell>
          <cell r="BJ1035" t="str">
            <v/>
          </cell>
          <cell r="BK1035">
            <v>1700</v>
          </cell>
          <cell r="BL1035" t="str">
            <v>1</v>
          </cell>
          <cell r="BM1035" t="str">
            <v>1</v>
          </cell>
          <cell r="BN1035" t="str">
            <v/>
          </cell>
          <cell r="BO1035" t="str">
            <v/>
          </cell>
        </row>
        <row r="1036">
          <cell r="A1036">
            <v>1</v>
          </cell>
          <cell r="B1036">
            <v>1372440</v>
          </cell>
          <cell r="C1036" t="str">
            <v>MATERIEL ROULANT</v>
          </cell>
          <cell r="D1036" t="str">
            <v>HIGH STACKER</v>
          </cell>
          <cell r="E1036" t="str">
            <v>O</v>
          </cell>
          <cell r="F1036">
            <v>0</v>
          </cell>
          <cell r="G1036">
            <v>0</v>
          </cell>
          <cell r="H1036">
            <v>31962.6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31962.6</v>
          </cell>
          <cell r="O1036">
            <v>31962.6</v>
          </cell>
          <cell r="P1036">
            <v>31962.6</v>
          </cell>
          <cell r="Q1036">
            <v>31962.6</v>
          </cell>
          <cell r="R1036">
            <v>31962.6</v>
          </cell>
          <cell r="S1036">
            <v>31962.6</v>
          </cell>
          <cell r="T1036">
            <v>31962.6</v>
          </cell>
          <cell r="U1036">
            <v>31962.6</v>
          </cell>
          <cell r="V1036">
            <v>31962.6</v>
          </cell>
          <cell r="W1036">
            <v>31962.6</v>
          </cell>
          <cell r="X1036">
            <v>31962.6</v>
          </cell>
          <cell r="Y1036">
            <v>31962.6</v>
          </cell>
          <cell r="Z1036">
            <v>31962.6</v>
          </cell>
          <cell r="AA1036">
            <v>31962.6</v>
          </cell>
          <cell r="AB1036">
            <v>31962.6</v>
          </cell>
          <cell r="AC1036">
            <v>31962.6</v>
          </cell>
          <cell r="AD1036">
            <v>31962.6</v>
          </cell>
          <cell r="AE1036">
            <v>31962.6</v>
          </cell>
          <cell r="AF1036">
            <v>31962.6</v>
          </cell>
          <cell r="AG1036">
            <v>31962.6</v>
          </cell>
          <cell r="AH1036">
            <v>31962.6</v>
          </cell>
          <cell r="AI1036">
            <v>31962.6</v>
          </cell>
          <cell r="AJ1036">
            <v>31962.6</v>
          </cell>
          <cell r="AK1036">
            <v>31962.6</v>
          </cell>
          <cell r="AL1036">
            <v>0</v>
          </cell>
          <cell r="AM1036">
            <v>0</v>
          </cell>
          <cell r="AN1036" t="str">
            <v/>
          </cell>
          <cell r="AO1036">
            <v>0</v>
          </cell>
          <cell r="AP1036">
            <v>0</v>
          </cell>
          <cell r="AQ1036">
            <v>0</v>
          </cell>
          <cell r="AR1036">
            <v>320</v>
          </cell>
          <cell r="AS1036">
            <v>0</v>
          </cell>
          <cell r="AT1036" t="str">
            <v/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60</v>
          </cell>
          <cell r="BJ1036" t="str">
            <v/>
          </cell>
          <cell r="BK1036">
            <v>1700</v>
          </cell>
          <cell r="BL1036" t="str">
            <v>1</v>
          </cell>
          <cell r="BM1036" t="str">
            <v>1</v>
          </cell>
          <cell r="BN1036" t="str">
            <v/>
          </cell>
          <cell r="BO1036" t="str">
            <v/>
          </cell>
        </row>
        <row r="1037">
          <cell r="A1037">
            <v>1</v>
          </cell>
          <cell r="B1037">
            <v>1175001</v>
          </cell>
          <cell r="C1037" t="str">
            <v>PAYE D'AVANCE</v>
          </cell>
          <cell r="D1037" t="str">
            <v>PROJET BP (HACCP)</v>
          </cell>
          <cell r="E1037" t="str">
            <v>O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41754.36</v>
          </cell>
          <cell r="AA1037">
            <v>42234.36</v>
          </cell>
          <cell r="AB1037">
            <v>42234.36</v>
          </cell>
          <cell r="AC1037">
            <v>42234.36</v>
          </cell>
          <cell r="AD1037">
            <v>42234.36</v>
          </cell>
          <cell r="AE1037">
            <v>42234.36</v>
          </cell>
          <cell r="AF1037">
            <v>42234.36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1</v>
          </cell>
          <cell r="AN1037" t="str">
            <v/>
          </cell>
          <cell r="AO1037">
            <v>0</v>
          </cell>
          <cell r="AP1037">
            <v>0</v>
          </cell>
          <cell r="AQ1037">
            <v>0</v>
          </cell>
          <cell r="AR1037">
            <v>120</v>
          </cell>
          <cell r="AS1037">
            <v>0</v>
          </cell>
          <cell r="AT1037" t="str">
            <v/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 t="str">
            <v/>
          </cell>
          <cell r="BK1037">
            <v>1600</v>
          </cell>
          <cell r="BL1037" t="str">
            <v>0</v>
          </cell>
          <cell r="BM1037" t="str">
            <v>1</v>
          </cell>
          <cell r="BN1037" t="str">
            <v/>
          </cell>
          <cell r="BO1037" t="str">
            <v/>
          </cell>
        </row>
        <row r="1038">
          <cell r="A1038">
            <v>2</v>
          </cell>
          <cell r="B1038">
            <v>1331001</v>
          </cell>
          <cell r="C1038" t="str">
            <v>BRUN 100 TONNES</v>
          </cell>
          <cell r="D1038" t="str">
            <v>WET END INGENERIE</v>
          </cell>
          <cell r="E1038" t="str">
            <v>N</v>
          </cell>
          <cell r="F1038">
            <v>0</v>
          </cell>
          <cell r="G1038">
            <v>308000</v>
          </cell>
          <cell r="H1038">
            <v>374466.97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374466.97</v>
          </cell>
          <cell r="O1038">
            <v>374466.97</v>
          </cell>
          <cell r="P1038">
            <v>374466.97</v>
          </cell>
          <cell r="Q1038">
            <v>374466.97</v>
          </cell>
          <cell r="R1038">
            <v>374466.97</v>
          </cell>
          <cell r="S1038">
            <v>374466.97</v>
          </cell>
          <cell r="T1038">
            <v>374466.97</v>
          </cell>
          <cell r="U1038">
            <v>374466.97</v>
          </cell>
          <cell r="V1038">
            <v>374466.97</v>
          </cell>
          <cell r="W1038">
            <v>374466.97</v>
          </cell>
          <cell r="X1038">
            <v>374466.97</v>
          </cell>
          <cell r="Y1038">
            <v>374466.97</v>
          </cell>
          <cell r="Z1038">
            <v>374466.97</v>
          </cell>
          <cell r="AA1038">
            <v>374466.97</v>
          </cell>
          <cell r="AB1038">
            <v>374466.97</v>
          </cell>
          <cell r="AC1038">
            <v>374466.97</v>
          </cell>
          <cell r="AD1038">
            <v>374466.97</v>
          </cell>
          <cell r="AE1038">
            <v>374466.97</v>
          </cell>
          <cell r="AF1038">
            <v>374466.97</v>
          </cell>
          <cell r="AG1038">
            <v>374466.97</v>
          </cell>
          <cell r="AH1038">
            <v>374466.97</v>
          </cell>
          <cell r="AI1038">
            <v>374466.97</v>
          </cell>
          <cell r="AJ1038">
            <v>374466.97</v>
          </cell>
          <cell r="AK1038">
            <v>374466.97</v>
          </cell>
          <cell r="AL1038">
            <v>0</v>
          </cell>
          <cell r="AM1038">
            <v>1</v>
          </cell>
          <cell r="AN1038" t="str">
            <v/>
          </cell>
          <cell r="AO1038">
            <v>0</v>
          </cell>
          <cell r="AP1038">
            <v>0</v>
          </cell>
          <cell r="AQ1038">
            <v>0</v>
          </cell>
          <cell r="AR1038">
            <v>290</v>
          </cell>
          <cell r="AS1038">
            <v>0</v>
          </cell>
          <cell r="AT1038" t="str">
            <v/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240</v>
          </cell>
          <cell r="BJ1038" t="str">
            <v/>
          </cell>
          <cell r="BK1038">
            <v>1700</v>
          </cell>
          <cell r="BL1038" t="str">
            <v>1</v>
          </cell>
          <cell r="BM1038" t="str">
            <v>1</v>
          </cell>
          <cell r="BN1038" t="str">
            <v/>
          </cell>
          <cell r="BO1038" t="str">
            <v/>
          </cell>
        </row>
        <row r="1039">
          <cell r="A1039">
            <v>2</v>
          </cell>
          <cell r="B1039">
            <v>1331011</v>
          </cell>
          <cell r="C1039" t="str">
            <v>BRUN 100 TONNES</v>
          </cell>
          <cell r="D1039" t="str">
            <v>WET END CIVIL</v>
          </cell>
          <cell r="E1039" t="str">
            <v>N</v>
          </cell>
          <cell r="F1039">
            <v>0</v>
          </cell>
          <cell r="G1039">
            <v>208000</v>
          </cell>
          <cell r="H1039">
            <v>440979.89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440979.89</v>
          </cell>
          <cell r="O1039">
            <v>440979.89</v>
          </cell>
          <cell r="P1039">
            <v>440979.89</v>
          </cell>
          <cell r="Q1039">
            <v>440979.89</v>
          </cell>
          <cell r="R1039">
            <v>440979.89</v>
          </cell>
          <cell r="S1039">
            <v>440979.89</v>
          </cell>
          <cell r="T1039">
            <v>440979.89</v>
          </cell>
          <cell r="U1039">
            <v>440979.89</v>
          </cell>
          <cell r="V1039">
            <v>440979.89</v>
          </cell>
          <cell r="W1039">
            <v>440979.89</v>
          </cell>
          <cell r="X1039">
            <v>440979.89</v>
          </cell>
          <cell r="Y1039">
            <v>440979.89</v>
          </cell>
          <cell r="Z1039">
            <v>440979.89</v>
          </cell>
          <cell r="AA1039">
            <v>440979.89</v>
          </cell>
          <cell r="AB1039">
            <v>440979.89</v>
          </cell>
          <cell r="AC1039">
            <v>440979.89</v>
          </cell>
          <cell r="AD1039">
            <v>440979.89</v>
          </cell>
          <cell r="AE1039">
            <v>440979.89</v>
          </cell>
          <cell r="AF1039">
            <v>440979.89</v>
          </cell>
          <cell r="AG1039">
            <v>440979.89</v>
          </cell>
          <cell r="AH1039">
            <v>440979.89</v>
          </cell>
          <cell r="AI1039">
            <v>440979.89</v>
          </cell>
          <cell r="AJ1039">
            <v>440979.89</v>
          </cell>
          <cell r="AK1039">
            <v>440979.89</v>
          </cell>
          <cell r="AL1039">
            <v>0</v>
          </cell>
          <cell r="AM1039">
            <v>1</v>
          </cell>
          <cell r="AN1039" t="str">
            <v/>
          </cell>
          <cell r="AO1039">
            <v>0</v>
          </cell>
          <cell r="AP1039">
            <v>0</v>
          </cell>
          <cell r="AQ1039">
            <v>0</v>
          </cell>
          <cell r="AR1039">
            <v>290</v>
          </cell>
          <cell r="AS1039">
            <v>0</v>
          </cell>
          <cell r="AT1039" t="str">
            <v/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240</v>
          </cell>
          <cell r="BJ1039" t="str">
            <v/>
          </cell>
          <cell r="BK1039">
            <v>1700</v>
          </cell>
          <cell r="BL1039" t="str">
            <v>1</v>
          </cell>
          <cell r="BM1039" t="str">
            <v>1</v>
          </cell>
          <cell r="BN1039" t="str">
            <v/>
          </cell>
          <cell r="BO1039" t="str">
            <v/>
          </cell>
        </row>
        <row r="1040">
          <cell r="A1040">
            <v>2</v>
          </cell>
          <cell r="B1040">
            <v>1331021</v>
          </cell>
          <cell r="C1040" t="str">
            <v>BRUN 100 TONNES</v>
          </cell>
          <cell r="D1040" t="str">
            <v>WET END MECANIQUE</v>
          </cell>
          <cell r="E1040" t="str">
            <v>N</v>
          </cell>
          <cell r="F1040">
            <v>0</v>
          </cell>
          <cell r="G1040">
            <v>1506000</v>
          </cell>
          <cell r="H1040">
            <v>2486513.08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2486513.08</v>
          </cell>
          <cell r="O1040">
            <v>2486513.08</v>
          </cell>
          <cell r="P1040">
            <v>2486513.08</v>
          </cell>
          <cell r="Q1040">
            <v>2486513.08</v>
          </cell>
          <cell r="R1040">
            <v>2486513.08</v>
          </cell>
          <cell r="S1040">
            <v>2486513.08</v>
          </cell>
          <cell r="T1040">
            <v>2486513.08</v>
          </cell>
          <cell r="U1040">
            <v>2486513.08</v>
          </cell>
          <cell r="V1040">
            <v>2486513.08</v>
          </cell>
          <cell r="W1040">
            <v>2486513.08</v>
          </cell>
          <cell r="X1040">
            <v>2486513.08</v>
          </cell>
          <cell r="Y1040">
            <v>2486513.08</v>
          </cell>
          <cell r="Z1040">
            <v>2469851.9900000002</v>
          </cell>
          <cell r="AA1040">
            <v>2469723.9900000002</v>
          </cell>
          <cell r="AB1040">
            <v>2469737.41</v>
          </cell>
          <cell r="AC1040">
            <v>2471737.41</v>
          </cell>
          <cell r="AD1040">
            <v>2471737.41</v>
          </cell>
          <cell r="AE1040">
            <v>2471737.41</v>
          </cell>
          <cell r="AF1040">
            <v>2472562.41</v>
          </cell>
          <cell r="AG1040">
            <v>2486513.08</v>
          </cell>
          <cell r="AH1040">
            <v>2486513.08</v>
          </cell>
          <cell r="AI1040">
            <v>2486513.08</v>
          </cell>
          <cell r="AJ1040">
            <v>2486513.08</v>
          </cell>
          <cell r="AK1040">
            <v>2486513.08</v>
          </cell>
          <cell r="AL1040">
            <v>0</v>
          </cell>
          <cell r="AM1040">
            <v>1</v>
          </cell>
          <cell r="AN1040" t="str">
            <v/>
          </cell>
          <cell r="AO1040">
            <v>0</v>
          </cell>
          <cell r="AP1040">
            <v>0</v>
          </cell>
          <cell r="AQ1040">
            <v>0</v>
          </cell>
          <cell r="AR1040">
            <v>290</v>
          </cell>
          <cell r="AS1040">
            <v>0</v>
          </cell>
          <cell r="AT1040" t="str">
            <v/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240</v>
          </cell>
          <cell r="BJ1040" t="str">
            <v/>
          </cell>
          <cell r="BK1040">
            <v>1700</v>
          </cell>
          <cell r="BL1040" t="str">
            <v>1</v>
          </cell>
          <cell r="BM1040" t="str">
            <v>1</v>
          </cell>
          <cell r="BN1040" t="str">
            <v/>
          </cell>
          <cell r="BO1040" t="str">
            <v/>
          </cell>
        </row>
        <row r="1041">
          <cell r="A1041">
            <v>2</v>
          </cell>
          <cell r="B1041">
            <v>1331031</v>
          </cell>
          <cell r="C1041" t="str">
            <v>BRUN 100 TONNES</v>
          </cell>
          <cell r="D1041" t="str">
            <v>WET END INSTRUMENTS</v>
          </cell>
          <cell r="E1041" t="str">
            <v>N</v>
          </cell>
          <cell r="F1041">
            <v>0</v>
          </cell>
          <cell r="G1041">
            <v>416000</v>
          </cell>
          <cell r="H1041">
            <v>559418.34</v>
          </cell>
          <cell r="I1041">
            <v>1816.5</v>
          </cell>
          <cell r="J1041">
            <v>1816.5</v>
          </cell>
          <cell r="K1041">
            <v>0</v>
          </cell>
          <cell r="L1041">
            <v>0</v>
          </cell>
          <cell r="M1041">
            <v>0</v>
          </cell>
          <cell r="N1041">
            <v>559418.34</v>
          </cell>
          <cell r="O1041">
            <v>560326.59</v>
          </cell>
          <cell r="P1041">
            <v>560326.59</v>
          </cell>
          <cell r="Q1041">
            <v>559418.34</v>
          </cell>
          <cell r="R1041">
            <v>559418.34</v>
          </cell>
          <cell r="S1041">
            <v>559418.34</v>
          </cell>
          <cell r="T1041">
            <v>559418.34</v>
          </cell>
          <cell r="U1041">
            <v>559418.34</v>
          </cell>
          <cell r="V1041">
            <v>559418.34</v>
          </cell>
          <cell r="W1041">
            <v>559418.34</v>
          </cell>
          <cell r="X1041">
            <v>559418.34</v>
          </cell>
          <cell r="Y1041">
            <v>559418.34</v>
          </cell>
          <cell r="Z1041">
            <v>559418.34</v>
          </cell>
          <cell r="AA1041">
            <v>559418.34</v>
          </cell>
          <cell r="AB1041">
            <v>559418.34</v>
          </cell>
          <cell r="AC1041">
            <v>559418.34</v>
          </cell>
          <cell r="AD1041">
            <v>559418.34</v>
          </cell>
          <cell r="AE1041">
            <v>559418.34</v>
          </cell>
          <cell r="AF1041">
            <v>559418.34</v>
          </cell>
          <cell r="AG1041">
            <v>559418.34</v>
          </cell>
          <cell r="AH1041">
            <v>559418.34</v>
          </cell>
          <cell r="AI1041">
            <v>559418.34</v>
          </cell>
          <cell r="AJ1041">
            <v>559418.34</v>
          </cell>
          <cell r="AK1041">
            <v>559418.34</v>
          </cell>
          <cell r="AL1041">
            <v>0</v>
          </cell>
          <cell r="AM1041">
            <v>1</v>
          </cell>
          <cell r="AN1041" t="str">
            <v/>
          </cell>
          <cell r="AO1041">
            <v>0</v>
          </cell>
          <cell r="AP1041">
            <v>0</v>
          </cell>
          <cell r="AQ1041">
            <v>0</v>
          </cell>
          <cell r="AR1041">
            <v>290</v>
          </cell>
          <cell r="AS1041">
            <v>0</v>
          </cell>
          <cell r="AT1041" t="str">
            <v/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240</v>
          </cell>
          <cell r="BJ1041" t="str">
            <v/>
          </cell>
          <cell r="BK1041">
            <v>1700</v>
          </cell>
          <cell r="BL1041" t="str">
            <v>1</v>
          </cell>
          <cell r="BM1041" t="str">
            <v>1</v>
          </cell>
          <cell r="BN1041" t="str">
            <v/>
          </cell>
          <cell r="BO1041" t="str">
            <v/>
          </cell>
        </row>
        <row r="1042">
          <cell r="A1042">
            <v>2</v>
          </cell>
          <cell r="B1042">
            <v>1331041</v>
          </cell>
          <cell r="C1042" t="str">
            <v>BRUN 100 TONNES</v>
          </cell>
          <cell r="D1042" t="str">
            <v>WET END ELECTRIQUE</v>
          </cell>
          <cell r="E1042" t="str">
            <v>N</v>
          </cell>
          <cell r="F1042">
            <v>0</v>
          </cell>
          <cell r="G1042">
            <v>621000</v>
          </cell>
          <cell r="H1042">
            <v>234382.41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234382.41</v>
          </cell>
          <cell r="O1042">
            <v>234382.41</v>
          </cell>
          <cell r="P1042">
            <v>234382.41</v>
          </cell>
          <cell r="Q1042">
            <v>234382.41</v>
          </cell>
          <cell r="R1042">
            <v>234382.41</v>
          </cell>
          <cell r="S1042">
            <v>234382.41</v>
          </cell>
          <cell r="T1042">
            <v>234382.41</v>
          </cell>
          <cell r="U1042">
            <v>234382.41</v>
          </cell>
          <cell r="V1042">
            <v>234382.41</v>
          </cell>
          <cell r="W1042">
            <v>234382.41</v>
          </cell>
          <cell r="X1042">
            <v>234382.41</v>
          </cell>
          <cell r="Y1042">
            <v>234382.41</v>
          </cell>
          <cell r="Z1042">
            <v>221437.66</v>
          </cell>
          <cell r="AA1042">
            <v>221437.66</v>
          </cell>
          <cell r="AB1042">
            <v>237580.18</v>
          </cell>
          <cell r="AC1042">
            <v>232937.66</v>
          </cell>
          <cell r="AD1042">
            <v>232937.66</v>
          </cell>
          <cell r="AE1042">
            <v>234382.41</v>
          </cell>
          <cell r="AF1042">
            <v>234382.41</v>
          </cell>
          <cell r="AG1042">
            <v>234382.41</v>
          </cell>
          <cell r="AH1042">
            <v>234382.41</v>
          </cell>
          <cell r="AI1042">
            <v>234382.41</v>
          </cell>
          <cell r="AJ1042">
            <v>234382.41</v>
          </cell>
          <cell r="AK1042">
            <v>234382.41</v>
          </cell>
          <cell r="AL1042">
            <v>0</v>
          </cell>
          <cell r="AM1042">
            <v>1</v>
          </cell>
          <cell r="AN1042" t="str">
            <v/>
          </cell>
          <cell r="AO1042">
            <v>0</v>
          </cell>
          <cell r="AP1042">
            <v>0</v>
          </cell>
          <cell r="AQ1042">
            <v>0</v>
          </cell>
          <cell r="AR1042">
            <v>290</v>
          </cell>
          <cell r="AS1042">
            <v>0</v>
          </cell>
          <cell r="AT1042" t="str">
            <v/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240</v>
          </cell>
          <cell r="BJ1042" t="str">
            <v/>
          </cell>
          <cell r="BK1042">
            <v>1700</v>
          </cell>
          <cell r="BL1042" t="str">
            <v>1</v>
          </cell>
          <cell r="BM1042" t="str">
            <v>1</v>
          </cell>
          <cell r="BN1042" t="str">
            <v/>
          </cell>
          <cell r="BO1042" t="str">
            <v/>
          </cell>
        </row>
        <row r="1043">
          <cell r="A1043">
            <v>1</v>
          </cell>
          <cell r="B1043">
            <v>1332002</v>
          </cell>
          <cell r="C1043" t="str">
            <v>LIGNE DE CONVERSION</v>
          </cell>
          <cell r="D1043" t="str">
            <v>GENERALE</v>
          </cell>
          <cell r="E1043" t="str">
            <v>N</v>
          </cell>
          <cell r="F1043">
            <v>0</v>
          </cell>
          <cell r="G1043">
            <v>0</v>
          </cell>
          <cell r="H1043">
            <v>383.25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383.25</v>
          </cell>
          <cell r="O1043">
            <v>383.25</v>
          </cell>
          <cell r="P1043">
            <v>383.25</v>
          </cell>
          <cell r="Q1043">
            <v>383.25</v>
          </cell>
          <cell r="R1043">
            <v>383.25</v>
          </cell>
          <cell r="S1043">
            <v>383.25</v>
          </cell>
          <cell r="T1043">
            <v>383.25</v>
          </cell>
          <cell r="U1043">
            <v>383.25</v>
          </cell>
          <cell r="V1043">
            <v>383.25</v>
          </cell>
          <cell r="W1043">
            <v>383.25</v>
          </cell>
          <cell r="X1043">
            <v>383.25</v>
          </cell>
          <cell r="Y1043">
            <v>383.25</v>
          </cell>
          <cell r="Z1043">
            <v>383.25</v>
          </cell>
          <cell r="AA1043">
            <v>383.25</v>
          </cell>
          <cell r="AB1043">
            <v>383.25</v>
          </cell>
          <cell r="AC1043">
            <v>383.25</v>
          </cell>
          <cell r="AD1043">
            <v>383.25</v>
          </cell>
          <cell r="AE1043">
            <v>383.25</v>
          </cell>
          <cell r="AF1043">
            <v>383.25</v>
          </cell>
          <cell r="AG1043">
            <v>383.25</v>
          </cell>
          <cell r="AH1043">
            <v>383.25</v>
          </cell>
          <cell r="AI1043">
            <v>383.25</v>
          </cell>
          <cell r="AJ1043">
            <v>383.25</v>
          </cell>
          <cell r="AK1043">
            <v>383.25</v>
          </cell>
          <cell r="AL1043">
            <v>0</v>
          </cell>
          <cell r="AM1043">
            <v>2</v>
          </cell>
          <cell r="AN1043" t="str">
            <v/>
          </cell>
          <cell r="AO1043">
            <v>0</v>
          </cell>
          <cell r="AP1043">
            <v>0</v>
          </cell>
          <cell r="AQ1043">
            <v>0</v>
          </cell>
          <cell r="AR1043">
            <v>290</v>
          </cell>
          <cell r="AS1043">
            <v>0</v>
          </cell>
          <cell r="AT1043" t="str">
            <v/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240</v>
          </cell>
          <cell r="BJ1043" t="str">
            <v/>
          </cell>
          <cell r="BK1043">
            <v>1700</v>
          </cell>
          <cell r="BL1043" t="str">
            <v>1</v>
          </cell>
          <cell r="BM1043" t="str">
            <v>1</v>
          </cell>
          <cell r="BN1043" t="str">
            <v/>
          </cell>
          <cell r="BO1043" t="str">
            <v/>
          </cell>
        </row>
        <row r="1044">
          <cell r="A1044">
            <v>2</v>
          </cell>
          <cell r="B1044">
            <v>1331051</v>
          </cell>
          <cell r="C1044" t="str">
            <v>BRUN 100 TONNES</v>
          </cell>
          <cell r="D1044" t="str">
            <v>WET END DRIVES</v>
          </cell>
          <cell r="E1044" t="str">
            <v>N</v>
          </cell>
          <cell r="F1044">
            <v>0</v>
          </cell>
          <cell r="G1044">
            <v>380010</v>
          </cell>
          <cell r="H1044">
            <v>328004.32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328004.32</v>
          </cell>
          <cell r="O1044">
            <v>328004.32</v>
          </cell>
          <cell r="P1044">
            <v>328004.32</v>
          </cell>
          <cell r="Q1044">
            <v>328004.32</v>
          </cell>
          <cell r="R1044">
            <v>328004.32</v>
          </cell>
          <cell r="S1044">
            <v>328004.32</v>
          </cell>
          <cell r="T1044">
            <v>328004.32</v>
          </cell>
          <cell r="U1044">
            <v>328004.32</v>
          </cell>
          <cell r="V1044">
            <v>328004.32</v>
          </cell>
          <cell r="W1044">
            <v>328004.32</v>
          </cell>
          <cell r="X1044">
            <v>328004.32</v>
          </cell>
          <cell r="Y1044">
            <v>328004.32</v>
          </cell>
          <cell r="Z1044">
            <v>327623.32</v>
          </cell>
          <cell r="AA1044">
            <v>328004.32</v>
          </cell>
          <cell r="AB1044">
            <v>328004.32</v>
          </cell>
          <cell r="AC1044">
            <v>328004.32</v>
          </cell>
          <cell r="AD1044">
            <v>328004.32</v>
          </cell>
          <cell r="AE1044">
            <v>328004.32</v>
          </cell>
          <cell r="AF1044">
            <v>328004.32</v>
          </cell>
          <cell r="AG1044">
            <v>328004.32</v>
          </cell>
          <cell r="AH1044">
            <v>328004.32</v>
          </cell>
          <cell r="AI1044">
            <v>328004.32</v>
          </cell>
          <cell r="AJ1044">
            <v>328004.32</v>
          </cell>
          <cell r="AK1044">
            <v>328004.32</v>
          </cell>
          <cell r="AL1044">
            <v>0</v>
          </cell>
          <cell r="AM1044">
            <v>1</v>
          </cell>
          <cell r="AN1044" t="str">
            <v/>
          </cell>
          <cell r="AO1044">
            <v>0</v>
          </cell>
          <cell r="AP1044">
            <v>0</v>
          </cell>
          <cell r="AQ1044">
            <v>0</v>
          </cell>
          <cell r="AR1044">
            <v>290</v>
          </cell>
          <cell r="AS1044">
            <v>0</v>
          </cell>
          <cell r="AT1044" t="str">
            <v/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240</v>
          </cell>
          <cell r="BJ1044" t="str">
            <v/>
          </cell>
          <cell r="BK1044">
            <v>1700</v>
          </cell>
          <cell r="BL1044" t="str">
            <v>1</v>
          </cell>
          <cell r="BM1044" t="str">
            <v>1</v>
          </cell>
          <cell r="BN1044" t="str">
            <v/>
          </cell>
          <cell r="BO1044" t="str">
            <v/>
          </cell>
        </row>
        <row r="1045">
          <cell r="A1045">
            <v>2</v>
          </cell>
          <cell r="B1045">
            <v>1331061</v>
          </cell>
          <cell r="C1045" t="str">
            <v>BRUN 100 TONNES</v>
          </cell>
          <cell r="D1045" t="str">
            <v>WET END HOTTES</v>
          </cell>
          <cell r="E1045" t="str">
            <v>N</v>
          </cell>
          <cell r="F1045">
            <v>0</v>
          </cell>
          <cell r="G1045">
            <v>524980</v>
          </cell>
          <cell r="H1045">
            <v>615990.52</v>
          </cell>
          <cell r="I1045">
            <v>38.92</v>
          </cell>
          <cell r="J1045">
            <v>38.92</v>
          </cell>
          <cell r="K1045">
            <v>0</v>
          </cell>
          <cell r="L1045">
            <v>0</v>
          </cell>
          <cell r="M1045">
            <v>0</v>
          </cell>
          <cell r="N1045">
            <v>616029.43999999994</v>
          </cell>
          <cell r="O1045">
            <v>616029.43999999994</v>
          </cell>
          <cell r="P1045">
            <v>616029.43999999994</v>
          </cell>
          <cell r="Q1045">
            <v>616029.43999999994</v>
          </cell>
          <cell r="R1045">
            <v>616029.43999999994</v>
          </cell>
          <cell r="S1045">
            <v>616029.43999999994</v>
          </cell>
          <cell r="T1045">
            <v>616029.43999999994</v>
          </cell>
          <cell r="U1045">
            <v>616029.43999999994</v>
          </cell>
          <cell r="V1045">
            <v>615990.52</v>
          </cell>
          <cell r="W1045">
            <v>615990.52</v>
          </cell>
          <cell r="X1045">
            <v>615990.52</v>
          </cell>
          <cell r="Y1045">
            <v>615990.52</v>
          </cell>
          <cell r="Z1045">
            <v>614513.06999999995</v>
          </cell>
          <cell r="AA1045">
            <v>615990.52</v>
          </cell>
          <cell r="AB1045">
            <v>615990.52</v>
          </cell>
          <cell r="AC1045">
            <v>615990.52</v>
          </cell>
          <cell r="AD1045">
            <v>615990.52</v>
          </cell>
          <cell r="AE1045">
            <v>615990.52</v>
          </cell>
          <cell r="AF1045">
            <v>615990.52</v>
          </cell>
          <cell r="AG1045">
            <v>615990.52</v>
          </cell>
          <cell r="AH1045">
            <v>615990.52</v>
          </cell>
          <cell r="AI1045">
            <v>615990.52</v>
          </cell>
          <cell r="AJ1045">
            <v>615990.52</v>
          </cell>
          <cell r="AK1045">
            <v>615990.52</v>
          </cell>
          <cell r="AL1045">
            <v>0</v>
          </cell>
          <cell r="AM1045">
            <v>1</v>
          </cell>
          <cell r="AN1045" t="str">
            <v/>
          </cell>
          <cell r="AO1045">
            <v>0</v>
          </cell>
          <cell r="AP1045">
            <v>0</v>
          </cell>
          <cell r="AQ1045">
            <v>0</v>
          </cell>
          <cell r="AR1045">
            <v>290</v>
          </cell>
          <cell r="AS1045">
            <v>0</v>
          </cell>
          <cell r="AT1045" t="str">
            <v/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240</v>
          </cell>
          <cell r="BJ1045" t="str">
            <v/>
          </cell>
          <cell r="BK1045">
            <v>1700</v>
          </cell>
          <cell r="BL1045" t="str">
            <v>1</v>
          </cell>
          <cell r="BM1045" t="str">
            <v>1</v>
          </cell>
          <cell r="BN1045" t="str">
            <v/>
          </cell>
          <cell r="BO1045" t="str">
            <v/>
          </cell>
        </row>
        <row r="1046">
          <cell r="A1046">
            <v>1</v>
          </cell>
          <cell r="B1046">
            <v>4479011</v>
          </cell>
          <cell r="C1046" t="str">
            <v>MATÉRIEL DIVERS</v>
          </cell>
          <cell r="D1046" t="str">
            <v>(FERAILLES ET MACH SHOP)</v>
          </cell>
          <cell r="E1046" t="str">
            <v>O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0</v>
          </cell>
          <cell r="AM1046">
            <v>1</v>
          </cell>
          <cell r="AN1046" t="str">
            <v/>
          </cell>
          <cell r="AO1046">
            <v>0</v>
          </cell>
          <cell r="AP1046">
            <v>0</v>
          </cell>
          <cell r="AQ1046">
            <v>0</v>
          </cell>
          <cell r="AR1046">
            <v>720</v>
          </cell>
          <cell r="AS1046">
            <v>0</v>
          </cell>
          <cell r="AT1046" t="str">
            <v/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 t="str">
            <v/>
          </cell>
          <cell r="BK1046">
            <v>7000</v>
          </cell>
          <cell r="BL1046" t="str">
            <v>0</v>
          </cell>
          <cell r="BM1046" t="str">
            <v>1</v>
          </cell>
          <cell r="BN1046" t="str">
            <v/>
          </cell>
          <cell r="BO1046" t="str">
            <v/>
          </cell>
        </row>
        <row r="1047">
          <cell r="A1047">
            <v>1</v>
          </cell>
          <cell r="B1047">
            <v>4341071</v>
          </cell>
          <cell r="C1047" t="str">
            <v>HABILLAGE DE MACHINE</v>
          </cell>
          <cell r="D1047" t="str">
            <v>SURE SAFE 405</v>
          </cell>
          <cell r="E1047" t="str">
            <v>O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0</v>
          </cell>
          <cell r="AM1047">
            <v>1</v>
          </cell>
          <cell r="AN1047" t="str">
            <v/>
          </cell>
          <cell r="AO1047">
            <v>0</v>
          </cell>
          <cell r="AP1047">
            <v>0</v>
          </cell>
          <cell r="AQ1047">
            <v>0</v>
          </cell>
          <cell r="AR1047">
            <v>740</v>
          </cell>
          <cell r="AS1047">
            <v>0</v>
          </cell>
          <cell r="AT1047" t="str">
            <v/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1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 t="str">
            <v/>
          </cell>
          <cell r="BK1047">
            <v>6300</v>
          </cell>
          <cell r="BL1047" t="str">
            <v>0</v>
          </cell>
          <cell r="BM1047" t="str">
            <v>1</v>
          </cell>
          <cell r="BN1047" t="str">
            <v/>
          </cell>
          <cell r="BO1047" t="str">
            <v/>
          </cell>
        </row>
        <row r="1048">
          <cell r="A1048">
            <v>1</v>
          </cell>
          <cell r="B1048">
            <v>1164010</v>
          </cell>
          <cell r="C1048" t="str">
            <v>INV PIECES DE RECHANGES</v>
          </cell>
          <cell r="D1048" t="str">
            <v>TOTES DE PROD. CHIMIQUES</v>
          </cell>
          <cell r="E1048" t="str">
            <v>O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12150</v>
          </cell>
          <cell r="AA1048">
            <v>12150</v>
          </cell>
          <cell r="AB1048">
            <v>0</v>
          </cell>
          <cell r="AC1048">
            <v>0</v>
          </cell>
          <cell r="AD1048">
            <v>4800</v>
          </cell>
          <cell r="AE1048">
            <v>7200</v>
          </cell>
          <cell r="AF1048">
            <v>10000</v>
          </cell>
          <cell r="AG1048">
            <v>0</v>
          </cell>
          <cell r="AH1048">
            <v>0</v>
          </cell>
          <cell r="AI1048">
            <v>5600</v>
          </cell>
          <cell r="AJ1048">
            <v>5600</v>
          </cell>
          <cell r="AK1048">
            <v>0</v>
          </cell>
          <cell r="AL1048">
            <v>0</v>
          </cell>
          <cell r="AM1048">
            <v>0</v>
          </cell>
          <cell r="AN1048" t="str">
            <v/>
          </cell>
          <cell r="AO1048">
            <v>0</v>
          </cell>
          <cell r="AP1048">
            <v>0</v>
          </cell>
          <cell r="AQ1048">
            <v>0</v>
          </cell>
          <cell r="AR1048">
            <v>100</v>
          </cell>
          <cell r="AS1048">
            <v>0</v>
          </cell>
          <cell r="AT1048" t="str">
            <v/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 t="str">
            <v/>
          </cell>
          <cell r="BK1048">
            <v>1600</v>
          </cell>
          <cell r="BL1048" t="str">
            <v>0</v>
          </cell>
          <cell r="BM1048" t="str">
            <v>1</v>
          </cell>
          <cell r="BN1048" t="str">
            <v/>
          </cell>
          <cell r="BO1048" t="str">
            <v/>
          </cell>
        </row>
        <row r="1049">
          <cell r="A1049">
            <v>1</v>
          </cell>
          <cell r="B1049">
            <v>4709004</v>
          </cell>
          <cell r="C1049" t="str">
            <v>VENTE ENTRE DIVISION</v>
          </cell>
          <cell r="D1049" t="str">
            <v>REBUTS DE BOITES</v>
          </cell>
          <cell r="E1049" t="str">
            <v>O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4</v>
          </cell>
          <cell r="AN1049" t="str">
            <v/>
          </cell>
          <cell r="AO1049">
            <v>0</v>
          </cell>
          <cell r="AP1049">
            <v>0</v>
          </cell>
          <cell r="AQ1049">
            <v>0</v>
          </cell>
          <cell r="AR1049">
            <v>660</v>
          </cell>
          <cell r="AS1049">
            <v>0</v>
          </cell>
          <cell r="AT1049" t="str">
            <v/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 t="str">
            <v/>
          </cell>
          <cell r="BK1049">
            <v>7000</v>
          </cell>
          <cell r="BL1049" t="str">
            <v>0</v>
          </cell>
          <cell r="BM1049" t="str">
            <v>1</v>
          </cell>
          <cell r="BN1049" t="str">
            <v/>
          </cell>
          <cell r="BO1049" t="str">
            <v/>
          </cell>
        </row>
        <row r="1050">
          <cell r="A1050">
            <v>1</v>
          </cell>
          <cell r="B1050">
            <v>4221851</v>
          </cell>
          <cell r="C1050" t="str">
            <v>MATIERE PREMIERE   ACHATS</v>
          </cell>
          <cell r="D1050" t="str">
            <v>NORTH. SOFTWOOD -GRADE#85</v>
          </cell>
          <cell r="E1050" t="str">
            <v>O</v>
          </cell>
          <cell r="F1050">
            <v>0</v>
          </cell>
          <cell r="G1050">
            <v>0</v>
          </cell>
          <cell r="H1050">
            <v>265504.53999999998</v>
          </cell>
          <cell r="I1050">
            <v>428041.4</v>
          </cell>
          <cell r="J1050">
            <v>162536.85999999999</v>
          </cell>
          <cell r="K1050">
            <v>0</v>
          </cell>
          <cell r="L1050">
            <v>41767.79</v>
          </cell>
          <cell r="M1050">
            <v>0</v>
          </cell>
          <cell r="N1050">
            <v>17028.599999999999</v>
          </cell>
          <cell r="O1050">
            <v>51813.81</v>
          </cell>
          <cell r="P1050">
            <v>67389.460000000006</v>
          </cell>
          <cell r="Q1050">
            <v>67184.490000000005</v>
          </cell>
          <cell r="R1050">
            <v>123389.6</v>
          </cell>
          <cell r="S1050">
            <v>127975.99</v>
          </cell>
          <cell r="T1050">
            <v>147184.74</v>
          </cell>
          <cell r="U1050">
            <v>215603.9</v>
          </cell>
          <cell r="V1050">
            <v>261200.54</v>
          </cell>
          <cell r="W1050">
            <v>261200.54</v>
          </cell>
          <cell r="X1050">
            <v>265504.53999999998</v>
          </cell>
          <cell r="Y1050">
            <v>307272.33</v>
          </cell>
          <cell r="Z1050">
            <v>25835.22</v>
          </cell>
          <cell r="AA1050">
            <v>44150.83</v>
          </cell>
          <cell r="AB1050">
            <v>91032.16</v>
          </cell>
          <cell r="AC1050">
            <v>117531.16</v>
          </cell>
          <cell r="AD1050">
            <v>153877.56</v>
          </cell>
          <cell r="AE1050">
            <v>192255.39</v>
          </cell>
          <cell r="AF1050">
            <v>216211.69</v>
          </cell>
          <cell r="AG1050">
            <v>258706.68</v>
          </cell>
          <cell r="AH1050">
            <v>291676.59000000003</v>
          </cell>
          <cell r="AI1050">
            <v>290948.03999999998</v>
          </cell>
          <cell r="AJ1050">
            <v>290707.53000000003</v>
          </cell>
          <cell r="AK1050">
            <v>301654.44</v>
          </cell>
          <cell r="AL1050">
            <v>0</v>
          </cell>
          <cell r="AM1050">
            <v>1</v>
          </cell>
          <cell r="AN1050" t="str">
            <v/>
          </cell>
          <cell r="AO1050">
            <v>0</v>
          </cell>
          <cell r="AP1050">
            <v>0</v>
          </cell>
          <cell r="AQ1050">
            <v>0</v>
          </cell>
          <cell r="AR1050">
            <v>660</v>
          </cell>
          <cell r="AS1050">
            <v>0</v>
          </cell>
          <cell r="AT1050" t="str">
            <v/>
          </cell>
          <cell r="AU1050">
            <v>1851</v>
          </cell>
          <cell r="AV1050">
            <v>0</v>
          </cell>
          <cell r="AW1050">
            <v>70.12</v>
          </cell>
          <cell r="AX1050">
            <v>0</v>
          </cell>
          <cell r="AY1050">
            <v>0</v>
          </cell>
          <cell r="AZ1050">
            <v>11.86</v>
          </cell>
          <cell r="BA1050">
            <v>0</v>
          </cell>
          <cell r="BB1050">
            <v>0</v>
          </cell>
          <cell r="BC1050">
            <v>1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 t="str">
            <v/>
          </cell>
          <cell r="BK1050">
            <v>5100</v>
          </cell>
          <cell r="BL1050" t="str">
            <v>0</v>
          </cell>
          <cell r="BM1050" t="str">
            <v>1</v>
          </cell>
          <cell r="BN1050" t="str">
            <v/>
          </cell>
          <cell r="BO1050" t="str">
            <v/>
          </cell>
        </row>
        <row r="1051">
          <cell r="A1051">
            <v>1</v>
          </cell>
          <cell r="B1051">
            <v>1164020</v>
          </cell>
          <cell r="C1051" t="str">
            <v>INV PIECES DE RECHANGES</v>
          </cell>
          <cell r="D1051" t="str">
            <v>TOILES ET FEUTRES</v>
          </cell>
          <cell r="E1051" t="str">
            <v>O</v>
          </cell>
          <cell r="F1051">
            <v>0</v>
          </cell>
          <cell r="G1051">
            <v>0</v>
          </cell>
          <cell r="H1051">
            <v>165765.51999999999</v>
          </cell>
          <cell r="I1051">
            <v>1611256.5</v>
          </cell>
          <cell r="J1051">
            <v>1552389.98</v>
          </cell>
          <cell r="K1051">
            <v>0</v>
          </cell>
          <cell r="L1051">
            <v>137065.51999999999</v>
          </cell>
          <cell r="M1051">
            <v>165765.51999999999</v>
          </cell>
          <cell r="N1051">
            <v>52781</v>
          </cell>
          <cell r="O1051">
            <v>125774</v>
          </cell>
          <cell r="P1051">
            <v>159894.73000000001</v>
          </cell>
          <cell r="Q1051">
            <v>155874.73000000001</v>
          </cell>
          <cell r="R1051">
            <v>149099.82</v>
          </cell>
          <cell r="S1051">
            <v>151591.22</v>
          </cell>
          <cell r="T1051">
            <v>153152.22</v>
          </cell>
          <cell r="U1051">
            <v>148023.22</v>
          </cell>
          <cell r="V1051">
            <v>128960.52</v>
          </cell>
          <cell r="W1051">
            <v>141765.51999999999</v>
          </cell>
          <cell r="X1051">
            <v>165765.51999999999</v>
          </cell>
          <cell r="Y1051">
            <v>137065.51999999999</v>
          </cell>
          <cell r="Z1051">
            <v>110217</v>
          </cell>
          <cell r="AA1051">
            <v>128323</v>
          </cell>
          <cell r="AB1051">
            <v>84956</v>
          </cell>
          <cell r="AC1051">
            <v>115030</v>
          </cell>
          <cell r="AD1051">
            <v>120030</v>
          </cell>
          <cell r="AE1051">
            <v>128243</v>
          </cell>
          <cell r="AF1051">
            <v>148856</v>
          </cell>
          <cell r="AG1051">
            <v>150268</v>
          </cell>
          <cell r="AH1051">
            <v>124312</v>
          </cell>
          <cell r="AI1051">
            <v>166055</v>
          </cell>
          <cell r="AJ1051">
            <v>144855</v>
          </cell>
          <cell r="AK1051">
            <v>106899</v>
          </cell>
          <cell r="AL1051">
            <v>0</v>
          </cell>
          <cell r="AM1051">
            <v>0</v>
          </cell>
          <cell r="AN1051" t="str">
            <v/>
          </cell>
          <cell r="AO1051">
            <v>0</v>
          </cell>
          <cell r="AP1051">
            <v>0</v>
          </cell>
          <cell r="AQ1051">
            <v>0</v>
          </cell>
          <cell r="AR1051">
            <v>100</v>
          </cell>
          <cell r="AS1051">
            <v>0</v>
          </cell>
          <cell r="AT1051" t="str">
            <v/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 t="str">
            <v/>
          </cell>
          <cell r="BK1051">
            <v>1600</v>
          </cell>
          <cell r="BL1051" t="str">
            <v>0</v>
          </cell>
          <cell r="BM1051" t="str">
            <v>1</v>
          </cell>
          <cell r="BN1051" t="str">
            <v/>
          </cell>
          <cell r="BO1051" t="str">
            <v/>
          </cell>
        </row>
        <row r="1052">
          <cell r="A1052">
            <v>1</v>
          </cell>
          <cell r="B1052">
            <v>4460001</v>
          </cell>
          <cell r="C1052" t="str">
            <v>MECANICIENS</v>
          </cell>
          <cell r="D1052" t="str">
            <v>ENTRETIENT</v>
          </cell>
          <cell r="E1052" t="str">
            <v>O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416</v>
          </cell>
          <cell r="AB1052">
            <v>544</v>
          </cell>
          <cell r="AC1052">
            <v>544</v>
          </cell>
          <cell r="AD1052">
            <v>544</v>
          </cell>
          <cell r="AE1052">
            <v>544</v>
          </cell>
          <cell r="AF1052">
            <v>544</v>
          </cell>
          <cell r="AG1052">
            <v>544</v>
          </cell>
          <cell r="AH1052">
            <v>544</v>
          </cell>
          <cell r="AI1052">
            <v>544</v>
          </cell>
          <cell r="AJ1052">
            <v>544</v>
          </cell>
          <cell r="AK1052">
            <v>544</v>
          </cell>
          <cell r="AL1052">
            <v>0</v>
          </cell>
          <cell r="AM1052">
            <v>1</v>
          </cell>
          <cell r="AN1052" t="str">
            <v/>
          </cell>
          <cell r="AO1052">
            <v>0</v>
          </cell>
          <cell r="AP1052">
            <v>0</v>
          </cell>
          <cell r="AQ1052">
            <v>0</v>
          </cell>
          <cell r="AR1052">
            <v>700</v>
          </cell>
          <cell r="AS1052">
            <v>0</v>
          </cell>
          <cell r="AT1052" t="str">
            <v/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 t="str">
            <v/>
          </cell>
          <cell r="BK1052">
            <v>7000</v>
          </cell>
          <cell r="BL1052" t="str">
            <v>0</v>
          </cell>
          <cell r="BM1052" t="str">
            <v>1</v>
          </cell>
          <cell r="BN1052" t="str">
            <v/>
          </cell>
          <cell r="BO1052" t="str">
            <v/>
          </cell>
        </row>
        <row r="1053">
          <cell r="A1053">
            <v>1</v>
          </cell>
          <cell r="B1053">
            <v>4470001</v>
          </cell>
          <cell r="C1053" t="str">
            <v>ENTRETIEN ET REPARATIONS</v>
          </cell>
          <cell r="D1053" t="str">
            <v>GENERAL MACHINE SHOP</v>
          </cell>
          <cell r="E1053" t="str">
            <v>O</v>
          </cell>
          <cell r="F1053">
            <v>0</v>
          </cell>
          <cell r="G1053">
            <v>0</v>
          </cell>
          <cell r="H1053">
            <v>96184.19</v>
          </cell>
          <cell r="I1053">
            <v>131202.67000000001</v>
          </cell>
          <cell r="J1053">
            <v>35018.480000000003</v>
          </cell>
          <cell r="K1053">
            <v>0</v>
          </cell>
          <cell r="L1053">
            <v>14502.49</v>
          </cell>
          <cell r="M1053">
            <v>6182.82</v>
          </cell>
          <cell r="N1053">
            <v>6856.74</v>
          </cell>
          <cell r="O1053">
            <v>19368.96</v>
          </cell>
          <cell r="P1053">
            <v>27500.42</v>
          </cell>
          <cell r="Q1053">
            <v>35028.26</v>
          </cell>
          <cell r="R1053">
            <v>39517.35</v>
          </cell>
          <cell r="S1053">
            <v>48620.78</v>
          </cell>
          <cell r="T1053">
            <v>55460.27</v>
          </cell>
          <cell r="U1053">
            <v>63031.39</v>
          </cell>
          <cell r="V1053">
            <v>71961.210000000006</v>
          </cell>
          <cell r="W1053">
            <v>83925.119999999995</v>
          </cell>
          <cell r="X1053">
            <v>96184.19</v>
          </cell>
          <cell r="Y1053">
            <v>104503.86</v>
          </cell>
          <cell r="Z1053">
            <v>19644.259999999998</v>
          </cell>
          <cell r="AA1053">
            <v>23821.11</v>
          </cell>
          <cell r="AB1053">
            <v>33219.019999999997</v>
          </cell>
          <cell r="AC1053">
            <v>35405.300000000003</v>
          </cell>
          <cell r="AD1053">
            <v>46491.12</v>
          </cell>
          <cell r="AE1053">
            <v>55259.1</v>
          </cell>
          <cell r="AF1053">
            <v>67861.14</v>
          </cell>
          <cell r="AG1053">
            <v>83920.09</v>
          </cell>
          <cell r="AH1053">
            <v>97685.24</v>
          </cell>
          <cell r="AI1053">
            <v>105738.54</v>
          </cell>
          <cell r="AJ1053">
            <v>125267.22</v>
          </cell>
          <cell r="AK1053">
            <v>142476.87</v>
          </cell>
          <cell r="AL1053">
            <v>0</v>
          </cell>
          <cell r="AM1053">
            <v>1</v>
          </cell>
          <cell r="AN1053" t="str">
            <v/>
          </cell>
          <cell r="AO1053">
            <v>0</v>
          </cell>
          <cell r="AP1053">
            <v>0</v>
          </cell>
          <cell r="AQ1053">
            <v>0</v>
          </cell>
          <cell r="AR1053">
            <v>720</v>
          </cell>
          <cell r="AS1053">
            <v>0</v>
          </cell>
          <cell r="AT1053" t="str">
            <v/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 t="str">
            <v/>
          </cell>
          <cell r="BK1053">
            <v>7000</v>
          </cell>
          <cell r="BL1053" t="str">
            <v>0</v>
          </cell>
          <cell r="BM1053" t="str">
            <v>1</v>
          </cell>
          <cell r="BN1053" t="str">
            <v/>
          </cell>
          <cell r="BO1053" t="str">
            <v/>
          </cell>
        </row>
        <row r="1054">
          <cell r="A1054">
            <v>1</v>
          </cell>
          <cell r="B1054">
            <v>5006001</v>
          </cell>
          <cell r="C1054" t="str">
            <v>SALAIRE ADM</v>
          </cell>
          <cell r="D1054" t="str">
            <v>ACTIVITES</v>
          </cell>
          <cell r="E1054" t="str">
            <v>O</v>
          </cell>
          <cell r="F1054">
            <v>0</v>
          </cell>
          <cell r="G1054">
            <v>0</v>
          </cell>
          <cell r="H1054">
            <v>18180.37</v>
          </cell>
          <cell r="I1054">
            <v>19681.3</v>
          </cell>
          <cell r="J1054">
            <v>1500.93</v>
          </cell>
          <cell r="K1054">
            <v>0</v>
          </cell>
          <cell r="L1054">
            <v>180</v>
          </cell>
          <cell r="M1054">
            <v>0</v>
          </cell>
          <cell r="N1054">
            <v>259.92</v>
          </cell>
          <cell r="O1054">
            <v>1743.37</v>
          </cell>
          <cell r="P1054">
            <v>10330.200000000001</v>
          </cell>
          <cell r="Q1054">
            <v>10350.200000000001</v>
          </cell>
          <cell r="R1054">
            <v>11025.2</v>
          </cell>
          <cell r="S1054">
            <v>12163.36</v>
          </cell>
          <cell r="T1054">
            <v>12483.36</v>
          </cell>
          <cell r="U1054">
            <v>12314.4</v>
          </cell>
          <cell r="V1054">
            <v>12577.41</v>
          </cell>
          <cell r="W1054">
            <v>14306.02</v>
          </cell>
          <cell r="X1054">
            <v>18180.37</v>
          </cell>
          <cell r="Y1054">
            <v>18360.37</v>
          </cell>
          <cell r="Z1054">
            <v>208.21</v>
          </cell>
          <cell r="AA1054">
            <v>666.62</v>
          </cell>
          <cell r="AB1054">
            <v>2531.5300000000002</v>
          </cell>
          <cell r="AC1054">
            <v>4402.88</v>
          </cell>
          <cell r="AD1054">
            <v>4827.88</v>
          </cell>
          <cell r="AE1054">
            <v>5168.33</v>
          </cell>
          <cell r="AF1054">
            <v>5139.2700000000004</v>
          </cell>
          <cell r="AG1054">
            <v>12320.46</v>
          </cell>
          <cell r="AH1054">
            <v>13595.99</v>
          </cell>
          <cell r="AI1054">
            <v>12601</v>
          </cell>
          <cell r="AJ1054">
            <v>13448.69</v>
          </cell>
          <cell r="AK1054">
            <v>14248.69</v>
          </cell>
          <cell r="AL1054">
            <v>0</v>
          </cell>
          <cell r="AM1054">
            <v>1</v>
          </cell>
          <cell r="AN1054" t="str">
            <v/>
          </cell>
          <cell r="AO1054">
            <v>0</v>
          </cell>
          <cell r="AP1054">
            <v>0</v>
          </cell>
          <cell r="AQ1054">
            <v>0</v>
          </cell>
          <cell r="AR1054">
            <v>810</v>
          </cell>
          <cell r="AS1054">
            <v>0</v>
          </cell>
          <cell r="AT1054" t="str">
            <v/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 t="str">
            <v/>
          </cell>
          <cell r="BK1054">
            <v>7200</v>
          </cell>
          <cell r="BL1054" t="str">
            <v>0</v>
          </cell>
          <cell r="BM1054" t="str">
            <v>1</v>
          </cell>
          <cell r="BN1054" t="str">
            <v/>
          </cell>
          <cell r="BO1054" t="str">
            <v/>
          </cell>
        </row>
        <row r="1055">
          <cell r="A1055">
            <v>2</v>
          </cell>
          <cell r="B1055">
            <v>1331071</v>
          </cell>
          <cell r="C1055" t="str">
            <v>BRUN 100 TONNES</v>
          </cell>
          <cell r="D1055" t="str">
            <v>MESUREX</v>
          </cell>
          <cell r="E1055" t="str">
            <v>O</v>
          </cell>
          <cell r="F1055">
            <v>0</v>
          </cell>
          <cell r="G1055">
            <v>250000</v>
          </cell>
          <cell r="H1055">
            <v>348834.53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348834.53</v>
          </cell>
          <cell r="O1055">
            <v>348834.53</v>
          </cell>
          <cell r="P1055">
            <v>348834.53</v>
          </cell>
          <cell r="Q1055">
            <v>348834.53</v>
          </cell>
          <cell r="R1055">
            <v>348834.53</v>
          </cell>
          <cell r="S1055">
            <v>348834.53</v>
          </cell>
          <cell r="T1055">
            <v>348834.53</v>
          </cell>
          <cell r="U1055">
            <v>348834.53</v>
          </cell>
          <cell r="V1055">
            <v>348834.53</v>
          </cell>
          <cell r="W1055">
            <v>348834.53</v>
          </cell>
          <cell r="X1055">
            <v>348834.53</v>
          </cell>
          <cell r="Y1055">
            <v>348834.53</v>
          </cell>
          <cell r="Z1055">
            <v>333784.90000000002</v>
          </cell>
          <cell r="AA1055">
            <v>333784.90000000002</v>
          </cell>
          <cell r="AB1055">
            <v>333784.90000000002</v>
          </cell>
          <cell r="AC1055">
            <v>333784.90000000002</v>
          </cell>
          <cell r="AD1055">
            <v>333784.90000000002</v>
          </cell>
          <cell r="AE1055">
            <v>333784.90000000002</v>
          </cell>
          <cell r="AF1055">
            <v>339706.02</v>
          </cell>
          <cell r="AG1055">
            <v>348834.53</v>
          </cell>
          <cell r="AH1055">
            <v>348834.53</v>
          </cell>
          <cell r="AI1055">
            <v>348834.53</v>
          </cell>
          <cell r="AJ1055">
            <v>348834.53</v>
          </cell>
          <cell r="AK1055">
            <v>348834.53</v>
          </cell>
          <cell r="AL1055">
            <v>0</v>
          </cell>
          <cell r="AM1055">
            <v>1</v>
          </cell>
          <cell r="AN1055" t="str">
            <v/>
          </cell>
          <cell r="AO1055">
            <v>0</v>
          </cell>
          <cell r="AP1055">
            <v>0</v>
          </cell>
          <cell r="AQ1055">
            <v>0</v>
          </cell>
          <cell r="AR1055">
            <v>290</v>
          </cell>
          <cell r="AS1055">
            <v>0</v>
          </cell>
          <cell r="AT1055" t="str">
            <v/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240</v>
          </cell>
          <cell r="BJ1055" t="str">
            <v/>
          </cell>
          <cell r="BK1055">
            <v>1700</v>
          </cell>
          <cell r="BL1055" t="str">
            <v>1</v>
          </cell>
          <cell r="BM1055" t="str">
            <v>1</v>
          </cell>
          <cell r="BN1055" t="str">
            <v/>
          </cell>
          <cell r="BO1055" t="str">
            <v/>
          </cell>
        </row>
        <row r="1056">
          <cell r="A1056">
            <v>2</v>
          </cell>
          <cell r="B1056">
            <v>1331081</v>
          </cell>
          <cell r="C1056" t="str">
            <v>BRUN 100 TONNES</v>
          </cell>
          <cell r="D1056" t="str">
            <v>WET END TOIT</v>
          </cell>
          <cell r="E1056" t="str">
            <v>O</v>
          </cell>
          <cell r="F1056">
            <v>0</v>
          </cell>
          <cell r="G1056">
            <v>380000</v>
          </cell>
          <cell r="H1056">
            <v>606480.41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606480.41</v>
          </cell>
          <cell r="O1056">
            <v>606480.41</v>
          </cell>
          <cell r="P1056">
            <v>606480.41</v>
          </cell>
          <cell r="Q1056">
            <v>606480.41</v>
          </cell>
          <cell r="R1056">
            <v>606480.41</v>
          </cell>
          <cell r="S1056">
            <v>606480.41</v>
          </cell>
          <cell r="T1056">
            <v>606480.41</v>
          </cell>
          <cell r="U1056">
            <v>606480.41</v>
          </cell>
          <cell r="V1056">
            <v>606480.41</v>
          </cell>
          <cell r="W1056">
            <v>606480.41</v>
          </cell>
          <cell r="X1056">
            <v>606480.41</v>
          </cell>
          <cell r="Y1056">
            <v>606480.41</v>
          </cell>
          <cell r="Z1056">
            <v>606480.41</v>
          </cell>
          <cell r="AA1056">
            <v>606480.41</v>
          </cell>
          <cell r="AB1056">
            <v>606480.41</v>
          </cell>
          <cell r="AC1056">
            <v>606480.41</v>
          </cell>
          <cell r="AD1056">
            <v>606480.41</v>
          </cell>
          <cell r="AE1056">
            <v>606480.41</v>
          </cell>
          <cell r="AF1056">
            <v>606480.41</v>
          </cell>
          <cell r="AG1056">
            <v>606480.41</v>
          </cell>
          <cell r="AH1056">
            <v>606480.41</v>
          </cell>
          <cell r="AI1056">
            <v>606480.41</v>
          </cell>
          <cell r="AJ1056">
            <v>606480.41</v>
          </cell>
          <cell r="AK1056">
            <v>606480.41</v>
          </cell>
          <cell r="AL1056">
            <v>0</v>
          </cell>
          <cell r="AM1056">
            <v>1</v>
          </cell>
          <cell r="AN1056" t="str">
            <v/>
          </cell>
          <cell r="AO1056">
            <v>0</v>
          </cell>
          <cell r="AP1056">
            <v>0</v>
          </cell>
          <cell r="AQ1056">
            <v>0</v>
          </cell>
          <cell r="AR1056">
            <v>290</v>
          </cell>
          <cell r="AS1056">
            <v>0</v>
          </cell>
          <cell r="AT1056" t="str">
            <v/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240</v>
          </cell>
          <cell r="BJ1056" t="str">
            <v/>
          </cell>
          <cell r="BK1056">
            <v>1700</v>
          </cell>
          <cell r="BL1056" t="str">
            <v>1</v>
          </cell>
          <cell r="BM1056" t="str">
            <v>1</v>
          </cell>
          <cell r="BN1056" t="str">
            <v/>
          </cell>
          <cell r="BO1056" t="str">
            <v/>
          </cell>
        </row>
        <row r="1057">
          <cell r="A1057">
            <v>1</v>
          </cell>
          <cell r="B1057">
            <v>4211851</v>
          </cell>
          <cell r="C1057" t="str">
            <v>INV MAT PREM</v>
          </cell>
          <cell r="D1057" t="str">
            <v>DEBUT-PATE BLANC SOFTWOOD</v>
          </cell>
          <cell r="E1057" t="str">
            <v>O</v>
          </cell>
          <cell r="F1057">
            <v>0</v>
          </cell>
          <cell r="G1057">
            <v>0</v>
          </cell>
          <cell r="H1057">
            <v>16416</v>
          </cell>
          <cell r="I1057">
            <v>500349.81</v>
          </cell>
          <cell r="J1057">
            <v>516765.81</v>
          </cell>
          <cell r="K1057">
            <v>0</v>
          </cell>
          <cell r="L1057">
            <v>16416</v>
          </cell>
          <cell r="M1057">
            <v>19441</v>
          </cell>
          <cell r="N1057">
            <v>3271.2</v>
          </cell>
          <cell r="O1057">
            <v>31006</v>
          </cell>
          <cell r="P1057">
            <v>29651.39</v>
          </cell>
          <cell r="Q1057">
            <v>9466.7900000000009</v>
          </cell>
          <cell r="R1057">
            <v>46471.51</v>
          </cell>
          <cell r="S1057">
            <v>18479</v>
          </cell>
          <cell r="T1057">
            <v>5207.0600000000004</v>
          </cell>
          <cell r="U1057">
            <v>55699.87</v>
          </cell>
          <cell r="V1057">
            <v>62351.38</v>
          </cell>
          <cell r="W1057">
            <v>41962</v>
          </cell>
          <cell r="X1057">
            <v>16416</v>
          </cell>
          <cell r="Y1057">
            <v>19441</v>
          </cell>
          <cell r="Z1057">
            <v>5244</v>
          </cell>
          <cell r="AA1057">
            <v>5736</v>
          </cell>
          <cell r="AB1057">
            <v>16091.2</v>
          </cell>
          <cell r="AC1057">
            <v>22042</v>
          </cell>
          <cell r="AD1057">
            <v>13899.6</v>
          </cell>
          <cell r="AE1057">
            <v>19229.400000000001</v>
          </cell>
          <cell r="AF1057">
            <v>4957.2</v>
          </cell>
          <cell r="AG1057">
            <v>2052</v>
          </cell>
          <cell r="AH1057">
            <v>9698.4</v>
          </cell>
          <cell r="AI1057">
            <v>0</v>
          </cell>
          <cell r="AJ1057">
            <v>0</v>
          </cell>
          <cell r="AK1057">
            <v>4034.11</v>
          </cell>
          <cell r="AL1057">
            <v>4790</v>
          </cell>
          <cell r="AM1057">
            <v>1</v>
          </cell>
          <cell r="AN1057" t="str">
            <v/>
          </cell>
          <cell r="AO1057">
            <v>0</v>
          </cell>
          <cell r="AP1057">
            <v>0</v>
          </cell>
          <cell r="AQ1057">
            <v>0</v>
          </cell>
          <cell r="AR1057">
            <v>650</v>
          </cell>
          <cell r="AS1057">
            <v>0</v>
          </cell>
          <cell r="AT1057" t="str">
            <v/>
          </cell>
          <cell r="AU1057">
            <v>0</v>
          </cell>
          <cell r="AV1057">
            <v>30.4</v>
          </cell>
          <cell r="AW1057">
            <v>0</v>
          </cell>
          <cell r="AX1057">
            <v>32.630000000000003</v>
          </cell>
          <cell r="AY1057">
            <v>19441</v>
          </cell>
          <cell r="AZ1057">
            <v>-30.4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 t="str">
            <v/>
          </cell>
          <cell r="BK1057">
            <v>5100</v>
          </cell>
          <cell r="BL1057" t="str">
            <v>0</v>
          </cell>
          <cell r="BM1057" t="str">
            <v>1</v>
          </cell>
          <cell r="BN1057" t="str">
            <v/>
          </cell>
          <cell r="BO1057" t="str">
            <v/>
          </cell>
        </row>
        <row r="1058">
          <cell r="A1058">
            <v>1</v>
          </cell>
          <cell r="B1058">
            <v>4211321</v>
          </cell>
          <cell r="C1058" t="str">
            <v>INV MAT PREM</v>
          </cell>
          <cell r="D1058" t="str">
            <v>WHITE LEDGER</v>
          </cell>
          <cell r="E1058" t="str">
            <v>O</v>
          </cell>
          <cell r="F1058">
            <v>0</v>
          </cell>
          <cell r="G1058">
            <v>0</v>
          </cell>
          <cell r="H1058">
            <v>14764</v>
          </cell>
          <cell r="I1058">
            <v>143121.29999999999</v>
          </cell>
          <cell r="J1058">
            <v>157885.29999999999</v>
          </cell>
          <cell r="K1058">
            <v>0</v>
          </cell>
          <cell r="L1058">
            <v>14764</v>
          </cell>
          <cell r="M1058">
            <v>2524</v>
          </cell>
          <cell r="N1058">
            <v>0</v>
          </cell>
          <cell r="O1058">
            <v>0</v>
          </cell>
          <cell r="P1058">
            <v>0</v>
          </cell>
          <cell r="Q1058">
            <v>2056.5500000000002</v>
          </cell>
          <cell r="R1058">
            <v>23065.02</v>
          </cell>
          <cell r="S1058">
            <v>14294.6</v>
          </cell>
          <cell r="T1058">
            <v>28061.31</v>
          </cell>
          <cell r="U1058">
            <v>8826.5</v>
          </cell>
          <cell r="V1058">
            <v>5440.86</v>
          </cell>
          <cell r="W1058">
            <v>6164</v>
          </cell>
          <cell r="X1058">
            <v>14764</v>
          </cell>
          <cell r="Y1058">
            <v>2524</v>
          </cell>
          <cell r="Z1058">
            <v>0</v>
          </cell>
          <cell r="AA1058">
            <v>7837.74</v>
          </cell>
          <cell r="AB1058">
            <v>5088.47</v>
          </cell>
          <cell r="AC1058">
            <v>6831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6894.36</v>
          </cell>
          <cell r="AI1058">
            <v>0</v>
          </cell>
          <cell r="AJ1058">
            <v>0</v>
          </cell>
          <cell r="AK1058">
            <v>0</v>
          </cell>
          <cell r="AL1058">
            <v>0</v>
          </cell>
          <cell r="AM1058">
            <v>1</v>
          </cell>
          <cell r="AN1058" t="str">
            <v/>
          </cell>
          <cell r="AO1058">
            <v>0</v>
          </cell>
          <cell r="AP1058">
            <v>0</v>
          </cell>
          <cell r="AQ1058">
            <v>0</v>
          </cell>
          <cell r="AR1058">
            <v>650</v>
          </cell>
          <cell r="AS1058">
            <v>0</v>
          </cell>
          <cell r="AT1058" t="str">
            <v/>
          </cell>
          <cell r="AU1058">
            <v>0</v>
          </cell>
          <cell r="AV1058">
            <v>51.47</v>
          </cell>
          <cell r="AW1058">
            <v>0</v>
          </cell>
          <cell r="AX1058">
            <v>9.56</v>
          </cell>
          <cell r="AY1058">
            <v>2524</v>
          </cell>
          <cell r="AZ1058">
            <v>-51.47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 t="str">
            <v/>
          </cell>
          <cell r="BK1058">
            <v>5100</v>
          </cell>
          <cell r="BL1058" t="str">
            <v>0</v>
          </cell>
          <cell r="BM1058" t="str">
            <v>1</v>
          </cell>
          <cell r="BN1058" t="str">
            <v/>
          </cell>
          <cell r="BO1058" t="str">
            <v/>
          </cell>
        </row>
        <row r="1059">
          <cell r="A1059">
            <v>1</v>
          </cell>
          <cell r="B1059">
            <v>1332510</v>
          </cell>
          <cell r="C1059" t="str">
            <v>THERMO-2000 RINCEUR</v>
          </cell>
          <cell r="D1059" t="str">
            <v/>
          </cell>
          <cell r="E1059" t="str">
            <v>O</v>
          </cell>
          <cell r="F1059">
            <v>0</v>
          </cell>
          <cell r="G1059">
            <v>0</v>
          </cell>
          <cell r="H1059">
            <v>38949.67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38949.67</v>
          </cell>
          <cell r="O1059">
            <v>38949.67</v>
          </cell>
          <cell r="P1059">
            <v>38949.67</v>
          </cell>
          <cell r="Q1059">
            <v>38949.67</v>
          </cell>
          <cell r="R1059">
            <v>38949.67</v>
          </cell>
          <cell r="S1059">
            <v>38949.67</v>
          </cell>
          <cell r="T1059">
            <v>38949.67</v>
          </cell>
          <cell r="U1059">
            <v>38949.67</v>
          </cell>
          <cell r="V1059">
            <v>38949.67</v>
          </cell>
          <cell r="W1059">
            <v>38949.67</v>
          </cell>
          <cell r="X1059">
            <v>38949.67</v>
          </cell>
          <cell r="Y1059">
            <v>38949.67</v>
          </cell>
          <cell r="Z1059">
            <v>38949.67</v>
          </cell>
          <cell r="AA1059">
            <v>38949.67</v>
          </cell>
          <cell r="AB1059">
            <v>38949.67</v>
          </cell>
          <cell r="AC1059">
            <v>38949.67</v>
          </cell>
          <cell r="AD1059">
            <v>38949.67</v>
          </cell>
          <cell r="AE1059">
            <v>38949.67</v>
          </cell>
          <cell r="AF1059">
            <v>38949.67</v>
          </cell>
          <cell r="AG1059">
            <v>38949.67</v>
          </cell>
          <cell r="AH1059">
            <v>38949.67</v>
          </cell>
          <cell r="AI1059">
            <v>38949.67</v>
          </cell>
          <cell r="AJ1059">
            <v>38949.67</v>
          </cell>
          <cell r="AK1059">
            <v>38949.67</v>
          </cell>
          <cell r="AL1059">
            <v>0</v>
          </cell>
          <cell r="AM1059">
            <v>0</v>
          </cell>
          <cell r="AN1059" t="str">
            <v/>
          </cell>
          <cell r="AO1059">
            <v>0</v>
          </cell>
          <cell r="AP1059">
            <v>0</v>
          </cell>
          <cell r="AQ1059">
            <v>0</v>
          </cell>
          <cell r="AR1059">
            <v>290</v>
          </cell>
          <cell r="AS1059">
            <v>0</v>
          </cell>
          <cell r="AT1059" t="str">
            <v/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240</v>
          </cell>
          <cell r="BJ1059" t="str">
            <v/>
          </cell>
          <cell r="BK1059">
            <v>1700</v>
          </cell>
          <cell r="BL1059" t="str">
            <v>1</v>
          </cell>
          <cell r="BM1059" t="str">
            <v>1</v>
          </cell>
          <cell r="BN1059" t="str">
            <v/>
          </cell>
          <cell r="BO1059" t="str">
            <v/>
          </cell>
        </row>
        <row r="1060">
          <cell r="A1060">
            <v>1</v>
          </cell>
          <cell r="B1060">
            <v>5309019</v>
          </cell>
          <cell r="C1060" t="str">
            <v>ADMINISTRATION</v>
          </cell>
          <cell r="D1060" t="str">
            <v>REVENTES C &amp; I CANDIAC</v>
          </cell>
          <cell r="E1060" t="str">
            <v>N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0</v>
          </cell>
          <cell r="AM1060">
            <v>9</v>
          </cell>
          <cell r="AN1060" t="str">
            <v/>
          </cell>
          <cell r="AO1060">
            <v>0</v>
          </cell>
          <cell r="AP1060">
            <v>0</v>
          </cell>
          <cell r="AQ1060">
            <v>0</v>
          </cell>
          <cell r="AR1060">
            <v>600</v>
          </cell>
          <cell r="AS1060">
            <v>0</v>
          </cell>
          <cell r="AT1060" t="str">
            <v/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 t="str">
            <v/>
          </cell>
          <cell r="BK1060">
            <v>8000</v>
          </cell>
          <cell r="BL1060" t="str">
            <v>0</v>
          </cell>
          <cell r="BM1060" t="str">
            <v>1</v>
          </cell>
          <cell r="BN1060" t="str">
            <v/>
          </cell>
          <cell r="BO1060" t="str">
            <v/>
          </cell>
        </row>
        <row r="1061">
          <cell r="A1061">
            <v>1</v>
          </cell>
          <cell r="B1061">
            <v>5309029</v>
          </cell>
          <cell r="C1061" t="str">
            <v>ADMINISTRATION</v>
          </cell>
          <cell r="D1061" t="str">
            <v>REVENTES C &amp; I LAVAL</v>
          </cell>
          <cell r="E1061" t="str">
            <v>N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0</v>
          </cell>
          <cell r="AM1061">
            <v>9</v>
          </cell>
          <cell r="AN1061" t="str">
            <v/>
          </cell>
          <cell r="AO1061">
            <v>0</v>
          </cell>
          <cell r="AP1061">
            <v>0</v>
          </cell>
          <cell r="AQ1061">
            <v>0</v>
          </cell>
          <cell r="AR1061">
            <v>600</v>
          </cell>
          <cell r="AS1061">
            <v>0</v>
          </cell>
          <cell r="AT1061" t="str">
            <v/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 t="str">
            <v/>
          </cell>
          <cell r="BK1061">
            <v>8000</v>
          </cell>
          <cell r="BL1061" t="str">
            <v>0</v>
          </cell>
          <cell r="BM1061" t="str">
            <v>1</v>
          </cell>
          <cell r="BN1061" t="str">
            <v/>
          </cell>
          <cell r="BO1061" t="str">
            <v/>
          </cell>
        </row>
        <row r="1062">
          <cell r="A1062">
            <v>1</v>
          </cell>
          <cell r="B1062">
            <v>5309039</v>
          </cell>
          <cell r="C1062" t="str">
            <v>ADMINISTRATION</v>
          </cell>
          <cell r="D1062" t="str">
            <v>REVENTES C &amp; I LACHUTE</v>
          </cell>
          <cell r="E1062" t="str">
            <v>N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0</v>
          </cell>
          <cell r="AM1062">
            <v>9</v>
          </cell>
          <cell r="AN1062" t="str">
            <v/>
          </cell>
          <cell r="AO1062">
            <v>0</v>
          </cell>
          <cell r="AP1062">
            <v>0</v>
          </cell>
          <cell r="AQ1062">
            <v>0</v>
          </cell>
          <cell r="AR1062">
            <v>600</v>
          </cell>
          <cell r="AS1062">
            <v>0</v>
          </cell>
          <cell r="AT1062" t="str">
            <v/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 t="str">
            <v/>
          </cell>
          <cell r="BK1062">
            <v>8000</v>
          </cell>
          <cell r="BL1062" t="str">
            <v>0</v>
          </cell>
          <cell r="BM1062" t="str">
            <v>1</v>
          </cell>
          <cell r="BN1062" t="str">
            <v/>
          </cell>
          <cell r="BO1062" t="str">
            <v/>
          </cell>
        </row>
        <row r="1063">
          <cell r="A1063">
            <v>1</v>
          </cell>
          <cell r="B1063">
            <v>1330004</v>
          </cell>
          <cell r="C1063" t="str">
            <v>PROJET BOITES PLIANTES</v>
          </cell>
          <cell r="D1063" t="str">
            <v>INGENERING</v>
          </cell>
          <cell r="E1063" t="str">
            <v>O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11639.65</v>
          </cell>
          <cell r="AA1063">
            <v>11639.65</v>
          </cell>
          <cell r="AB1063">
            <v>11757.11</v>
          </cell>
          <cell r="AC1063">
            <v>11757.11</v>
          </cell>
          <cell r="AD1063">
            <v>11757.11</v>
          </cell>
          <cell r="AE1063">
            <v>11823.37</v>
          </cell>
          <cell r="AF1063">
            <v>11823.37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4</v>
          </cell>
          <cell r="AN1063" t="str">
            <v/>
          </cell>
          <cell r="AO1063">
            <v>0</v>
          </cell>
          <cell r="AP1063">
            <v>0</v>
          </cell>
          <cell r="AQ1063">
            <v>0</v>
          </cell>
          <cell r="AR1063">
            <v>290</v>
          </cell>
          <cell r="AS1063">
            <v>0</v>
          </cell>
          <cell r="AT1063" t="str">
            <v/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240</v>
          </cell>
          <cell r="BJ1063" t="str">
            <v/>
          </cell>
          <cell r="BK1063">
            <v>1700</v>
          </cell>
          <cell r="BL1063" t="str">
            <v>1</v>
          </cell>
          <cell r="BM1063" t="str">
            <v>1</v>
          </cell>
          <cell r="BN1063" t="str">
            <v/>
          </cell>
          <cell r="BO1063" t="str">
            <v/>
          </cell>
        </row>
        <row r="1064">
          <cell r="A1064">
            <v>1</v>
          </cell>
          <cell r="B1064">
            <v>5309049</v>
          </cell>
          <cell r="C1064" t="str">
            <v>ADMINISTRATION</v>
          </cell>
          <cell r="D1064" t="str">
            <v>REVENTES C &amp; I TRANSIT</v>
          </cell>
          <cell r="E1064" t="str">
            <v>O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-9.25</v>
          </cell>
          <cell r="AA1064">
            <v>-9.25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9</v>
          </cell>
          <cell r="AN1064" t="str">
            <v/>
          </cell>
          <cell r="AO1064">
            <v>0</v>
          </cell>
          <cell r="AP1064">
            <v>0</v>
          </cell>
          <cell r="AQ1064">
            <v>0</v>
          </cell>
          <cell r="AR1064">
            <v>600</v>
          </cell>
          <cell r="AS1064">
            <v>0</v>
          </cell>
          <cell r="AT1064" t="str">
            <v/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 t="str">
            <v/>
          </cell>
          <cell r="BK1064">
            <v>8000</v>
          </cell>
          <cell r="BL1064" t="str">
            <v>0</v>
          </cell>
          <cell r="BM1064" t="str">
            <v>1</v>
          </cell>
          <cell r="BN1064" t="str">
            <v/>
          </cell>
          <cell r="BO1064" t="str">
            <v/>
          </cell>
        </row>
        <row r="1065">
          <cell r="A1065">
            <v>1</v>
          </cell>
          <cell r="B1065">
            <v>1332571</v>
          </cell>
          <cell r="C1065" t="str">
            <v>FILTRATION D'EAU</v>
          </cell>
          <cell r="D1065" t="str">
            <v>ET REDUCTION D'EAU</v>
          </cell>
          <cell r="E1065" t="str">
            <v>O</v>
          </cell>
          <cell r="F1065">
            <v>0</v>
          </cell>
          <cell r="G1065">
            <v>0</v>
          </cell>
          <cell r="H1065">
            <v>94721.94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94721.94</v>
          </cell>
          <cell r="O1065">
            <v>94721.94</v>
          </cell>
          <cell r="P1065">
            <v>94721.94</v>
          </cell>
          <cell r="Q1065">
            <v>94721.94</v>
          </cell>
          <cell r="R1065">
            <v>94721.94</v>
          </cell>
          <cell r="S1065">
            <v>94721.94</v>
          </cell>
          <cell r="T1065">
            <v>94721.94</v>
          </cell>
          <cell r="U1065">
            <v>94721.94</v>
          </cell>
          <cell r="V1065">
            <v>94721.94</v>
          </cell>
          <cell r="W1065">
            <v>94721.94</v>
          </cell>
          <cell r="X1065">
            <v>94721.94</v>
          </cell>
          <cell r="Y1065">
            <v>94721.94</v>
          </cell>
          <cell r="Z1065">
            <v>94721.94</v>
          </cell>
          <cell r="AA1065">
            <v>94721.94</v>
          </cell>
          <cell r="AB1065">
            <v>94721.94</v>
          </cell>
          <cell r="AC1065">
            <v>94721.94</v>
          </cell>
          <cell r="AD1065">
            <v>94721.94</v>
          </cell>
          <cell r="AE1065">
            <v>94721.94</v>
          </cell>
          <cell r="AF1065">
            <v>94721.94</v>
          </cell>
          <cell r="AG1065">
            <v>94721.94</v>
          </cell>
          <cell r="AH1065">
            <v>94721.94</v>
          </cell>
          <cell r="AI1065">
            <v>94721.94</v>
          </cell>
          <cell r="AJ1065">
            <v>94721.94</v>
          </cell>
          <cell r="AK1065">
            <v>94721.94</v>
          </cell>
          <cell r="AL1065">
            <v>0</v>
          </cell>
          <cell r="AM1065">
            <v>1</v>
          </cell>
          <cell r="AN1065" t="str">
            <v/>
          </cell>
          <cell r="AO1065">
            <v>0</v>
          </cell>
          <cell r="AP1065">
            <v>0</v>
          </cell>
          <cell r="AQ1065">
            <v>0</v>
          </cell>
          <cell r="AR1065">
            <v>290</v>
          </cell>
          <cell r="AS1065">
            <v>0</v>
          </cell>
          <cell r="AT1065" t="str">
            <v/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240</v>
          </cell>
          <cell r="BJ1065" t="str">
            <v/>
          </cell>
          <cell r="BK1065">
            <v>1700</v>
          </cell>
          <cell r="BL1065" t="str">
            <v>1</v>
          </cell>
          <cell r="BM1065" t="str">
            <v>1</v>
          </cell>
          <cell r="BN1065" t="str">
            <v/>
          </cell>
          <cell r="BO1065" t="str">
            <v/>
          </cell>
        </row>
        <row r="1066">
          <cell r="A1066">
            <v>2</v>
          </cell>
          <cell r="B1066">
            <v>1331091</v>
          </cell>
          <cell r="C1066" t="str">
            <v>BRUN 100 TONNES</v>
          </cell>
          <cell r="D1066" t="str">
            <v>WET END VAPEUR</v>
          </cell>
          <cell r="E1066" t="str">
            <v>O</v>
          </cell>
          <cell r="F1066">
            <v>0</v>
          </cell>
          <cell r="G1066">
            <v>120000</v>
          </cell>
          <cell r="H1066">
            <v>183084.96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183084.96</v>
          </cell>
          <cell r="O1066">
            <v>183084.96</v>
          </cell>
          <cell r="P1066">
            <v>183084.96</v>
          </cell>
          <cell r="Q1066">
            <v>183084.96</v>
          </cell>
          <cell r="R1066">
            <v>183084.96</v>
          </cell>
          <cell r="S1066">
            <v>183084.96</v>
          </cell>
          <cell r="T1066">
            <v>183084.96</v>
          </cell>
          <cell r="U1066">
            <v>183084.96</v>
          </cell>
          <cell r="V1066">
            <v>183084.96</v>
          </cell>
          <cell r="W1066">
            <v>183084.96</v>
          </cell>
          <cell r="X1066">
            <v>183084.96</v>
          </cell>
          <cell r="Y1066">
            <v>183084.96</v>
          </cell>
          <cell r="Z1066">
            <v>182425.96</v>
          </cell>
          <cell r="AA1066">
            <v>183019.96</v>
          </cell>
          <cell r="AB1066">
            <v>183019.96</v>
          </cell>
          <cell r="AC1066">
            <v>183019.96</v>
          </cell>
          <cell r="AD1066">
            <v>183019.96</v>
          </cell>
          <cell r="AE1066">
            <v>183084.96</v>
          </cell>
          <cell r="AF1066">
            <v>183084.96</v>
          </cell>
          <cell r="AG1066">
            <v>183084.96</v>
          </cell>
          <cell r="AH1066">
            <v>183084.96</v>
          </cell>
          <cell r="AI1066">
            <v>183084.96</v>
          </cell>
          <cell r="AJ1066">
            <v>183084.96</v>
          </cell>
          <cell r="AK1066">
            <v>183084.96</v>
          </cell>
          <cell r="AL1066">
            <v>0</v>
          </cell>
          <cell r="AM1066">
            <v>1</v>
          </cell>
          <cell r="AN1066" t="str">
            <v/>
          </cell>
          <cell r="AO1066">
            <v>0</v>
          </cell>
          <cell r="AP1066">
            <v>0</v>
          </cell>
          <cell r="AQ1066">
            <v>0</v>
          </cell>
          <cell r="AR1066">
            <v>290</v>
          </cell>
          <cell r="AS1066">
            <v>0</v>
          </cell>
          <cell r="AT1066" t="str">
            <v/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240</v>
          </cell>
          <cell r="BJ1066" t="str">
            <v/>
          </cell>
          <cell r="BK1066">
            <v>1700</v>
          </cell>
          <cell r="BL1066" t="str">
            <v>1</v>
          </cell>
          <cell r="BM1066" t="str">
            <v>1</v>
          </cell>
          <cell r="BN1066" t="str">
            <v/>
          </cell>
          <cell r="BO1066" t="str">
            <v/>
          </cell>
        </row>
        <row r="1067">
          <cell r="A1067">
            <v>1</v>
          </cell>
          <cell r="B1067">
            <v>1175010</v>
          </cell>
          <cell r="C1067" t="str">
            <v>PAYE D'AVANCE</v>
          </cell>
          <cell r="D1067" t="str">
            <v>BALER REC.CASC-REC.SEGUIN</v>
          </cell>
          <cell r="E1067" t="str">
            <v>O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 t="str">
            <v/>
          </cell>
          <cell r="AO1067">
            <v>0</v>
          </cell>
          <cell r="AP1067">
            <v>0</v>
          </cell>
          <cell r="AQ1067">
            <v>0</v>
          </cell>
          <cell r="AR1067">
            <v>120</v>
          </cell>
          <cell r="AS1067">
            <v>0</v>
          </cell>
          <cell r="AT1067" t="str">
            <v/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 t="str">
            <v/>
          </cell>
          <cell r="BK1067">
            <v>1600</v>
          </cell>
          <cell r="BL1067" t="str">
            <v>0</v>
          </cell>
          <cell r="BM1067" t="str">
            <v>1</v>
          </cell>
          <cell r="BN1067" t="str">
            <v/>
          </cell>
          <cell r="BO1067" t="str">
            <v/>
          </cell>
        </row>
        <row r="1068">
          <cell r="A1068">
            <v>1</v>
          </cell>
          <cell r="B1068">
            <v>1332502</v>
          </cell>
          <cell r="C1068" t="str">
            <v>SHRINK WRAPER</v>
          </cell>
          <cell r="D1068" t="str">
            <v/>
          </cell>
          <cell r="E1068" t="str">
            <v>O</v>
          </cell>
          <cell r="F1068">
            <v>0</v>
          </cell>
          <cell r="G1068">
            <v>0</v>
          </cell>
          <cell r="H1068">
            <v>30040.240000000002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30040.240000000002</v>
          </cell>
          <cell r="O1068">
            <v>30040.240000000002</v>
          </cell>
          <cell r="P1068">
            <v>30040.240000000002</v>
          </cell>
          <cell r="Q1068">
            <v>30040.240000000002</v>
          </cell>
          <cell r="R1068">
            <v>30040.240000000002</v>
          </cell>
          <cell r="S1068">
            <v>30040.240000000002</v>
          </cell>
          <cell r="T1068">
            <v>30040.240000000002</v>
          </cell>
          <cell r="U1068">
            <v>30040.240000000002</v>
          </cell>
          <cell r="V1068">
            <v>30040.240000000002</v>
          </cell>
          <cell r="W1068">
            <v>30040.240000000002</v>
          </cell>
          <cell r="X1068">
            <v>30040.240000000002</v>
          </cell>
          <cell r="Y1068">
            <v>30040.240000000002</v>
          </cell>
          <cell r="Z1068">
            <v>30040.240000000002</v>
          </cell>
          <cell r="AA1068">
            <v>30040.240000000002</v>
          </cell>
          <cell r="AB1068">
            <v>30040.240000000002</v>
          </cell>
          <cell r="AC1068">
            <v>30040.240000000002</v>
          </cell>
          <cell r="AD1068">
            <v>30040.240000000002</v>
          </cell>
          <cell r="AE1068">
            <v>30040.240000000002</v>
          </cell>
          <cell r="AF1068">
            <v>30040.240000000002</v>
          </cell>
          <cell r="AG1068">
            <v>30040.240000000002</v>
          </cell>
          <cell r="AH1068">
            <v>30040.240000000002</v>
          </cell>
          <cell r="AI1068">
            <v>30040.240000000002</v>
          </cell>
          <cell r="AJ1068">
            <v>30040.240000000002</v>
          </cell>
          <cell r="AK1068">
            <v>30040.240000000002</v>
          </cell>
          <cell r="AL1068">
            <v>0</v>
          </cell>
          <cell r="AM1068">
            <v>2</v>
          </cell>
          <cell r="AN1068" t="str">
            <v/>
          </cell>
          <cell r="AO1068">
            <v>0</v>
          </cell>
          <cell r="AP1068">
            <v>0</v>
          </cell>
          <cell r="AQ1068">
            <v>0</v>
          </cell>
          <cell r="AR1068">
            <v>290</v>
          </cell>
          <cell r="AS1068">
            <v>0</v>
          </cell>
          <cell r="AT1068" t="str">
            <v/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240</v>
          </cell>
          <cell r="BJ1068" t="str">
            <v/>
          </cell>
          <cell r="BK1068">
            <v>1700</v>
          </cell>
          <cell r="BL1068" t="str">
            <v>1</v>
          </cell>
          <cell r="BM1068" t="str">
            <v>1</v>
          </cell>
          <cell r="BN1068" t="str">
            <v/>
          </cell>
          <cell r="BO1068" t="str">
            <v/>
          </cell>
        </row>
        <row r="1069">
          <cell r="A1069">
            <v>1</v>
          </cell>
          <cell r="B1069">
            <v>1372520</v>
          </cell>
          <cell r="C1069" t="str">
            <v>MATERIEL ROULANT</v>
          </cell>
          <cell r="D1069" t="str">
            <v>LIFT TRUCK HEWITT</v>
          </cell>
          <cell r="E1069" t="str">
            <v>O</v>
          </cell>
          <cell r="F1069">
            <v>0</v>
          </cell>
          <cell r="G1069">
            <v>0</v>
          </cell>
          <cell r="H1069">
            <v>39791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39791</v>
          </cell>
          <cell r="O1069">
            <v>39791</v>
          </cell>
          <cell r="P1069">
            <v>39791</v>
          </cell>
          <cell r="Q1069">
            <v>39791</v>
          </cell>
          <cell r="R1069">
            <v>39791</v>
          </cell>
          <cell r="S1069">
            <v>39791</v>
          </cell>
          <cell r="T1069">
            <v>39791</v>
          </cell>
          <cell r="U1069">
            <v>39791</v>
          </cell>
          <cell r="V1069">
            <v>39791</v>
          </cell>
          <cell r="W1069">
            <v>39791</v>
          </cell>
          <cell r="X1069">
            <v>39791</v>
          </cell>
          <cell r="Y1069">
            <v>39791</v>
          </cell>
          <cell r="Z1069">
            <v>39791</v>
          </cell>
          <cell r="AA1069">
            <v>39791</v>
          </cell>
          <cell r="AB1069">
            <v>39791</v>
          </cell>
          <cell r="AC1069">
            <v>39791</v>
          </cell>
          <cell r="AD1069">
            <v>39791</v>
          </cell>
          <cell r="AE1069">
            <v>39791</v>
          </cell>
          <cell r="AF1069">
            <v>39791</v>
          </cell>
          <cell r="AG1069">
            <v>39791</v>
          </cell>
          <cell r="AH1069">
            <v>39791</v>
          </cell>
          <cell r="AI1069">
            <v>39791</v>
          </cell>
          <cell r="AJ1069">
            <v>39791</v>
          </cell>
          <cell r="AK1069">
            <v>39791</v>
          </cell>
          <cell r="AL1069">
            <v>0</v>
          </cell>
          <cell r="AM1069">
            <v>0</v>
          </cell>
          <cell r="AN1069" t="str">
            <v/>
          </cell>
          <cell r="AO1069">
            <v>0</v>
          </cell>
          <cell r="AP1069">
            <v>0</v>
          </cell>
          <cell r="AQ1069">
            <v>0</v>
          </cell>
          <cell r="AR1069">
            <v>320</v>
          </cell>
          <cell r="AS1069">
            <v>0</v>
          </cell>
          <cell r="AT1069" t="str">
            <v/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60</v>
          </cell>
          <cell r="BJ1069" t="str">
            <v/>
          </cell>
          <cell r="BK1069">
            <v>1700</v>
          </cell>
          <cell r="BL1069" t="str">
            <v>1</v>
          </cell>
          <cell r="BM1069" t="str">
            <v>1</v>
          </cell>
          <cell r="BN1069" t="str">
            <v/>
          </cell>
          <cell r="BO1069" t="str">
            <v/>
          </cell>
        </row>
        <row r="1070">
          <cell r="A1070">
            <v>1</v>
          </cell>
          <cell r="B1070">
            <v>1121022</v>
          </cell>
          <cell r="C1070" t="str">
            <v>C.A.R</v>
          </cell>
          <cell r="D1070" t="str">
            <v>ECGANGE US SUR CAR PRMS</v>
          </cell>
          <cell r="E1070" t="str">
            <v>O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2</v>
          </cell>
          <cell r="AN1070" t="str">
            <v/>
          </cell>
          <cell r="AO1070">
            <v>0</v>
          </cell>
          <cell r="AP1070">
            <v>0</v>
          </cell>
          <cell r="AQ1070">
            <v>0</v>
          </cell>
          <cell r="AR1070">
            <v>30</v>
          </cell>
          <cell r="AS1070">
            <v>0</v>
          </cell>
          <cell r="AT1070" t="str">
            <v/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 t="str">
            <v/>
          </cell>
          <cell r="BK1070">
            <v>1100</v>
          </cell>
          <cell r="BL1070" t="str">
            <v>0</v>
          </cell>
          <cell r="BM1070" t="str">
            <v>1</v>
          </cell>
          <cell r="BN1070" t="str">
            <v/>
          </cell>
          <cell r="BO1070" t="str">
            <v/>
          </cell>
        </row>
        <row r="1071">
          <cell r="A1071">
            <v>1</v>
          </cell>
          <cell r="B1071">
            <v>2111022</v>
          </cell>
          <cell r="C1071" t="str">
            <v>C.A.P</v>
          </cell>
          <cell r="D1071" t="str">
            <v>ECHANGE SUR C.A.P PRMS</v>
          </cell>
          <cell r="E1071" t="str">
            <v>O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2</v>
          </cell>
          <cell r="AN1071" t="str">
            <v/>
          </cell>
          <cell r="AO1071">
            <v>0</v>
          </cell>
          <cell r="AP1071">
            <v>0</v>
          </cell>
          <cell r="AQ1071">
            <v>0</v>
          </cell>
          <cell r="AR1071">
            <v>420</v>
          </cell>
          <cell r="AS1071">
            <v>0</v>
          </cell>
          <cell r="AT1071" t="str">
            <v/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 t="str">
            <v/>
          </cell>
          <cell r="BK1071">
            <v>2100</v>
          </cell>
          <cell r="BL1071" t="str">
            <v>0</v>
          </cell>
          <cell r="BM1071" t="str">
            <v>1</v>
          </cell>
          <cell r="BN1071" t="str">
            <v/>
          </cell>
          <cell r="BO1071" t="str">
            <v/>
          </cell>
        </row>
        <row r="1072">
          <cell r="A1072">
            <v>1</v>
          </cell>
          <cell r="B1072">
            <v>4709003</v>
          </cell>
          <cell r="C1072" t="str">
            <v>VENTE ENTRE DIVISION</v>
          </cell>
          <cell r="D1072" t="str">
            <v>SACS</v>
          </cell>
          <cell r="E1072" t="str">
            <v>O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3</v>
          </cell>
          <cell r="AN1072" t="str">
            <v/>
          </cell>
          <cell r="AO1072">
            <v>0</v>
          </cell>
          <cell r="AP1072">
            <v>0</v>
          </cell>
          <cell r="AQ1072">
            <v>0</v>
          </cell>
          <cell r="AR1072">
            <v>660</v>
          </cell>
          <cell r="AS1072">
            <v>0</v>
          </cell>
          <cell r="AT1072" t="str">
            <v/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 t="str">
            <v/>
          </cell>
          <cell r="BK1072">
            <v>7000</v>
          </cell>
          <cell r="BL1072" t="str">
            <v>0</v>
          </cell>
          <cell r="BM1072" t="str">
            <v>1</v>
          </cell>
          <cell r="BN1072" t="str">
            <v/>
          </cell>
          <cell r="BO1072" t="str">
            <v/>
          </cell>
        </row>
        <row r="1073">
          <cell r="A1073">
            <v>1</v>
          </cell>
          <cell r="B1073">
            <v>4709002</v>
          </cell>
          <cell r="C1073" t="str">
            <v>VENTE ENTRE DIVISION</v>
          </cell>
          <cell r="D1073" t="str">
            <v>SERVIETTE</v>
          </cell>
          <cell r="E1073" t="str">
            <v>O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2</v>
          </cell>
          <cell r="AN1073" t="str">
            <v/>
          </cell>
          <cell r="AO1073">
            <v>0</v>
          </cell>
          <cell r="AP1073">
            <v>0</v>
          </cell>
          <cell r="AQ1073">
            <v>0</v>
          </cell>
          <cell r="AR1073">
            <v>660</v>
          </cell>
          <cell r="AS1073">
            <v>0</v>
          </cell>
          <cell r="AT1073" t="str">
            <v/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 t="str">
            <v/>
          </cell>
          <cell r="BK1073">
            <v>7000</v>
          </cell>
          <cell r="BL1073" t="str">
            <v>0</v>
          </cell>
          <cell r="BM1073" t="str">
            <v>1</v>
          </cell>
          <cell r="BN1073" t="str">
            <v/>
          </cell>
          <cell r="BO1073" t="str">
            <v/>
          </cell>
        </row>
        <row r="1074">
          <cell r="A1074">
            <v>1</v>
          </cell>
          <cell r="B1074">
            <v>4411061</v>
          </cell>
          <cell r="C1074" t="str">
            <v>FORMATION</v>
          </cell>
          <cell r="D1074" t="str">
            <v>DIVERS</v>
          </cell>
          <cell r="E1074" t="str">
            <v>O</v>
          </cell>
          <cell r="F1074">
            <v>0</v>
          </cell>
          <cell r="G1074">
            <v>0</v>
          </cell>
          <cell r="H1074">
            <v>0</v>
          </cell>
          <cell r="I1074">
            <v>288</v>
          </cell>
          <cell r="J1074">
            <v>288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149.11000000000001</v>
          </cell>
          <cell r="AC1074">
            <v>149.11000000000001</v>
          </cell>
          <cell r="AD1074">
            <v>149.11000000000001</v>
          </cell>
          <cell r="AE1074">
            <v>225.14</v>
          </cell>
          <cell r="AF1074">
            <v>225.14</v>
          </cell>
          <cell r="AG1074">
            <v>225.14</v>
          </cell>
          <cell r="AH1074">
            <v>225.14</v>
          </cell>
          <cell r="AI1074">
            <v>225.14</v>
          </cell>
          <cell r="AJ1074">
            <v>225.14</v>
          </cell>
          <cell r="AK1074">
            <v>1635.12</v>
          </cell>
          <cell r="AL1074">
            <v>0</v>
          </cell>
          <cell r="AM1074">
            <v>1</v>
          </cell>
          <cell r="AN1074" t="str">
            <v/>
          </cell>
          <cell r="AO1074">
            <v>0</v>
          </cell>
          <cell r="AP1074">
            <v>0</v>
          </cell>
          <cell r="AQ1074">
            <v>0</v>
          </cell>
          <cell r="AR1074">
            <v>810</v>
          </cell>
          <cell r="AS1074">
            <v>0</v>
          </cell>
          <cell r="AT1074" t="str">
            <v/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 t="str">
            <v/>
          </cell>
          <cell r="BK1074">
            <v>7000</v>
          </cell>
          <cell r="BL1074" t="str">
            <v>0</v>
          </cell>
          <cell r="BM1074" t="str">
            <v>1</v>
          </cell>
          <cell r="BN1074" t="str">
            <v/>
          </cell>
          <cell r="BO1074" t="str">
            <v/>
          </cell>
        </row>
        <row r="1075">
          <cell r="A1075">
            <v>1</v>
          </cell>
          <cell r="B1075">
            <v>4313391</v>
          </cell>
          <cell r="C1075" t="str">
            <v>CHIMIQUES        HERCULES</v>
          </cell>
          <cell r="D1075" t="str">
            <v>KYMENE</v>
          </cell>
          <cell r="E1075" t="str">
            <v>O</v>
          </cell>
          <cell r="F1075">
            <v>0</v>
          </cell>
          <cell r="G1075">
            <v>0</v>
          </cell>
          <cell r="H1075">
            <v>447555.96</v>
          </cell>
          <cell r="I1075">
            <v>991555.16</v>
          </cell>
          <cell r="J1075">
            <v>543999.19999999995</v>
          </cell>
          <cell r="K1075">
            <v>0</v>
          </cell>
          <cell r="L1075">
            <v>82714.28</v>
          </cell>
          <cell r="M1075">
            <v>38843</v>
          </cell>
          <cell r="N1075">
            <v>39781.800000000003</v>
          </cell>
          <cell r="O1075">
            <v>80883.899999999994</v>
          </cell>
          <cell r="P1075">
            <v>117896.58</v>
          </cell>
          <cell r="Q1075">
            <v>154353.18</v>
          </cell>
          <cell r="R1075">
            <v>198902.61</v>
          </cell>
          <cell r="S1075">
            <v>238304.46</v>
          </cell>
          <cell r="T1075">
            <v>270912.18</v>
          </cell>
          <cell r="U1075">
            <v>323826.75</v>
          </cell>
          <cell r="V1075">
            <v>364163.21</v>
          </cell>
          <cell r="W1075">
            <v>403995.74</v>
          </cell>
          <cell r="X1075">
            <v>447555.96</v>
          </cell>
          <cell r="Y1075">
            <v>491427.24</v>
          </cell>
          <cell r="Z1075">
            <v>23715.39</v>
          </cell>
          <cell r="AA1075">
            <v>60227.07</v>
          </cell>
          <cell r="AB1075">
            <v>99701.46</v>
          </cell>
          <cell r="AC1075">
            <v>136346.85</v>
          </cell>
          <cell r="AD1075">
            <v>180711.84</v>
          </cell>
          <cell r="AE1075">
            <v>226212</v>
          </cell>
          <cell r="AF1075">
            <v>267168.12</v>
          </cell>
          <cell r="AG1075">
            <v>311533.32</v>
          </cell>
          <cell r="AH1075">
            <v>343192.87</v>
          </cell>
          <cell r="AI1075">
            <v>377239.63</v>
          </cell>
          <cell r="AJ1075">
            <v>410896.99</v>
          </cell>
          <cell r="AK1075">
            <v>445080.16</v>
          </cell>
          <cell r="AL1075">
            <v>0</v>
          </cell>
          <cell r="AM1075">
            <v>1</v>
          </cell>
          <cell r="AN1075" t="str">
            <v/>
          </cell>
          <cell r="AO1075">
            <v>0</v>
          </cell>
          <cell r="AP1075">
            <v>0</v>
          </cell>
          <cell r="AQ1075">
            <v>0</v>
          </cell>
          <cell r="AR1075">
            <v>660</v>
          </cell>
          <cell r="AS1075">
            <v>0</v>
          </cell>
          <cell r="AT1075" t="str">
            <v/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1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 t="str">
            <v/>
          </cell>
          <cell r="BK1075">
            <v>6200</v>
          </cell>
          <cell r="BL1075" t="str">
            <v>0</v>
          </cell>
          <cell r="BM1075" t="str">
            <v>1</v>
          </cell>
          <cell r="BN1075" t="str">
            <v/>
          </cell>
          <cell r="BO1075" t="str">
            <v/>
          </cell>
        </row>
        <row r="1076">
          <cell r="A1076">
            <v>1</v>
          </cell>
          <cell r="B1076">
            <v>1332423</v>
          </cell>
          <cell r="C1076" t="str">
            <v>DRIVE MC 025</v>
          </cell>
          <cell r="D1076" t="str">
            <v/>
          </cell>
          <cell r="E1076" t="str">
            <v>O</v>
          </cell>
          <cell r="F1076">
            <v>0</v>
          </cell>
          <cell r="G1076">
            <v>0</v>
          </cell>
          <cell r="H1076">
            <v>4845.25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4845.25</v>
          </cell>
          <cell r="O1076">
            <v>4845.25</v>
          </cell>
          <cell r="P1076">
            <v>4845.25</v>
          </cell>
          <cell r="Q1076">
            <v>4845.25</v>
          </cell>
          <cell r="R1076">
            <v>4845.25</v>
          </cell>
          <cell r="S1076">
            <v>4845.25</v>
          </cell>
          <cell r="T1076">
            <v>4845.25</v>
          </cell>
          <cell r="U1076">
            <v>4845.25</v>
          </cell>
          <cell r="V1076">
            <v>4845.25</v>
          </cell>
          <cell r="W1076">
            <v>4845.25</v>
          </cell>
          <cell r="X1076">
            <v>4845.25</v>
          </cell>
          <cell r="Y1076">
            <v>4845.25</v>
          </cell>
          <cell r="Z1076">
            <v>4845.25</v>
          </cell>
          <cell r="AA1076">
            <v>4845.25</v>
          </cell>
          <cell r="AB1076">
            <v>4845.25</v>
          </cell>
          <cell r="AC1076">
            <v>4845.25</v>
          </cell>
          <cell r="AD1076">
            <v>4845.25</v>
          </cell>
          <cell r="AE1076">
            <v>4845.25</v>
          </cell>
          <cell r="AF1076">
            <v>4845.25</v>
          </cell>
          <cell r="AG1076">
            <v>4845.25</v>
          </cell>
          <cell r="AH1076">
            <v>4845.25</v>
          </cell>
          <cell r="AI1076">
            <v>4845.25</v>
          </cell>
          <cell r="AJ1076">
            <v>4845.25</v>
          </cell>
          <cell r="AK1076">
            <v>4845.25</v>
          </cell>
          <cell r="AL1076">
            <v>0</v>
          </cell>
          <cell r="AM1076">
            <v>3</v>
          </cell>
          <cell r="AN1076" t="str">
            <v/>
          </cell>
          <cell r="AO1076">
            <v>0</v>
          </cell>
          <cell r="AP1076">
            <v>0</v>
          </cell>
          <cell r="AQ1076">
            <v>0</v>
          </cell>
          <cell r="AR1076">
            <v>290</v>
          </cell>
          <cell r="AS1076">
            <v>0</v>
          </cell>
          <cell r="AT1076" t="str">
            <v/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240</v>
          </cell>
          <cell r="BJ1076" t="str">
            <v/>
          </cell>
          <cell r="BK1076">
            <v>1700</v>
          </cell>
          <cell r="BL1076" t="str">
            <v>1</v>
          </cell>
          <cell r="BM1076" t="str">
            <v>1</v>
          </cell>
          <cell r="BN1076" t="str">
            <v/>
          </cell>
          <cell r="BO1076" t="str">
            <v/>
          </cell>
        </row>
        <row r="1077">
          <cell r="A1077">
            <v>1</v>
          </cell>
          <cell r="B1077">
            <v>1332702</v>
          </cell>
          <cell r="C1077" t="str">
            <v>BRETTING PLIS SIMPLE</v>
          </cell>
          <cell r="D1077" t="str">
            <v/>
          </cell>
          <cell r="E1077" t="str">
            <v>O</v>
          </cell>
          <cell r="F1077">
            <v>0</v>
          </cell>
          <cell r="G1077">
            <v>2300000</v>
          </cell>
          <cell r="H1077">
            <v>3681014.62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3681014.62</v>
          </cell>
          <cell r="O1077">
            <v>3681014.62</v>
          </cell>
          <cell r="P1077">
            <v>3681014.62</v>
          </cell>
          <cell r="Q1077">
            <v>3681014.62</v>
          </cell>
          <cell r="R1077">
            <v>3681014.62</v>
          </cell>
          <cell r="S1077">
            <v>3681014.62</v>
          </cell>
          <cell r="T1077">
            <v>3681014.62</v>
          </cell>
          <cell r="U1077">
            <v>3681014.62</v>
          </cell>
          <cell r="V1077">
            <v>3681014.62</v>
          </cell>
          <cell r="W1077">
            <v>3681014.62</v>
          </cell>
          <cell r="X1077">
            <v>3681014.62</v>
          </cell>
          <cell r="Y1077">
            <v>3681014.62</v>
          </cell>
          <cell r="Z1077">
            <v>3286742.78</v>
          </cell>
          <cell r="AA1077">
            <v>3288072.95</v>
          </cell>
          <cell r="AB1077">
            <v>3331041.25</v>
          </cell>
          <cell r="AC1077">
            <v>3356900.96</v>
          </cell>
          <cell r="AD1077">
            <v>3625769.8</v>
          </cell>
          <cell r="AE1077">
            <v>3630151.05</v>
          </cell>
          <cell r="AF1077">
            <v>3638892.88</v>
          </cell>
          <cell r="AG1077">
            <v>3640652.67</v>
          </cell>
          <cell r="AH1077">
            <v>3658324.75</v>
          </cell>
          <cell r="AI1077">
            <v>3678201.08</v>
          </cell>
          <cell r="AJ1077">
            <v>3681031.94</v>
          </cell>
          <cell r="AK1077">
            <v>3681014.62</v>
          </cell>
          <cell r="AL1077">
            <v>0</v>
          </cell>
          <cell r="AM1077">
            <v>2</v>
          </cell>
          <cell r="AN1077" t="str">
            <v/>
          </cell>
          <cell r="AO1077">
            <v>0</v>
          </cell>
          <cell r="AP1077">
            <v>0</v>
          </cell>
          <cell r="AQ1077">
            <v>0</v>
          </cell>
          <cell r="AR1077">
            <v>290</v>
          </cell>
          <cell r="AS1077">
            <v>0</v>
          </cell>
          <cell r="AT1077" t="str">
            <v/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240</v>
          </cell>
          <cell r="BJ1077" t="str">
            <v/>
          </cell>
          <cell r="BK1077">
            <v>1700</v>
          </cell>
          <cell r="BL1077" t="str">
            <v>1</v>
          </cell>
          <cell r="BM1077" t="str">
            <v>1</v>
          </cell>
          <cell r="BN1077" t="str">
            <v/>
          </cell>
          <cell r="BO1077" t="str">
            <v/>
          </cell>
        </row>
        <row r="1078">
          <cell r="A1078">
            <v>1</v>
          </cell>
          <cell r="B1078">
            <v>4222312</v>
          </cell>
          <cell r="C1078" t="str">
            <v>MATIERE PREMIERE   ACHATS</v>
          </cell>
          <cell r="D1078" t="str">
            <v>BRUN31 HWS</v>
          </cell>
          <cell r="E1078" t="str">
            <v>O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2</v>
          </cell>
          <cell r="AN1078" t="str">
            <v/>
          </cell>
          <cell r="AO1078">
            <v>0</v>
          </cell>
          <cell r="AP1078">
            <v>0</v>
          </cell>
          <cell r="AQ1078">
            <v>0</v>
          </cell>
          <cell r="AR1078">
            <v>660</v>
          </cell>
          <cell r="AS1078">
            <v>0</v>
          </cell>
          <cell r="AT1078" t="str">
            <v/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 t="str">
            <v/>
          </cell>
          <cell r="BK1078">
            <v>5100</v>
          </cell>
          <cell r="BL1078" t="str">
            <v>0</v>
          </cell>
          <cell r="BM1078" t="str">
            <v>1</v>
          </cell>
          <cell r="BN1078" t="str">
            <v/>
          </cell>
          <cell r="BO1078" t="str">
            <v/>
          </cell>
        </row>
        <row r="1079">
          <cell r="A1079">
            <v>1</v>
          </cell>
          <cell r="B1079">
            <v>4223252</v>
          </cell>
          <cell r="C1079" t="str">
            <v>MATIERE PREMIERE   ACHATS</v>
          </cell>
          <cell r="D1079" t="str">
            <v>BLANC25</v>
          </cell>
          <cell r="E1079" t="str">
            <v>O</v>
          </cell>
          <cell r="F1079">
            <v>0</v>
          </cell>
          <cell r="G1079">
            <v>0</v>
          </cell>
          <cell r="H1079">
            <v>187001.36</v>
          </cell>
          <cell r="I1079">
            <v>568228.36</v>
          </cell>
          <cell r="J1079">
            <v>381227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19259.349999999999</v>
          </cell>
          <cell r="P1079">
            <v>19259.349999999999</v>
          </cell>
          <cell r="Q1079">
            <v>19259.349999999999</v>
          </cell>
          <cell r="R1079">
            <v>19259.349999999999</v>
          </cell>
          <cell r="S1079">
            <v>185178.4</v>
          </cell>
          <cell r="T1079">
            <v>185178.4</v>
          </cell>
          <cell r="U1079">
            <v>185178.4</v>
          </cell>
          <cell r="V1079">
            <v>185178.4</v>
          </cell>
          <cell r="W1079">
            <v>185178.4</v>
          </cell>
          <cell r="X1079">
            <v>187001.36</v>
          </cell>
          <cell r="Y1079">
            <v>187001.36</v>
          </cell>
          <cell r="Z1079">
            <v>0</v>
          </cell>
          <cell r="AA1079">
            <v>0</v>
          </cell>
          <cell r="AB1079">
            <v>19242</v>
          </cell>
          <cell r="AC1079">
            <v>19242</v>
          </cell>
          <cell r="AD1079">
            <v>19242</v>
          </cell>
          <cell r="AE1079">
            <v>70408</v>
          </cell>
          <cell r="AF1079">
            <v>80616.5</v>
          </cell>
          <cell r="AG1079">
            <v>127809.79</v>
          </cell>
          <cell r="AH1079">
            <v>127809.79</v>
          </cell>
          <cell r="AI1079">
            <v>127809.79</v>
          </cell>
          <cell r="AJ1079">
            <v>137441.79</v>
          </cell>
          <cell r="AK1079">
            <v>171203.69</v>
          </cell>
          <cell r="AL1079">
            <v>0</v>
          </cell>
          <cell r="AM1079">
            <v>2</v>
          </cell>
          <cell r="AN1079" t="str">
            <v/>
          </cell>
          <cell r="AO1079">
            <v>0</v>
          </cell>
          <cell r="AP1079">
            <v>0</v>
          </cell>
          <cell r="AQ1079">
            <v>0</v>
          </cell>
          <cell r="AR1079">
            <v>660</v>
          </cell>
          <cell r="AS1079">
            <v>0</v>
          </cell>
          <cell r="AT1079" t="str">
            <v/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1</v>
          </cell>
          <cell r="BC1079">
            <v>1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 t="str">
            <v/>
          </cell>
          <cell r="BK1079">
            <v>5100</v>
          </cell>
          <cell r="BL1079" t="str">
            <v>0</v>
          </cell>
          <cell r="BM1079" t="str">
            <v>1</v>
          </cell>
          <cell r="BN1079" t="str">
            <v/>
          </cell>
          <cell r="BO1079" t="str">
            <v/>
          </cell>
        </row>
        <row r="1080">
          <cell r="A1080">
            <v>1</v>
          </cell>
          <cell r="B1080">
            <v>4212312</v>
          </cell>
          <cell r="C1080" t="str">
            <v>INV MAT PREM      KINGSEY</v>
          </cell>
          <cell r="D1080" t="str">
            <v>BRUN31 HWS</v>
          </cell>
          <cell r="E1080" t="str">
            <v>O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2</v>
          </cell>
          <cell r="AN1080" t="str">
            <v/>
          </cell>
          <cell r="AO1080">
            <v>0</v>
          </cell>
          <cell r="AP1080">
            <v>0</v>
          </cell>
          <cell r="AQ1080">
            <v>0</v>
          </cell>
          <cell r="AR1080">
            <v>650</v>
          </cell>
          <cell r="AS1080">
            <v>0</v>
          </cell>
          <cell r="AT1080" t="str">
            <v/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 t="str">
            <v/>
          </cell>
          <cell r="BK1080">
            <v>5100</v>
          </cell>
          <cell r="BL1080" t="str">
            <v>0</v>
          </cell>
          <cell r="BM1080" t="str">
            <v>1</v>
          </cell>
          <cell r="BN1080" t="str">
            <v/>
          </cell>
          <cell r="BO1080" t="str">
            <v/>
          </cell>
        </row>
        <row r="1081">
          <cell r="A1081">
            <v>1</v>
          </cell>
          <cell r="B1081">
            <v>4213252</v>
          </cell>
          <cell r="C1081" t="str">
            <v>INV MAT PREM      KINGSEY</v>
          </cell>
          <cell r="D1081" t="str">
            <v>BLANC25</v>
          </cell>
          <cell r="E1081" t="str">
            <v>O</v>
          </cell>
          <cell r="F1081">
            <v>0</v>
          </cell>
          <cell r="G1081">
            <v>0</v>
          </cell>
          <cell r="H1081">
            <v>0</v>
          </cell>
          <cell r="I1081">
            <v>1391556.45</v>
          </cell>
          <cell r="J1081">
            <v>1391556.45</v>
          </cell>
          <cell r="K1081">
            <v>0</v>
          </cell>
          <cell r="L1081">
            <v>0</v>
          </cell>
          <cell r="M1081">
            <v>0</v>
          </cell>
          <cell r="N1081">
            <v>28513.1</v>
          </cell>
          <cell r="O1081">
            <v>44352</v>
          </cell>
          <cell r="P1081">
            <v>39452</v>
          </cell>
          <cell r="Q1081">
            <v>40656</v>
          </cell>
          <cell r="R1081">
            <v>36167.85</v>
          </cell>
          <cell r="S1081">
            <v>190613.5</v>
          </cell>
          <cell r="T1081">
            <v>175686.5</v>
          </cell>
          <cell r="U1081">
            <v>175686.5</v>
          </cell>
          <cell r="V1081">
            <v>165126.5</v>
          </cell>
          <cell r="W1081">
            <v>165049.5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13500</v>
          </cell>
          <cell r="AC1081">
            <v>4580</v>
          </cell>
          <cell r="AD1081">
            <v>0</v>
          </cell>
          <cell r="AE1081">
            <v>34580</v>
          </cell>
          <cell r="AF1081">
            <v>44788</v>
          </cell>
          <cell r="AG1081">
            <v>40514.230000000003</v>
          </cell>
          <cell r="AH1081">
            <v>38850</v>
          </cell>
          <cell r="AI1081">
            <v>29441</v>
          </cell>
          <cell r="AJ1081">
            <v>25071</v>
          </cell>
          <cell r="AK1081">
            <v>55111.1</v>
          </cell>
          <cell r="AL1081">
            <v>0</v>
          </cell>
          <cell r="AM1081">
            <v>2</v>
          </cell>
          <cell r="AN1081" t="str">
            <v/>
          </cell>
          <cell r="AO1081">
            <v>0</v>
          </cell>
          <cell r="AP1081">
            <v>0</v>
          </cell>
          <cell r="AQ1081">
            <v>0</v>
          </cell>
          <cell r="AR1081">
            <v>650</v>
          </cell>
          <cell r="AS1081">
            <v>0</v>
          </cell>
          <cell r="AT1081" t="str">
            <v/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 t="str">
            <v/>
          </cell>
          <cell r="BK1081">
            <v>5100</v>
          </cell>
          <cell r="BL1081" t="str">
            <v>0</v>
          </cell>
          <cell r="BM1081" t="str">
            <v>1</v>
          </cell>
          <cell r="BN1081" t="str">
            <v/>
          </cell>
          <cell r="BO1081" t="str">
            <v/>
          </cell>
        </row>
        <row r="1082">
          <cell r="A1082">
            <v>1</v>
          </cell>
          <cell r="B1082">
            <v>4115722</v>
          </cell>
          <cell r="C1082" t="str">
            <v>PERKINS BRUN S\F 4M</v>
          </cell>
          <cell r="D1082" t="str">
            <v>PN101572</v>
          </cell>
          <cell r="E1082" t="str">
            <v>O</v>
          </cell>
          <cell r="F1082">
            <v>0</v>
          </cell>
          <cell r="G1082">
            <v>0</v>
          </cell>
          <cell r="H1082">
            <v>591046.1</v>
          </cell>
          <cell r="I1082">
            <v>9851.4599999999991</v>
          </cell>
          <cell r="J1082">
            <v>600897.56000000006</v>
          </cell>
          <cell r="K1082">
            <v>0</v>
          </cell>
          <cell r="L1082">
            <v>0</v>
          </cell>
          <cell r="M1082">
            <v>45816.82</v>
          </cell>
          <cell r="N1082">
            <v>44040.6</v>
          </cell>
          <cell r="O1082">
            <v>86362.93</v>
          </cell>
          <cell r="P1082">
            <v>140896.44</v>
          </cell>
          <cell r="Q1082">
            <v>195116.04</v>
          </cell>
          <cell r="R1082">
            <v>258527.94</v>
          </cell>
          <cell r="S1082">
            <v>300411.13</v>
          </cell>
          <cell r="T1082">
            <v>345245.28</v>
          </cell>
          <cell r="U1082">
            <v>397590.95</v>
          </cell>
          <cell r="V1082">
            <v>484694.62</v>
          </cell>
          <cell r="W1082">
            <v>532657.92000000004</v>
          </cell>
          <cell r="X1082">
            <v>591046.1</v>
          </cell>
          <cell r="Y1082">
            <v>636862.92000000004</v>
          </cell>
          <cell r="Z1082">
            <v>44723.4</v>
          </cell>
          <cell r="AA1082">
            <v>78863.399999999994</v>
          </cell>
          <cell r="AB1082">
            <v>136901.4</v>
          </cell>
          <cell r="AC1082">
            <v>177186.6</v>
          </cell>
          <cell r="AD1082">
            <v>214057.8</v>
          </cell>
          <cell r="AE1082">
            <v>267976.24</v>
          </cell>
          <cell r="AF1082">
            <v>328074.02</v>
          </cell>
          <cell r="AG1082">
            <v>363579.62</v>
          </cell>
          <cell r="AH1082">
            <v>428445.62</v>
          </cell>
          <cell r="AI1082">
            <v>471462.02</v>
          </cell>
          <cell r="AJ1082">
            <v>524379.02</v>
          </cell>
          <cell r="AK1082">
            <v>568136.9</v>
          </cell>
          <cell r="AL1082">
            <v>0</v>
          </cell>
          <cell r="AM1082">
            <v>2</v>
          </cell>
          <cell r="AN1082" t="str">
            <v/>
          </cell>
          <cell r="AO1082">
            <v>0</v>
          </cell>
          <cell r="AP1082">
            <v>0</v>
          </cell>
          <cell r="AQ1082">
            <v>0</v>
          </cell>
          <cell r="AR1082">
            <v>600</v>
          </cell>
          <cell r="AS1082">
            <v>0</v>
          </cell>
          <cell r="AT1082" t="str">
            <v/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20572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 t="str">
            <v/>
          </cell>
          <cell r="BK1082">
            <v>4000</v>
          </cell>
          <cell r="BL1082" t="str">
            <v>0</v>
          </cell>
          <cell r="BM1082" t="str">
            <v>1</v>
          </cell>
          <cell r="BN1082" t="str">
            <v/>
          </cell>
          <cell r="BO1082" t="str">
            <v/>
          </cell>
        </row>
        <row r="1083">
          <cell r="A1083">
            <v>1</v>
          </cell>
          <cell r="B1083">
            <v>4115732</v>
          </cell>
          <cell r="C1083" t="str">
            <v>PERKINS BRUN S\F 2.5M</v>
          </cell>
          <cell r="D1083" t="str">
            <v>PN1015734435</v>
          </cell>
          <cell r="E1083" t="str">
            <v>O</v>
          </cell>
          <cell r="F1083">
            <v>0</v>
          </cell>
          <cell r="G1083">
            <v>0</v>
          </cell>
          <cell r="H1083">
            <v>1470709.49</v>
          </cell>
          <cell r="I1083">
            <v>8138.19</v>
          </cell>
          <cell r="J1083">
            <v>1478847.68</v>
          </cell>
          <cell r="K1083">
            <v>0</v>
          </cell>
          <cell r="L1083">
            <v>0</v>
          </cell>
          <cell r="M1083">
            <v>116433.91</v>
          </cell>
          <cell r="N1083">
            <v>141299.24</v>
          </cell>
          <cell r="O1083">
            <v>268726.59999999998</v>
          </cell>
          <cell r="P1083">
            <v>406219.52000000002</v>
          </cell>
          <cell r="Q1083">
            <v>493796.32</v>
          </cell>
          <cell r="R1083">
            <v>563540.38</v>
          </cell>
          <cell r="S1083">
            <v>800373.5</v>
          </cell>
          <cell r="T1083">
            <v>889989.96</v>
          </cell>
          <cell r="U1083">
            <v>1054869.56</v>
          </cell>
          <cell r="V1083">
            <v>1128918.8600000001</v>
          </cell>
          <cell r="W1083">
            <v>1329930.3600000001</v>
          </cell>
          <cell r="X1083">
            <v>1470709.49</v>
          </cell>
          <cell r="Y1083">
            <v>1587143.4</v>
          </cell>
          <cell r="Z1083">
            <v>98646.2</v>
          </cell>
          <cell r="AA1083">
            <v>213640.67</v>
          </cell>
          <cell r="AB1083">
            <v>348609.17</v>
          </cell>
          <cell r="AC1083">
            <v>447501.62</v>
          </cell>
          <cell r="AD1083">
            <v>614429.31999999995</v>
          </cell>
          <cell r="AE1083">
            <v>903493.54</v>
          </cell>
          <cell r="AF1083">
            <v>991436.96</v>
          </cell>
          <cell r="AG1083">
            <v>1035463.78</v>
          </cell>
          <cell r="AH1083">
            <v>1118678.8799999999</v>
          </cell>
          <cell r="AI1083">
            <v>1252419.8899999999</v>
          </cell>
          <cell r="AJ1083">
            <v>1432758.69</v>
          </cell>
          <cell r="AK1083">
            <v>1564453.65</v>
          </cell>
          <cell r="AL1083">
            <v>0</v>
          </cell>
          <cell r="AM1083">
            <v>2</v>
          </cell>
          <cell r="AN1083" t="str">
            <v/>
          </cell>
          <cell r="AO1083">
            <v>0</v>
          </cell>
          <cell r="AP1083">
            <v>0</v>
          </cell>
          <cell r="AQ1083">
            <v>0</v>
          </cell>
          <cell r="AR1083">
            <v>600</v>
          </cell>
          <cell r="AS1083">
            <v>0</v>
          </cell>
          <cell r="AT1083" t="str">
            <v/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20573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 t="str">
            <v/>
          </cell>
          <cell r="BK1083">
            <v>4000</v>
          </cell>
          <cell r="BL1083" t="str">
            <v>0</v>
          </cell>
          <cell r="BM1083" t="str">
            <v>1</v>
          </cell>
          <cell r="BN1083" t="str">
            <v/>
          </cell>
          <cell r="BO1083" t="str">
            <v/>
          </cell>
        </row>
        <row r="1084">
          <cell r="A1084">
            <v>1</v>
          </cell>
          <cell r="B1084">
            <v>4115742</v>
          </cell>
          <cell r="C1084" t="str">
            <v>PERKINS BRUN ROLL 8X205</v>
          </cell>
          <cell r="D1084" t="str">
            <v>PN101574</v>
          </cell>
          <cell r="E1084" t="str">
            <v>O</v>
          </cell>
          <cell r="F1084">
            <v>0</v>
          </cell>
          <cell r="G1084">
            <v>0</v>
          </cell>
          <cell r="H1084">
            <v>494830.13</v>
          </cell>
          <cell r="I1084">
            <v>4602.03</v>
          </cell>
          <cell r="J1084">
            <v>499432.16</v>
          </cell>
          <cell r="K1084">
            <v>0</v>
          </cell>
          <cell r="L1084">
            <v>0</v>
          </cell>
          <cell r="M1084">
            <v>30418.5</v>
          </cell>
          <cell r="N1084">
            <v>19881.599999999999</v>
          </cell>
          <cell r="O1084">
            <v>65746.350000000006</v>
          </cell>
          <cell r="P1084">
            <v>101380.95</v>
          </cell>
          <cell r="Q1084">
            <v>138009.22</v>
          </cell>
          <cell r="R1084">
            <v>194711.84</v>
          </cell>
          <cell r="S1084">
            <v>236949.99</v>
          </cell>
          <cell r="T1084">
            <v>294234.99</v>
          </cell>
          <cell r="U1084">
            <v>344799.06</v>
          </cell>
          <cell r="V1084">
            <v>414619.8</v>
          </cell>
          <cell r="W1084">
            <v>467677.2</v>
          </cell>
          <cell r="X1084">
            <v>494830.13</v>
          </cell>
          <cell r="Y1084">
            <v>525248.63</v>
          </cell>
          <cell r="Z1084">
            <v>20461.8</v>
          </cell>
          <cell r="AA1084">
            <v>36811.800000000003</v>
          </cell>
          <cell r="AB1084">
            <v>48736.800000000003</v>
          </cell>
          <cell r="AC1084">
            <v>63243.5</v>
          </cell>
          <cell r="AD1084">
            <v>89214.6</v>
          </cell>
          <cell r="AE1084">
            <v>112664.4</v>
          </cell>
          <cell r="AF1084">
            <v>141159.66</v>
          </cell>
          <cell r="AG1084">
            <v>172888.69</v>
          </cell>
          <cell r="AH1084">
            <v>224705.3</v>
          </cell>
          <cell r="AI1084">
            <v>247943.3</v>
          </cell>
          <cell r="AJ1084">
            <v>285438.2</v>
          </cell>
          <cell r="AK1084">
            <v>344378.42</v>
          </cell>
          <cell r="AL1084">
            <v>0</v>
          </cell>
          <cell r="AM1084">
            <v>2</v>
          </cell>
          <cell r="AN1084" t="str">
            <v/>
          </cell>
          <cell r="AO1084">
            <v>0</v>
          </cell>
          <cell r="AP1084">
            <v>0</v>
          </cell>
          <cell r="AQ1084">
            <v>0</v>
          </cell>
          <cell r="AR1084">
            <v>600</v>
          </cell>
          <cell r="AS1084">
            <v>0</v>
          </cell>
          <cell r="AT1084" t="str">
            <v/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20574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 t="str">
            <v/>
          </cell>
          <cell r="BK1084">
            <v>4000</v>
          </cell>
          <cell r="BL1084" t="str">
            <v>0</v>
          </cell>
          <cell r="BM1084" t="str">
            <v>1</v>
          </cell>
          <cell r="BN1084" t="str">
            <v/>
          </cell>
          <cell r="BO1084" t="str">
            <v/>
          </cell>
        </row>
        <row r="1085">
          <cell r="A1085">
            <v>1</v>
          </cell>
          <cell r="B1085">
            <v>4223182</v>
          </cell>
          <cell r="C1085" t="str">
            <v>MATIERE PREMIERE   ACHATS</v>
          </cell>
          <cell r="D1085" t="str">
            <v>BLANC18</v>
          </cell>
          <cell r="E1085" t="str">
            <v>O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2</v>
          </cell>
          <cell r="AN1085" t="str">
            <v/>
          </cell>
          <cell r="AO1085">
            <v>0</v>
          </cell>
          <cell r="AP1085">
            <v>0</v>
          </cell>
          <cell r="AQ1085">
            <v>0</v>
          </cell>
          <cell r="AR1085">
            <v>660</v>
          </cell>
          <cell r="AS1085">
            <v>0</v>
          </cell>
          <cell r="AT1085" t="str">
            <v/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 t="str">
            <v/>
          </cell>
          <cell r="BK1085">
            <v>5100</v>
          </cell>
          <cell r="BL1085" t="str">
            <v>0</v>
          </cell>
          <cell r="BM1085" t="str">
            <v>1</v>
          </cell>
          <cell r="BN1085" t="str">
            <v/>
          </cell>
          <cell r="BO1085" t="str">
            <v/>
          </cell>
        </row>
        <row r="1086">
          <cell r="A1086">
            <v>3</v>
          </cell>
          <cell r="B1086">
            <v>1331571</v>
          </cell>
          <cell r="C1086" t="str">
            <v>FILTRE</v>
          </cell>
          <cell r="D1086" t="str">
            <v/>
          </cell>
          <cell r="E1086" t="str">
            <v>O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1</v>
          </cell>
          <cell r="AN1086" t="str">
            <v/>
          </cell>
          <cell r="AO1086">
            <v>0</v>
          </cell>
          <cell r="AP1086">
            <v>0</v>
          </cell>
          <cell r="AQ1086">
            <v>0</v>
          </cell>
          <cell r="AR1086">
            <v>290</v>
          </cell>
          <cell r="AS1086">
            <v>0</v>
          </cell>
          <cell r="AT1086" t="str">
            <v/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240</v>
          </cell>
          <cell r="BJ1086" t="str">
            <v/>
          </cell>
          <cell r="BK1086">
            <v>1700</v>
          </cell>
          <cell r="BL1086" t="str">
            <v>1</v>
          </cell>
          <cell r="BM1086" t="str">
            <v>1</v>
          </cell>
          <cell r="BN1086" t="str">
            <v/>
          </cell>
          <cell r="BO1086" t="str">
            <v/>
          </cell>
        </row>
        <row r="1087">
          <cell r="A1087">
            <v>1</v>
          </cell>
          <cell r="B1087">
            <v>1332400</v>
          </cell>
          <cell r="C1087" t="str">
            <v>PROTECTION DU FEU</v>
          </cell>
          <cell r="D1087" t="str">
            <v/>
          </cell>
          <cell r="E1087" t="str">
            <v>O</v>
          </cell>
          <cell r="F1087">
            <v>0</v>
          </cell>
          <cell r="G1087">
            <v>0</v>
          </cell>
          <cell r="H1087">
            <v>52224.01</v>
          </cell>
          <cell r="I1087">
            <v>25346.93</v>
          </cell>
          <cell r="J1087">
            <v>102.6</v>
          </cell>
          <cell r="K1087">
            <v>0</v>
          </cell>
          <cell r="L1087">
            <v>0</v>
          </cell>
          <cell r="M1087">
            <v>0</v>
          </cell>
          <cell r="N1087">
            <v>31691.119999999999</v>
          </cell>
          <cell r="O1087">
            <v>42949.7</v>
          </cell>
          <cell r="P1087">
            <v>43946.3</v>
          </cell>
          <cell r="Q1087">
            <v>43946.3</v>
          </cell>
          <cell r="R1087">
            <v>47967.199999999997</v>
          </cell>
          <cell r="S1087">
            <v>49897.73</v>
          </cell>
          <cell r="T1087">
            <v>51933.65</v>
          </cell>
          <cell r="U1087">
            <v>52019.73</v>
          </cell>
          <cell r="V1087">
            <v>52019.73</v>
          </cell>
          <cell r="W1087">
            <v>52258.21</v>
          </cell>
          <cell r="X1087">
            <v>52224.01</v>
          </cell>
          <cell r="Y1087">
            <v>52224.01</v>
          </cell>
          <cell r="Z1087">
            <v>26979.68</v>
          </cell>
          <cell r="AA1087">
            <v>26979.68</v>
          </cell>
          <cell r="AB1087">
            <v>26979.68</v>
          </cell>
          <cell r="AC1087">
            <v>26979.68</v>
          </cell>
          <cell r="AD1087">
            <v>26979.68</v>
          </cell>
          <cell r="AE1087">
            <v>26979.68</v>
          </cell>
          <cell r="AF1087">
            <v>26979.68</v>
          </cell>
          <cell r="AG1087">
            <v>26979.68</v>
          </cell>
          <cell r="AH1087">
            <v>27449.25</v>
          </cell>
          <cell r="AI1087">
            <v>26979.68</v>
          </cell>
          <cell r="AJ1087">
            <v>26979.68</v>
          </cell>
          <cell r="AK1087">
            <v>26979.68</v>
          </cell>
          <cell r="AL1087">
            <v>0</v>
          </cell>
          <cell r="AM1087">
            <v>0</v>
          </cell>
          <cell r="AN1087" t="str">
            <v/>
          </cell>
          <cell r="AO1087">
            <v>0</v>
          </cell>
          <cell r="AP1087">
            <v>0</v>
          </cell>
          <cell r="AQ1087">
            <v>0</v>
          </cell>
          <cell r="AR1087">
            <v>290</v>
          </cell>
          <cell r="AS1087">
            <v>0</v>
          </cell>
          <cell r="AT1087" t="str">
            <v/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240</v>
          </cell>
          <cell r="BJ1087" t="str">
            <v/>
          </cell>
          <cell r="BK1087">
            <v>1700</v>
          </cell>
          <cell r="BL1087" t="str">
            <v>1</v>
          </cell>
          <cell r="BM1087" t="str">
            <v>1</v>
          </cell>
          <cell r="BN1087" t="str">
            <v/>
          </cell>
          <cell r="BO1087" t="str">
            <v/>
          </cell>
        </row>
        <row r="1088">
          <cell r="A1088">
            <v>1</v>
          </cell>
          <cell r="B1088">
            <v>1332484</v>
          </cell>
          <cell r="C1088" t="str">
            <v>DETECTEUR DE METAL</v>
          </cell>
          <cell r="D1088" t="str">
            <v/>
          </cell>
          <cell r="E1088" t="str">
            <v>O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39000</v>
          </cell>
          <cell r="AA1088">
            <v>39000</v>
          </cell>
          <cell r="AB1088">
            <v>39000</v>
          </cell>
          <cell r="AC1088">
            <v>39000</v>
          </cell>
          <cell r="AD1088">
            <v>39000</v>
          </cell>
          <cell r="AE1088">
            <v>39000</v>
          </cell>
          <cell r="AF1088">
            <v>39000</v>
          </cell>
          <cell r="AG1088">
            <v>39000</v>
          </cell>
          <cell r="AH1088">
            <v>39000</v>
          </cell>
          <cell r="AI1088">
            <v>39000</v>
          </cell>
          <cell r="AJ1088">
            <v>39000</v>
          </cell>
          <cell r="AK1088">
            <v>0</v>
          </cell>
          <cell r="AL1088">
            <v>0</v>
          </cell>
          <cell r="AM1088">
            <v>4</v>
          </cell>
          <cell r="AN1088" t="str">
            <v/>
          </cell>
          <cell r="AO1088">
            <v>0</v>
          </cell>
          <cell r="AP1088">
            <v>0</v>
          </cell>
          <cell r="AQ1088">
            <v>0</v>
          </cell>
          <cell r="AR1088">
            <v>290</v>
          </cell>
          <cell r="AS1088">
            <v>0</v>
          </cell>
          <cell r="AT1088" t="str">
            <v/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240</v>
          </cell>
          <cell r="BJ1088" t="str">
            <v/>
          </cell>
          <cell r="BK1088">
            <v>1700</v>
          </cell>
          <cell r="BL1088" t="str">
            <v>1</v>
          </cell>
          <cell r="BM1088" t="str">
            <v>1</v>
          </cell>
          <cell r="BN1088" t="str">
            <v/>
          </cell>
          <cell r="BO1088" t="str">
            <v/>
          </cell>
        </row>
        <row r="1089">
          <cell r="A1089">
            <v>1</v>
          </cell>
          <cell r="B1089">
            <v>1332640</v>
          </cell>
          <cell r="C1089" t="str">
            <v>SOUDEUSE TIG MIG</v>
          </cell>
          <cell r="D1089" t="str">
            <v/>
          </cell>
          <cell r="E1089" t="str">
            <v>O</v>
          </cell>
          <cell r="F1089">
            <v>0</v>
          </cell>
          <cell r="G1089">
            <v>0</v>
          </cell>
          <cell r="H1089">
            <v>6689.19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6689.19</v>
          </cell>
          <cell r="O1089">
            <v>6689.19</v>
          </cell>
          <cell r="P1089">
            <v>6689.19</v>
          </cell>
          <cell r="Q1089">
            <v>6689.19</v>
          </cell>
          <cell r="R1089">
            <v>6689.19</v>
          </cell>
          <cell r="S1089">
            <v>6689.19</v>
          </cell>
          <cell r="T1089">
            <v>6689.19</v>
          </cell>
          <cell r="U1089">
            <v>6689.19</v>
          </cell>
          <cell r="V1089">
            <v>6689.19</v>
          </cell>
          <cell r="W1089">
            <v>6689.19</v>
          </cell>
          <cell r="X1089">
            <v>6689.19</v>
          </cell>
          <cell r="Y1089">
            <v>6689.19</v>
          </cell>
          <cell r="Z1089">
            <v>6689.19</v>
          </cell>
          <cell r="AA1089">
            <v>6689.19</v>
          </cell>
          <cell r="AB1089">
            <v>6689.19</v>
          </cell>
          <cell r="AC1089">
            <v>6689.19</v>
          </cell>
          <cell r="AD1089">
            <v>6689.19</v>
          </cell>
          <cell r="AE1089">
            <v>6689.19</v>
          </cell>
          <cell r="AF1089">
            <v>6689.19</v>
          </cell>
          <cell r="AG1089">
            <v>6689.19</v>
          </cell>
          <cell r="AH1089">
            <v>6689.19</v>
          </cell>
          <cell r="AI1089">
            <v>6689.19</v>
          </cell>
          <cell r="AJ1089">
            <v>6689.19</v>
          </cell>
          <cell r="AK1089">
            <v>6689.19</v>
          </cell>
          <cell r="AL1089">
            <v>0</v>
          </cell>
          <cell r="AM1089">
            <v>0</v>
          </cell>
          <cell r="AN1089" t="str">
            <v/>
          </cell>
          <cell r="AO1089">
            <v>0</v>
          </cell>
          <cell r="AP1089">
            <v>0</v>
          </cell>
          <cell r="AQ1089">
            <v>0</v>
          </cell>
          <cell r="AR1089">
            <v>290</v>
          </cell>
          <cell r="AS1089">
            <v>0</v>
          </cell>
          <cell r="AT1089" t="str">
            <v/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240</v>
          </cell>
          <cell r="BJ1089" t="str">
            <v/>
          </cell>
          <cell r="BK1089">
            <v>1700</v>
          </cell>
          <cell r="BL1089" t="str">
            <v>1</v>
          </cell>
          <cell r="BM1089" t="str">
            <v>1</v>
          </cell>
          <cell r="BN1089" t="str">
            <v/>
          </cell>
          <cell r="BO1089" t="str">
            <v/>
          </cell>
        </row>
        <row r="1090">
          <cell r="A1090">
            <v>1</v>
          </cell>
          <cell r="B1090">
            <v>1165900</v>
          </cell>
          <cell r="C1090" t="str">
            <v>INV PIECES DE RECHANGES</v>
          </cell>
          <cell r="D1090" t="str">
            <v>TISSUE ROCKINGHAM</v>
          </cell>
          <cell r="E1090" t="str">
            <v>O</v>
          </cell>
          <cell r="F1090">
            <v>0</v>
          </cell>
          <cell r="G1090">
            <v>0</v>
          </cell>
          <cell r="H1090">
            <v>2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2</v>
          </cell>
          <cell r="N1090">
            <v>2</v>
          </cell>
          <cell r="O1090">
            <v>2</v>
          </cell>
          <cell r="P1090">
            <v>2</v>
          </cell>
          <cell r="Q1090">
            <v>2</v>
          </cell>
          <cell r="R1090">
            <v>2</v>
          </cell>
          <cell r="S1090">
            <v>2</v>
          </cell>
          <cell r="T1090">
            <v>2</v>
          </cell>
          <cell r="U1090">
            <v>2</v>
          </cell>
          <cell r="V1090">
            <v>2</v>
          </cell>
          <cell r="W1090">
            <v>2</v>
          </cell>
          <cell r="X1090">
            <v>2</v>
          </cell>
          <cell r="Y1090">
            <v>0</v>
          </cell>
          <cell r="Z1090">
            <v>2</v>
          </cell>
          <cell r="AA1090">
            <v>2</v>
          </cell>
          <cell r="AB1090">
            <v>2</v>
          </cell>
          <cell r="AC1090">
            <v>2</v>
          </cell>
          <cell r="AD1090">
            <v>2</v>
          </cell>
          <cell r="AE1090">
            <v>2</v>
          </cell>
          <cell r="AF1090">
            <v>2</v>
          </cell>
          <cell r="AG1090">
            <v>2</v>
          </cell>
          <cell r="AH1090">
            <v>2</v>
          </cell>
          <cell r="AI1090">
            <v>2</v>
          </cell>
          <cell r="AJ1090">
            <v>2</v>
          </cell>
          <cell r="AK1090">
            <v>2</v>
          </cell>
          <cell r="AL1090">
            <v>0</v>
          </cell>
          <cell r="AM1090">
            <v>0</v>
          </cell>
          <cell r="AN1090" t="str">
            <v/>
          </cell>
          <cell r="AO1090">
            <v>0</v>
          </cell>
          <cell r="AP1090">
            <v>0</v>
          </cell>
          <cell r="AQ1090">
            <v>0</v>
          </cell>
          <cell r="AR1090">
            <v>100</v>
          </cell>
          <cell r="AS1090">
            <v>0</v>
          </cell>
          <cell r="AT1090" t="str">
            <v/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 t="str">
            <v/>
          </cell>
          <cell r="BK1090">
            <v>1600</v>
          </cell>
          <cell r="BL1090" t="str">
            <v>0</v>
          </cell>
          <cell r="BM1090" t="str">
            <v>1</v>
          </cell>
          <cell r="BN1090" t="str">
            <v/>
          </cell>
          <cell r="BO1090" t="str">
            <v/>
          </cell>
        </row>
        <row r="1091">
          <cell r="A1091">
            <v>1</v>
          </cell>
          <cell r="B1091">
            <v>1126000</v>
          </cell>
          <cell r="C1091" t="str">
            <v>C.A.R.</v>
          </cell>
          <cell r="D1091" t="str">
            <v>A REFACTURER</v>
          </cell>
          <cell r="E1091" t="str">
            <v>O</v>
          </cell>
          <cell r="F1091">
            <v>0</v>
          </cell>
          <cell r="G1091">
            <v>0</v>
          </cell>
          <cell r="H1091">
            <v>1793.17</v>
          </cell>
          <cell r="I1091">
            <v>2331316.09</v>
          </cell>
          <cell r="J1091">
            <v>2476391.56</v>
          </cell>
          <cell r="K1091">
            <v>0</v>
          </cell>
          <cell r="L1091">
            <v>5798.02</v>
          </cell>
          <cell r="M1091">
            <v>6513.27</v>
          </cell>
          <cell r="N1091">
            <v>25286.45</v>
          </cell>
          <cell r="O1091">
            <v>428.56</v>
          </cell>
          <cell r="P1091">
            <v>-216.44</v>
          </cell>
          <cell r="Q1091">
            <v>-89.82</v>
          </cell>
          <cell r="R1091">
            <v>2928.14</v>
          </cell>
          <cell r="S1091">
            <v>3026.52</v>
          </cell>
          <cell r="T1091">
            <v>3339.1</v>
          </cell>
          <cell r="U1091">
            <v>1267.02</v>
          </cell>
          <cell r="V1091">
            <v>-51.44</v>
          </cell>
          <cell r="W1091">
            <v>384.36</v>
          </cell>
          <cell r="X1091">
            <v>1793.17</v>
          </cell>
          <cell r="Y1091">
            <v>1077.92</v>
          </cell>
          <cell r="Z1091">
            <v>-207.89</v>
          </cell>
          <cell r="AA1091">
            <v>-229.21</v>
          </cell>
          <cell r="AB1091">
            <v>-732.63</v>
          </cell>
          <cell r="AC1091">
            <v>-6210.03</v>
          </cell>
          <cell r="AD1091">
            <v>-4146650.37</v>
          </cell>
          <cell r="AE1091">
            <v>167.74</v>
          </cell>
          <cell r="AF1091">
            <v>881.75</v>
          </cell>
          <cell r="AG1091">
            <v>1764.35</v>
          </cell>
          <cell r="AH1091">
            <v>-260705.22</v>
          </cell>
          <cell r="AI1091">
            <v>-120166.16</v>
          </cell>
          <cell r="AJ1091">
            <v>-119993.81</v>
          </cell>
          <cell r="AK1091">
            <v>146868.64000000001</v>
          </cell>
          <cell r="AL1091">
            <v>0</v>
          </cell>
          <cell r="AM1091">
            <v>0</v>
          </cell>
          <cell r="AN1091" t="str">
            <v/>
          </cell>
          <cell r="AO1091">
            <v>0</v>
          </cell>
          <cell r="AP1091">
            <v>0</v>
          </cell>
          <cell r="AQ1091">
            <v>0</v>
          </cell>
          <cell r="AR1091">
            <v>50</v>
          </cell>
          <cell r="AS1091">
            <v>0</v>
          </cell>
          <cell r="AT1091" t="str">
            <v/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 t="str">
            <v/>
          </cell>
          <cell r="BK1091">
            <v>1200</v>
          </cell>
          <cell r="BL1091" t="str">
            <v>0</v>
          </cell>
          <cell r="BM1091" t="str">
            <v>1</v>
          </cell>
          <cell r="BN1091" t="str">
            <v/>
          </cell>
          <cell r="BO1091" t="str">
            <v/>
          </cell>
        </row>
        <row r="1092">
          <cell r="A1092">
            <v>1</v>
          </cell>
          <cell r="B1092">
            <v>1332610</v>
          </cell>
          <cell r="C1092" t="str">
            <v>DEGAZEUR</v>
          </cell>
          <cell r="D1092" t="str">
            <v/>
          </cell>
          <cell r="E1092" t="str">
            <v>O</v>
          </cell>
          <cell r="F1092">
            <v>0</v>
          </cell>
          <cell r="G1092">
            <v>0</v>
          </cell>
          <cell r="H1092">
            <v>66518.25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66518.25</v>
          </cell>
          <cell r="O1092">
            <v>66518.25</v>
          </cell>
          <cell r="P1092">
            <v>66518.25</v>
          </cell>
          <cell r="Q1092">
            <v>66518.25</v>
          </cell>
          <cell r="R1092">
            <v>66518.25</v>
          </cell>
          <cell r="S1092">
            <v>66518.25</v>
          </cell>
          <cell r="T1092">
            <v>66518.25</v>
          </cell>
          <cell r="U1092">
            <v>66518.25</v>
          </cell>
          <cell r="V1092">
            <v>66518.25</v>
          </cell>
          <cell r="W1092">
            <v>66518.25</v>
          </cell>
          <cell r="X1092">
            <v>66518.25</v>
          </cell>
          <cell r="Y1092">
            <v>66518.25</v>
          </cell>
          <cell r="Z1092">
            <v>66518.25</v>
          </cell>
          <cell r="AA1092">
            <v>66518.25</v>
          </cell>
          <cell r="AB1092">
            <v>66518.25</v>
          </cell>
          <cell r="AC1092">
            <v>66518.25</v>
          </cell>
          <cell r="AD1092">
            <v>66518.25</v>
          </cell>
          <cell r="AE1092">
            <v>66518.25</v>
          </cell>
          <cell r="AF1092">
            <v>66518.25</v>
          </cell>
          <cell r="AG1092">
            <v>66518.25</v>
          </cell>
          <cell r="AH1092">
            <v>66518.25</v>
          </cell>
          <cell r="AI1092">
            <v>66518.25</v>
          </cell>
          <cell r="AJ1092">
            <v>66518.25</v>
          </cell>
          <cell r="AK1092">
            <v>66518.25</v>
          </cell>
          <cell r="AL1092">
            <v>0</v>
          </cell>
          <cell r="AM1092">
            <v>0</v>
          </cell>
          <cell r="AN1092" t="str">
            <v/>
          </cell>
          <cell r="AO1092">
            <v>0</v>
          </cell>
          <cell r="AP1092">
            <v>0</v>
          </cell>
          <cell r="AQ1092">
            <v>0</v>
          </cell>
          <cell r="AR1092">
            <v>290</v>
          </cell>
          <cell r="AS1092">
            <v>0</v>
          </cell>
          <cell r="AT1092" t="str">
            <v/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240</v>
          </cell>
          <cell r="BJ1092" t="str">
            <v/>
          </cell>
          <cell r="BK1092">
            <v>1700</v>
          </cell>
          <cell r="BL1092" t="str">
            <v>1</v>
          </cell>
          <cell r="BM1092" t="str">
            <v>1</v>
          </cell>
          <cell r="BN1092" t="str">
            <v/>
          </cell>
          <cell r="BO1092" t="str">
            <v/>
          </cell>
        </row>
        <row r="1093">
          <cell r="A1093">
            <v>1</v>
          </cell>
          <cell r="B1093">
            <v>1332672</v>
          </cell>
          <cell r="C1093" t="str">
            <v>POUSSEUR A ROULEAUX</v>
          </cell>
          <cell r="D1093" t="str">
            <v/>
          </cell>
          <cell r="E1093" t="str">
            <v>O</v>
          </cell>
          <cell r="F1093">
            <v>0</v>
          </cell>
          <cell r="G1093">
            <v>0</v>
          </cell>
          <cell r="H1093">
            <v>9951.75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9951.75</v>
          </cell>
          <cell r="O1093">
            <v>9951.75</v>
          </cell>
          <cell r="P1093">
            <v>9951.75</v>
          </cell>
          <cell r="Q1093">
            <v>9951.75</v>
          </cell>
          <cell r="R1093">
            <v>9951.75</v>
          </cell>
          <cell r="S1093">
            <v>9951.75</v>
          </cell>
          <cell r="T1093">
            <v>9951.75</v>
          </cell>
          <cell r="U1093">
            <v>9951.75</v>
          </cell>
          <cell r="V1093">
            <v>9951.75</v>
          </cell>
          <cell r="W1093">
            <v>9951.75</v>
          </cell>
          <cell r="X1093">
            <v>9951.75</v>
          </cell>
          <cell r="Y1093">
            <v>9951.75</v>
          </cell>
          <cell r="Z1093">
            <v>9951.75</v>
          </cell>
          <cell r="AA1093">
            <v>9951.75</v>
          </cell>
          <cell r="AB1093">
            <v>9951.75</v>
          </cell>
          <cell r="AC1093">
            <v>9951.75</v>
          </cell>
          <cell r="AD1093">
            <v>9951.75</v>
          </cell>
          <cell r="AE1093">
            <v>9951.75</v>
          </cell>
          <cell r="AF1093">
            <v>9951.75</v>
          </cell>
          <cell r="AG1093">
            <v>9951.75</v>
          </cell>
          <cell r="AH1093">
            <v>9951.75</v>
          </cell>
          <cell r="AI1093">
            <v>9951.75</v>
          </cell>
          <cell r="AJ1093">
            <v>9951.75</v>
          </cell>
          <cell r="AK1093">
            <v>9951.75</v>
          </cell>
          <cell r="AL1093">
            <v>0</v>
          </cell>
          <cell r="AM1093">
            <v>2</v>
          </cell>
          <cell r="AN1093" t="str">
            <v/>
          </cell>
          <cell r="AO1093">
            <v>0</v>
          </cell>
          <cell r="AP1093">
            <v>0</v>
          </cell>
          <cell r="AQ1093">
            <v>0</v>
          </cell>
          <cell r="AR1093">
            <v>290</v>
          </cell>
          <cell r="AS1093">
            <v>0</v>
          </cell>
          <cell r="AT1093" t="str">
            <v/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240</v>
          </cell>
          <cell r="BJ1093" t="str">
            <v/>
          </cell>
          <cell r="BK1093">
            <v>1700</v>
          </cell>
          <cell r="BL1093" t="str">
            <v>1</v>
          </cell>
          <cell r="BM1093" t="str">
            <v>1</v>
          </cell>
          <cell r="BN1093" t="str">
            <v/>
          </cell>
          <cell r="BO1093" t="str">
            <v/>
          </cell>
        </row>
        <row r="1094">
          <cell r="A1094">
            <v>1</v>
          </cell>
          <cell r="B1094">
            <v>1126005</v>
          </cell>
          <cell r="C1094" t="str">
            <v>C.A.R.</v>
          </cell>
          <cell r="D1094" t="str">
            <v>ACH/REV.INTER-REFACT.H/O</v>
          </cell>
          <cell r="E1094" t="str">
            <v>O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5</v>
          </cell>
          <cell r="AN1094" t="str">
            <v/>
          </cell>
          <cell r="AO1094">
            <v>0</v>
          </cell>
          <cell r="AP1094">
            <v>0</v>
          </cell>
          <cell r="AQ1094">
            <v>0</v>
          </cell>
          <cell r="AR1094">
            <v>30</v>
          </cell>
          <cell r="AS1094">
            <v>0</v>
          </cell>
          <cell r="AT1094" t="str">
            <v/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 t="str">
            <v/>
          </cell>
          <cell r="BK1094">
            <v>1100</v>
          </cell>
          <cell r="BL1094" t="str">
            <v>0</v>
          </cell>
          <cell r="BM1094" t="str">
            <v>1</v>
          </cell>
          <cell r="BN1094" t="str">
            <v/>
          </cell>
          <cell r="BO1094" t="str">
            <v/>
          </cell>
        </row>
        <row r="1095">
          <cell r="A1095">
            <v>1</v>
          </cell>
          <cell r="B1095">
            <v>4251931</v>
          </cell>
          <cell r="C1095" t="str">
            <v>M.O.D.</v>
          </cell>
          <cell r="D1095" t="str">
            <v>VETEMENT ET UNIFORME</v>
          </cell>
          <cell r="E1095" t="str">
            <v>O</v>
          </cell>
          <cell r="F1095">
            <v>0</v>
          </cell>
          <cell r="G1095">
            <v>0</v>
          </cell>
          <cell r="H1095">
            <v>12595.12</v>
          </cell>
          <cell r="I1095">
            <v>17297.240000000002</v>
          </cell>
          <cell r="J1095">
            <v>4702.12</v>
          </cell>
          <cell r="K1095">
            <v>0</v>
          </cell>
          <cell r="L1095">
            <v>603</v>
          </cell>
          <cell r="M1095">
            <v>10</v>
          </cell>
          <cell r="N1095">
            <v>-21</v>
          </cell>
          <cell r="O1095">
            <v>4454</v>
          </cell>
          <cell r="P1095">
            <v>5544</v>
          </cell>
          <cell r="Q1095">
            <v>6116</v>
          </cell>
          <cell r="R1095">
            <v>6116</v>
          </cell>
          <cell r="S1095">
            <v>8904</v>
          </cell>
          <cell r="T1095">
            <v>9458</v>
          </cell>
          <cell r="U1095">
            <v>10531.12</v>
          </cell>
          <cell r="V1095">
            <v>10869.12</v>
          </cell>
          <cell r="W1095">
            <v>10869.12</v>
          </cell>
          <cell r="X1095">
            <v>12595.12</v>
          </cell>
          <cell r="Y1095">
            <v>13188.12</v>
          </cell>
          <cell r="Z1095">
            <v>-390.65</v>
          </cell>
          <cell r="AA1095">
            <v>-824.15</v>
          </cell>
          <cell r="AB1095">
            <v>6179.35</v>
          </cell>
          <cell r="AC1095">
            <v>5888.85</v>
          </cell>
          <cell r="AD1095">
            <v>10290.85</v>
          </cell>
          <cell r="AE1095">
            <v>10290.85</v>
          </cell>
          <cell r="AF1095">
            <v>10290.85</v>
          </cell>
          <cell r="AG1095">
            <v>10083.35</v>
          </cell>
          <cell r="AH1095">
            <v>10083.35</v>
          </cell>
          <cell r="AI1095">
            <v>10083.35</v>
          </cell>
          <cell r="AJ1095">
            <v>10083.35</v>
          </cell>
          <cell r="AK1095">
            <v>10145.34</v>
          </cell>
          <cell r="AL1095">
            <v>0</v>
          </cell>
          <cell r="AM1095">
            <v>1</v>
          </cell>
          <cell r="AN1095" t="str">
            <v/>
          </cell>
          <cell r="AO1095">
            <v>0</v>
          </cell>
          <cell r="AP1095">
            <v>0</v>
          </cell>
          <cell r="AQ1095">
            <v>0</v>
          </cell>
          <cell r="AR1095">
            <v>690</v>
          </cell>
          <cell r="AS1095">
            <v>0</v>
          </cell>
          <cell r="AT1095" t="str">
            <v/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 t="str">
            <v/>
          </cell>
          <cell r="BK1095">
            <v>6000</v>
          </cell>
          <cell r="BL1095" t="str">
            <v>0</v>
          </cell>
          <cell r="BM1095" t="str">
            <v>1</v>
          </cell>
          <cell r="BN1095" t="str">
            <v/>
          </cell>
          <cell r="BO1095" t="str">
            <v/>
          </cell>
        </row>
        <row r="1096">
          <cell r="A1096">
            <v>1</v>
          </cell>
          <cell r="B1096">
            <v>2142131</v>
          </cell>
          <cell r="C1096" t="str">
            <v>D.A.S.</v>
          </cell>
          <cell r="D1096" t="str">
            <v>PENSION ALIMENTAIRE</v>
          </cell>
          <cell r="E1096" t="str">
            <v>O</v>
          </cell>
          <cell r="F1096">
            <v>0</v>
          </cell>
          <cell r="G1096">
            <v>0</v>
          </cell>
          <cell r="H1096">
            <v>1956.8</v>
          </cell>
          <cell r="I1096">
            <v>22022.37</v>
          </cell>
          <cell r="J1096">
            <v>27242.98</v>
          </cell>
          <cell r="K1096">
            <v>0</v>
          </cell>
          <cell r="L1096">
            <v>1956.8</v>
          </cell>
          <cell r="M1096">
            <v>1174.08</v>
          </cell>
          <cell r="N1096">
            <v>-2770.56</v>
          </cell>
          <cell r="O1096">
            <v>-3070.25</v>
          </cell>
          <cell r="P1096">
            <v>-2363.85</v>
          </cell>
          <cell r="Q1096">
            <v>-2994.68</v>
          </cell>
          <cell r="R1096">
            <v>-2740.24</v>
          </cell>
          <cell r="S1096">
            <v>-2268.9699999999998</v>
          </cell>
          <cell r="T1096">
            <v>-3394.91</v>
          </cell>
          <cell r="U1096">
            <v>-2698.45</v>
          </cell>
          <cell r="V1096">
            <v>-3179.9</v>
          </cell>
          <cell r="W1096">
            <v>1487.99</v>
          </cell>
          <cell r="X1096">
            <v>1956.8</v>
          </cell>
          <cell r="Y1096">
            <v>1174.08</v>
          </cell>
          <cell r="Z1096">
            <v>1884.16</v>
          </cell>
          <cell r="AA1096">
            <v>867.15</v>
          </cell>
          <cell r="AB1096">
            <v>2701.6</v>
          </cell>
          <cell r="AC1096">
            <v>1075.4100000000001</v>
          </cell>
          <cell r="AD1096">
            <v>372.64</v>
          </cell>
          <cell r="AE1096">
            <v>-122.36</v>
          </cell>
          <cell r="AF1096">
            <v>-2635.79</v>
          </cell>
          <cell r="AG1096">
            <v>-2806.64</v>
          </cell>
          <cell r="AH1096">
            <v>-2560.04</v>
          </cell>
          <cell r="AI1096">
            <v>-2632.97</v>
          </cell>
          <cell r="AJ1096">
            <v>-3437.36</v>
          </cell>
          <cell r="AK1096">
            <v>-3263.81</v>
          </cell>
          <cell r="AL1096">
            <v>0</v>
          </cell>
          <cell r="AM1096">
            <v>1</v>
          </cell>
          <cell r="AN1096" t="str">
            <v/>
          </cell>
          <cell r="AO1096">
            <v>0</v>
          </cell>
          <cell r="AP1096">
            <v>0</v>
          </cell>
          <cell r="AQ1096">
            <v>0</v>
          </cell>
          <cell r="AR1096">
            <v>420</v>
          </cell>
          <cell r="AS1096">
            <v>0</v>
          </cell>
          <cell r="AT1096" t="str">
            <v/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 t="str">
            <v/>
          </cell>
          <cell r="BK1096">
            <v>2100</v>
          </cell>
          <cell r="BL1096" t="str">
            <v>0</v>
          </cell>
          <cell r="BM1096" t="str">
            <v>1</v>
          </cell>
          <cell r="BN1096" t="str">
            <v/>
          </cell>
          <cell r="BO1096" t="str">
            <v/>
          </cell>
        </row>
        <row r="1097">
          <cell r="A1097">
            <v>1</v>
          </cell>
          <cell r="B1097">
            <v>4251941</v>
          </cell>
          <cell r="C1097" t="str">
            <v>M.O.D.</v>
          </cell>
          <cell r="D1097" t="str">
            <v>FOND DE PENSION CIE</v>
          </cell>
          <cell r="E1097" t="str">
            <v>O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1</v>
          </cell>
          <cell r="AN1097" t="str">
            <v/>
          </cell>
          <cell r="AO1097">
            <v>0</v>
          </cell>
          <cell r="AP1097">
            <v>0</v>
          </cell>
          <cell r="AQ1097">
            <v>0</v>
          </cell>
          <cell r="AR1097">
            <v>690</v>
          </cell>
          <cell r="AS1097">
            <v>0</v>
          </cell>
          <cell r="AT1097" t="str">
            <v/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 t="str">
            <v/>
          </cell>
          <cell r="BK1097">
            <v>6000</v>
          </cell>
          <cell r="BL1097" t="str">
            <v>0</v>
          </cell>
          <cell r="BM1097" t="str">
            <v>1</v>
          </cell>
          <cell r="BN1097" t="str">
            <v/>
          </cell>
          <cell r="BO1097" t="str">
            <v/>
          </cell>
        </row>
        <row r="1098">
          <cell r="A1098">
            <v>1</v>
          </cell>
          <cell r="B1098">
            <v>4250071</v>
          </cell>
          <cell r="C1098" t="str">
            <v>M.O.D.</v>
          </cell>
          <cell r="D1098" t="str">
            <v>NETTOYEUR</v>
          </cell>
          <cell r="E1098" t="str">
            <v>O</v>
          </cell>
          <cell r="F1098">
            <v>0</v>
          </cell>
          <cell r="G1098">
            <v>0</v>
          </cell>
          <cell r="H1098">
            <v>207051.04</v>
          </cell>
          <cell r="I1098">
            <v>244135.66</v>
          </cell>
          <cell r="J1098">
            <v>37084.620000000003</v>
          </cell>
          <cell r="K1098">
            <v>0</v>
          </cell>
          <cell r="L1098">
            <v>34272.86</v>
          </cell>
          <cell r="M1098">
            <v>19142.43</v>
          </cell>
          <cell r="N1098">
            <v>13774.62</v>
          </cell>
          <cell r="O1098">
            <v>34679</v>
          </cell>
          <cell r="P1098">
            <v>52912.03</v>
          </cell>
          <cell r="Q1098">
            <v>69235.960000000006</v>
          </cell>
          <cell r="R1098">
            <v>87309.45</v>
          </cell>
          <cell r="S1098">
            <v>107758.05</v>
          </cell>
          <cell r="T1098">
            <v>127260.26</v>
          </cell>
          <cell r="U1098">
            <v>145860.97</v>
          </cell>
          <cell r="V1098">
            <v>169312.62</v>
          </cell>
          <cell r="W1098">
            <v>188515.13</v>
          </cell>
          <cell r="X1098">
            <v>207051.04</v>
          </cell>
          <cell r="Y1098">
            <v>222181.47</v>
          </cell>
          <cell r="Z1098">
            <v>3257.33</v>
          </cell>
          <cell r="AA1098">
            <v>3959.47</v>
          </cell>
          <cell r="AB1098">
            <v>8958.58</v>
          </cell>
          <cell r="AC1098">
            <v>11013.03</v>
          </cell>
          <cell r="AD1098">
            <v>17071.53</v>
          </cell>
          <cell r="AE1098">
            <v>35985.53</v>
          </cell>
          <cell r="AF1098">
            <v>50964.31</v>
          </cell>
          <cell r="AG1098">
            <v>66847.28</v>
          </cell>
          <cell r="AH1098">
            <v>81030.91</v>
          </cell>
          <cell r="AI1098">
            <v>98975.52</v>
          </cell>
          <cell r="AJ1098">
            <v>114648.38</v>
          </cell>
          <cell r="AK1098">
            <v>129656.71</v>
          </cell>
          <cell r="AL1098">
            <v>0</v>
          </cell>
          <cell r="AM1098">
            <v>1</v>
          </cell>
          <cell r="AN1098" t="str">
            <v/>
          </cell>
          <cell r="AO1098">
            <v>0</v>
          </cell>
          <cell r="AP1098">
            <v>0</v>
          </cell>
          <cell r="AQ1098">
            <v>0</v>
          </cell>
          <cell r="AR1098">
            <v>690</v>
          </cell>
          <cell r="AS1098">
            <v>0</v>
          </cell>
          <cell r="AT1098" t="str">
            <v/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 t="str">
            <v/>
          </cell>
          <cell r="BK1098">
            <v>6000</v>
          </cell>
          <cell r="BL1098" t="str">
            <v>0</v>
          </cell>
          <cell r="BM1098" t="str">
            <v>1</v>
          </cell>
          <cell r="BN1098" t="str">
            <v/>
          </cell>
          <cell r="BO1098" t="str">
            <v/>
          </cell>
        </row>
        <row r="1099">
          <cell r="A1099">
            <v>1</v>
          </cell>
          <cell r="B1099">
            <v>4250253</v>
          </cell>
          <cell r="C1099" t="str">
            <v>M.O.D.</v>
          </cell>
          <cell r="D1099" t="str">
            <v>SACS - MACHINE 25</v>
          </cell>
          <cell r="E1099" t="str">
            <v>O</v>
          </cell>
          <cell r="F1099">
            <v>0</v>
          </cell>
          <cell r="G1099">
            <v>0</v>
          </cell>
          <cell r="H1099">
            <v>51703.72</v>
          </cell>
          <cell r="I1099">
            <v>60074.47</v>
          </cell>
          <cell r="J1099">
            <v>8370.75</v>
          </cell>
          <cell r="K1099">
            <v>0</v>
          </cell>
          <cell r="L1099">
            <v>5783.06</v>
          </cell>
          <cell r="M1099">
            <v>4038.07</v>
          </cell>
          <cell r="N1099">
            <v>5969.44</v>
          </cell>
          <cell r="O1099">
            <v>10853.65</v>
          </cell>
          <cell r="P1099">
            <v>12870.13</v>
          </cell>
          <cell r="Q1099">
            <v>16654.099999999999</v>
          </cell>
          <cell r="R1099">
            <v>23047.5</v>
          </cell>
          <cell r="S1099">
            <v>28320.46</v>
          </cell>
          <cell r="T1099">
            <v>35292.720000000001</v>
          </cell>
          <cell r="U1099">
            <v>39791.339999999997</v>
          </cell>
          <cell r="V1099">
            <v>43626.69</v>
          </cell>
          <cell r="W1099">
            <v>47665.65</v>
          </cell>
          <cell r="X1099">
            <v>51703.72</v>
          </cell>
          <cell r="Y1099">
            <v>53448.71</v>
          </cell>
          <cell r="Z1099">
            <v>6174.33</v>
          </cell>
          <cell r="AA1099">
            <v>10728.62</v>
          </cell>
          <cell r="AB1099">
            <v>13119.57</v>
          </cell>
          <cell r="AC1099">
            <v>16626.169999999998</v>
          </cell>
          <cell r="AD1099">
            <v>19105.32</v>
          </cell>
          <cell r="AE1099">
            <v>22055.26</v>
          </cell>
          <cell r="AF1099">
            <v>28942.95</v>
          </cell>
          <cell r="AG1099">
            <v>37925.24</v>
          </cell>
          <cell r="AH1099">
            <v>44631.12</v>
          </cell>
          <cell r="AI1099">
            <v>49286.83</v>
          </cell>
          <cell r="AJ1099">
            <v>54567.44</v>
          </cell>
          <cell r="AK1099">
            <v>63385.94</v>
          </cell>
          <cell r="AL1099">
            <v>0</v>
          </cell>
          <cell r="AM1099">
            <v>3</v>
          </cell>
          <cell r="AN1099" t="str">
            <v/>
          </cell>
          <cell r="AO1099">
            <v>0</v>
          </cell>
          <cell r="AP1099">
            <v>0</v>
          </cell>
          <cell r="AQ1099">
            <v>0</v>
          </cell>
          <cell r="AR1099">
            <v>690</v>
          </cell>
          <cell r="AS1099">
            <v>0</v>
          </cell>
          <cell r="AT1099" t="str">
            <v/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 t="str">
            <v/>
          </cell>
          <cell r="BK1099">
            <v>6000</v>
          </cell>
          <cell r="BL1099" t="str">
            <v>0</v>
          </cell>
          <cell r="BM1099" t="str">
            <v>1</v>
          </cell>
          <cell r="BN1099" t="str">
            <v/>
          </cell>
          <cell r="BO1099" t="str">
            <v/>
          </cell>
        </row>
        <row r="1100">
          <cell r="A1100">
            <v>1</v>
          </cell>
          <cell r="B1100">
            <v>4250273</v>
          </cell>
          <cell r="C1100" t="str">
            <v>M.O.D.</v>
          </cell>
          <cell r="D1100" t="str">
            <v>SACS - MACHINE 27</v>
          </cell>
          <cell r="E1100" t="str">
            <v>O</v>
          </cell>
          <cell r="F1100">
            <v>0</v>
          </cell>
          <cell r="G1100">
            <v>0</v>
          </cell>
          <cell r="H1100">
            <v>74863.33</v>
          </cell>
          <cell r="I1100">
            <v>90304.51</v>
          </cell>
          <cell r="J1100">
            <v>15441.18</v>
          </cell>
          <cell r="K1100">
            <v>0</v>
          </cell>
          <cell r="L1100">
            <v>11253.91</v>
          </cell>
          <cell r="M1100">
            <v>9371.41</v>
          </cell>
          <cell r="N1100">
            <v>7127.46</v>
          </cell>
          <cell r="O1100">
            <v>12799.96</v>
          </cell>
          <cell r="P1100">
            <v>20728.900000000001</v>
          </cell>
          <cell r="Q1100">
            <v>29447.3</v>
          </cell>
          <cell r="R1100">
            <v>41081.550000000003</v>
          </cell>
          <cell r="S1100">
            <v>46610.17</v>
          </cell>
          <cell r="T1100">
            <v>49700.160000000003</v>
          </cell>
          <cell r="U1100">
            <v>56882.38</v>
          </cell>
          <cell r="V1100">
            <v>60638.51</v>
          </cell>
          <cell r="W1100">
            <v>65491.92</v>
          </cell>
          <cell r="X1100">
            <v>74863.33</v>
          </cell>
          <cell r="Y1100">
            <v>76745.83</v>
          </cell>
          <cell r="Z1100">
            <v>11513.42</v>
          </cell>
          <cell r="AA1100">
            <v>20857.25</v>
          </cell>
          <cell r="AB1100">
            <v>28573.73</v>
          </cell>
          <cell r="AC1100">
            <v>37369.06</v>
          </cell>
          <cell r="AD1100">
            <v>44002.8</v>
          </cell>
          <cell r="AE1100">
            <v>57470.720000000001</v>
          </cell>
          <cell r="AF1100">
            <v>69052.570000000007</v>
          </cell>
          <cell r="AG1100">
            <v>81759.31</v>
          </cell>
          <cell r="AH1100">
            <v>95974.79</v>
          </cell>
          <cell r="AI1100">
            <v>113814.54</v>
          </cell>
          <cell r="AJ1100">
            <v>130480.23</v>
          </cell>
          <cell r="AK1100">
            <v>142328.62</v>
          </cell>
          <cell r="AL1100">
            <v>0</v>
          </cell>
          <cell r="AM1100">
            <v>3</v>
          </cell>
          <cell r="AN1100" t="str">
            <v/>
          </cell>
          <cell r="AO1100">
            <v>0</v>
          </cell>
          <cell r="AP1100">
            <v>0</v>
          </cell>
          <cell r="AQ1100">
            <v>0</v>
          </cell>
          <cell r="AR1100">
            <v>690</v>
          </cell>
          <cell r="AS1100">
            <v>0</v>
          </cell>
          <cell r="AT1100" t="str">
            <v/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 t="str">
            <v/>
          </cell>
          <cell r="BK1100">
            <v>6000</v>
          </cell>
          <cell r="BL1100" t="str">
            <v>0</v>
          </cell>
          <cell r="BM1100" t="str">
            <v>1</v>
          </cell>
          <cell r="BN1100" t="str">
            <v/>
          </cell>
          <cell r="BO1100" t="str">
            <v/>
          </cell>
        </row>
        <row r="1101">
          <cell r="A1101">
            <v>1</v>
          </cell>
          <cell r="B1101">
            <v>4250283</v>
          </cell>
          <cell r="C1101" t="str">
            <v>M.O.D.</v>
          </cell>
          <cell r="D1101" t="str">
            <v>SACS - MACHINE 28</v>
          </cell>
          <cell r="E1101" t="str">
            <v>O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3</v>
          </cell>
          <cell r="AN1101" t="str">
            <v/>
          </cell>
          <cell r="AO1101">
            <v>0</v>
          </cell>
          <cell r="AP1101">
            <v>0</v>
          </cell>
          <cell r="AQ1101">
            <v>0</v>
          </cell>
          <cell r="AR1101">
            <v>690</v>
          </cell>
          <cell r="AS1101">
            <v>0</v>
          </cell>
          <cell r="AT1101" t="str">
            <v/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 t="str">
            <v/>
          </cell>
          <cell r="BK1101">
            <v>6000</v>
          </cell>
          <cell r="BL1101" t="str">
            <v>0</v>
          </cell>
          <cell r="BM1101" t="str">
            <v>1</v>
          </cell>
          <cell r="BN1101" t="str">
            <v/>
          </cell>
          <cell r="BO1101" t="str">
            <v/>
          </cell>
        </row>
        <row r="1102">
          <cell r="A1102">
            <v>1</v>
          </cell>
          <cell r="B1102">
            <v>4250303</v>
          </cell>
          <cell r="C1102" t="str">
            <v>M.O.D.</v>
          </cell>
          <cell r="D1102" t="str">
            <v>SACS - MACHINE 30</v>
          </cell>
          <cell r="E1102" t="str">
            <v>O</v>
          </cell>
          <cell r="F1102">
            <v>0</v>
          </cell>
          <cell r="G1102">
            <v>0</v>
          </cell>
          <cell r="H1102">
            <v>92180.03</v>
          </cell>
          <cell r="I1102">
            <v>110994.68</v>
          </cell>
          <cell r="J1102">
            <v>18814.650000000001</v>
          </cell>
          <cell r="K1102">
            <v>0</v>
          </cell>
          <cell r="L1102">
            <v>16195.09</v>
          </cell>
          <cell r="M1102">
            <v>10701.66</v>
          </cell>
          <cell r="N1102">
            <v>7830.58</v>
          </cell>
          <cell r="O1102">
            <v>16396.560000000001</v>
          </cell>
          <cell r="P1102">
            <v>24978.86</v>
          </cell>
          <cell r="Q1102">
            <v>34632.94</v>
          </cell>
          <cell r="R1102">
            <v>47119.59</v>
          </cell>
          <cell r="S1102">
            <v>53301.279999999999</v>
          </cell>
          <cell r="T1102">
            <v>59348.11</v>
          </cell>
          <cell r="U1102">
            <v>66490.899999999994</v>
          </cell>
          <cell r="V1102">
            <v>74028.17</v>
          </cell>
          <cell r="W1102">
            <v>81478.37</v>
          </cell>
          <cell r="X1102">
            <v>92180.03</v>
          </cell>
          <cell r="Y1102">
            <v>97673.46</v>
          </cell>
          <cell r="Z1102">
            <v>12170.46</v>
          </cell>
          <cell r="AA1102">
            <v>22362.55</v>
          </cell>
          <cell r="AB1102">
            <v>30658.19</v>
          </cell>
          <cell r="AC1102">
            <v>41103.29</v>
          </cell>
          <cell r="AD1102">
            <v>48449.93</v>
          </cell>
          <cell r="AE1102">
            <v>60962.97</v>
          </cell>
          <cell r="AF1102">
            <v>72153.289999999994</v>
          </cell>
          <cell r="AG1102">
            <v>82939.210000000006</v>
          </cell>
          <cell r="AH1102">
            <v>97195.05</v>
          </cell>
          <cell r="AI1102">
            <v>114941</v>
          </cell>
          <cell r="AJ1102">
            <v>131613.01999999999</v>
          </cell>
          <cell r="AK1102">
            <v>144014.31</v>
          </cell>
          <cell r="AL1102">
            <v>0</v>
          </cell>
          <cell r="AM1102">
            <v>3</v>
          </cell>
          <cell r="AN1102" t="str">
            <v/>
          </cell>
          <cell r="AO1102">
            <v>0</v>
          </cell>
          <cell r="AP1102">
            <v>0</v>
          </cell>
          <cell r="AQ1102">
            <v>0</v>
          </cell>
          <cell r="AR1102">
            <v>690</v>
          </cell>
          <cell r="AS1102">
            <v>0</v>
          </cell>
          <cell r="AT1102" t="str">
            <v/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 t="str">
            <v/>
          </cell>
          <cell r="BK1102">
            <v>6000</v>
          </cell>
          <cell r="BL1102" t="str">
            <v>0</v>
          </cell>
          <cell r="BM1102" t="str">
            <v>1</v>
          </cell>
          <cell r="BN1102" t="str">
            <v/>
          </cell>
          <cell r="BO1102" t="str">
            <v/>
          </cell>
        </row>
        <row r="1103">
          <cell r="A1103">
            <v>1</v>
          </cell>
          <cell r="B1103">
            <v>4250313</v>
          </cell>
          <cell r="C1103" t="str">
            <v>M.O.D.</v>
          </cell>
          <cell r="D1103" t="str">
            <v>SACS - MACHINE 31</v>
          </cell>
          <cell r="E1103" t="str">
            <v>O</v>
          </cell>
          <cell r="F1103">
            <v>0</v>
          </cell>
          <cell r="G1103">
            <v>0</v>
          </cell>
          <cell r="H1103">
            <v>87370.49</v>
          </cell>
          <cell r="I1103">
            <v>104482.06</v>
          </cell>
          <cell r="J1103">
            <v>17111.57</v>
          </cell>
          <cell r="K1103">
            <v>0</v>
          </cell>
          <cell r="L1103">
            <v>14654.02</v>
          </cell>
          <cell r="M1103">
            <v>8720.9</v>
          </cell>
          <cell r="N1103">
            <v>8437.9599999999991</v>
          </cell>
          <cell r="O1103">
            <v>14160.98</v>
          </cell>
          <cell r="P1103">
            <v>23927.88</v>
          </cell>
          <cell r="Q1103">
            <v>32578.959999999999</v>
          </cell>
          <cell r="R1103">
            <v>45363.040000000001</v>
          </cell>
          <cell r="S1103">
            <v>53833.87</v>
          </cell>
          <cell r="T1103">
            <v>61226.75</v>
          </cell>
          <cell r="U1103">
            <v>67714.179999999993</v>
          </cell>
          <cell r="V1103">
            <v>72476.86</v>
          </cell>
          <cell r="W1103">
            <v>78649.59</v>
          </cell>
          <cell r="X1103">
            <v>87370.49</v>
          </cell>
          <cell r="Y1103">
            <v>93303.61</v>
          </cell>
          <cell r="Z1103">
            <v>11270.88</v>
          </cell>
          <cell r="AA1103">
            <v>21766.77</v>
          </cell>
          <cell r="AB1103">
            <v>29880.32</v>
          </cell>
          <cell r="AC1103">
            <v>39412.559999999998</v>
          </cell>
          <cell r="AD1103">
            <v>45925.09</v>
          </cell>
          <cell r="AE1103">
            <v>56814.71</v>
          </cell>
          <cell r="AF1103">
            <v>68710.990000000005</v>
          </cell>
          <cell r="AG1103">
            <v>77378.649999999994</v>
          </cell>
          <cell r="AH1103">
            <v>91644.61</v>
          </cell>
          <cell r="AI1103">
            <v>107170.46</v>
          </cell>
          <cell r="AJ1103">
            <v>119824.38</v>
          </cell>
          <cell r="AK1103">
            <v>129976.1</v>
          </cell>
          <cell r="AL1103">
            <v>0</v>
          </cell>
          <cell r="AM1103">
            <v>3</v>
          </cell>
          <cell r="AN1103" t="str">
            <v/>
          </cell>
          <cell r="AO1103">
            <v>0</v>
          </cell>
          <cell r="AP1103">
            <v>0</v>
          </cell>
          <cell r="AQ1103">
            <v>0</v>
          </cell>
          <cell r="AR1103">
            <v>690</v>
          </cell>
          <cell r="AS1103">
            <v>0</v>
          </cell>
          <cell r="AT1103" t="str">
            <v/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 t="str">
            <v/>
          </cell>
          <cell r="BK1103">
            <v>6000</v>
          </cell>
          <cell r="BL1103" t="str">
            <v>0</v>
          </cell>
          <cell r="BM1103" t="str">
            <v>1</v>
          </cell>
          <cell r="BN1103" t="str">
            <v/>
          </cell>
          <cell r="BO1103" t="str">
            <v/>
          </cell>
        </row>
        <row r="1104">
          <cell r="A1104">
            <v>1</v>
          </cell>
          <cell r="B1104">
            <v>4250323</v>
          </cell>
          <cell r="C1104" t="str">
            <v>M.O.D.</v>
          </cell>
          <cell r="D1104" t="str">
            <v>SACS - MACHINE 32</v>
          </cell>
          <cell r="E1104" t="str">
            <v>O</v>
          </cell>
          <cell r="F1104">
            <v>0</v>
          </cell>
          <cell r="G1104">
            <v>0</v>
          </cell>
          <cell r="H1104">
            <v>52533.71</v>
          </cell>
          <cell r="I1104">
            <v>60884.61</v>
          </cell>
          <cell r="J1104">
            <v>8350.9</v>
          </cell>
          <cell r="K1104">
            <v>0</v>
          </cell>
          <cell r="L1104">
            <v>4559.72</v>
          </cell>
          <cell r="M1104">
            <v>2758.07</v>
          </cell>
          <cell r="N1104">
            <v>7373.95</v>
          </cell>
          <cell r="O1104">
            <v>13960.48</v>
          </cell>
          <cell r="P1104">
            <v>17601.95</v>
          </cell>
          <cell r="Q1104">
            <v>21572.29</v>
          </cell>
          <cell r="R1104">
            <v>27850.49</v>
          </cell>
          <cell r="S1104">
            <v>34228.61</v>
          </cell>
          <cell r="T1104">
            <v>40468.910000000003</v>
          </cell>
          <cell r="U1104">
            <v>43872.77</v>
          </cell>
          <cell r="V1104">
            <v>47079.4</v>
          </cell>
          <cell r="W1104">
            <v>49775.64</v>
          </cell>
          <cell r="X1104">
            <v>52533.71</v>
          </cell>
          <cell r="Y1104">
            <v>54335.360000000001</v>
          </cell>
          <cell r="Z1104">
            <v>11473.8</v>
          </cell>
          <cell r="AA1104">
            <v>16869</v>
          </cell>
          <cell r="AB1104">
            <v>18871.8</v>
          </cell>
          <cell r="AC1104">
            <v>24915.74</v>
          </cell>
          <cell r="AD1104">
            <v>31209.919999999998</v>
          </cell>
          <cell r="AE1104">
            <v>41686.879999999997</v>
          </cell>
          <cell r="AF1104">
            <v>50331.37</v>
          </cell>
          <cell r="AG1104">
            <v>58795.18</v>
          </cell>
          <cell r="AH1104">
            <v>67220.509999999995</v>
          </cell>
          <cell r="AI1104">
            <v>79502.98</v>
          </cell>
          <cell r="AJ1104">
            <v>92555.18</v>
          </cell>
          <cell r="AK1104">
            <v>104871.42</v>
          </cell>
          <cell r="AL1104">
            <v>0</v>
          </cell>
          <cell r="AM1104">
            <v>3</v>
          </cell>
          <cell r="AN1104" t="str">
            <v/>
          </cell>
          <cell r="AO1104">
            <v>0</v>
          </cell>
          <cell r="AP1104">
            <v>0</v>
          </cell>
          <cell r="AQ1104">
            <v>0</v>
          </cell>
          <cell r="AR1104">
            <v>690</v>
          </cell>
          <cell r="AS1104">
            <v>0</v>
          </cell>
          <cell r="AT1104" t="str">
            <v/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 t="str">
            <v/>
          </cell>
          <cell r="BK1104">
            <v>6000</v>
          </cell>
          <cell r="BL1104" t="str">
            <v>0</v>
          </cell>
          <cell r="BM1104" t="str">
            <v>1</v>
          </cell>
          <cell r="BN1104" t="str">
            <v/>
          </cell>
          <cell r="BO1104" t="str">
            <v/>
          </cell>
        </row>
        <row r="1105">
          <cell r="A1105">
            <v>1</v>
          </cell>
          <cell r="B1105">
            <v>4250333</v>
          </cell>
          <cell r="C1105" t="str">
            <v>M.O.D.</v>
          </cell>
          <cell r="D1105" t="str">
            <v>SACS - MACHINE 33</v>
          </cell>
          <cell r="E1105" t="str">
            <v>O</v>
          </cell>
          <cell r="F1105">
            <v>0</v>
          </cell>
          <cell r="G1105">
            <v>0</v>
          </cell>
          <cell r="H1105">
            <v>64333.93</v>
          </cell>
          <cell r="I1105">
            <v>74979.839999999997</v>
          </cell>
          <cell r="J1105">
            <v>10645.91</v>
          </cell>
          <cell r="K1105">
            <v>0</v>
          </cell>
          <cell r="L1105">
            <v>8490.66</v>
          </cell>
          <cell r="M1105">
            <v>4317.32</v>
          </cell>
          <cell r="N1105">
            <v>5981.53</v>
          </cell>
          <cell r="O1105">
            <v>15009.05</v>
          </cell>
          <cell r="P1105">
            <v>19612.57</v>
          </cell>
          <cell r="Q1105">
            <v>24880.880000000001</v>
          </cell>
          <cell r="R1105">
            <v>28796.94</v>
          </cell>
          <cell r="S1105">
            <v>35169.26</v>
          </cell>
          <cell r="T1105">
            <v>42499.839999999997</v>
          </cell>
          <cell r="U1105">
            <v>47942.46</v>
          </cell>
          <cell r="V1105">
            <v>54732.42</v>
          </cell>
          <cell r="W1105">
            <v>60016.61</v>
          </cell>
          <cell r="X1105">
            <v>64333.93</v>
          </cell>
          <cell r="Y1105">
            <v>68507.27</v>
          </cell>
          <cell r="Z1105">
            <v>3120.73</v>
          </cell>
          <cell r="AA1105">
            <v>6093.21</v>
          </cell>
          <cell r="AB1105">
            <v>10300.4</v>
          </cell>
          <cell r="AC1105">
            <v>14159.3</v>
          </cell>
          <cell r="AD1105">
            <v>16084.59</v>
          </cell>
          <cell r="AE1105">
            <v>21979.07</v>
          </cell>
          <cell r="AF1105">
            <v>31586.87</v>
          </cell>
          <cell r="AG1105">
            <v>35840.49</v>
          </cell>
          <cell r="AH1105">
            <v>39024.71</v>
          </cell>
          <cell r="AI1105">
            <v>51969.91</v>
          </cell>
          <cell r="AJ1105">
            <v>63893.55</v>
          </cell>
          <cell r="AK1105">
            <v>66827.67</v>
          </cell>
          <cell r="AL1105">
            <v>0</v>
          </cell>
          <cell r="AM1105">
            <v>3</v>
          </cell>
          <cell r="AN1105" t="str">
            <v/>
          </cell>
          <cell r="AO1105">
            <v>0</v>
          </cell>
          <cell r="AP1105">
            <v>0</v>
          </cell>
          <cell r="AQ1105">
            <v>0</v>
          </cell>
          <cell r="AR1105">
            <v>690</v>
          </cell>
          <cell r="AS1105">
            <v>0</v>
          </cell>
          <cell r="AT1105" t="str">
            <v/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 t="str">
            <v/>
          </cell>
          <cell r="BK1105">
            <v>6000</v>
          </cell>
          <cell r="BL1105" t="str">
            <v>0</v>
          </cell>
          <cell r="BM1105" t="str">
            <v>1</v>
          </cell>
          <cell r="BN1105" t="str">
            <v/>
          </cell>
          <cell r="BO1105" t="str">
            <v/>
          </cell>
        </row>
        <row r="1106">
          <cell r="A1106">
            <v>1</v>
          </cell>
          <cell r="B1106">
            <v>4250343</v>
          </cell>
          <cell r="C1106" t="str">
            <v>M.O.D.</v>
          </cell>
          <cell r="D1106" t="str">
            <v>SACS - MACHINE 34</v>
          </cell>
          <cell r="E1106" t="str">
            <v>O</v>
          </cell>
          <cell r="F1106">
            <v>0</v>
          </cell>
          <cell r="G1106">
            <v>0</v>
          </cell>
          <cell r="H1106">
            <v>14881.28</v>
          </cell>
          <cell r="I1106">
            <v>18571.47</v>
          </cell>
          <cell r="J1106">
            <v>3690.19</v>
          </cell>
          <cell r="K1106">
            <v>0</v>
          </cell>
          <cell r="L1106">
            <v>3516.06</v>
          </cell>
          <cell r="M1106">
            <v>1450.75</v>
          </cell>
          <cell r="N1106">
            <v>957.22</v>
          </cell>
          <cell r="O1106">
            <v>1771.95</v>
          </cell>
          <cell r="P1106">
            <v>3371.31</v>
          </cell>
          <cell r="Q1106">
            <v>4235.55</v>
          </cell>
          <cell r="R1106">
            <v>6155.33</v>
          </cell>
          <cell r="S1106">
            <v>7824.06</v>
          </cell>
          <cell r="T1106">
            <v>8484.49</v>
          </cell>
          <cell r="U1106">
            <v>10256.02</v>
          </cell>
          <cell r="V1106">
            <v>10998.34</v>
          </cell>
          <cell r="W1106">
            <v>13430.53</v>
          </cell>
          <cell r="X1106">
            <v>14881.28</v>
          </cell>
          <cell r="Y1106">
            <v>16946.59</v>
          </cell>
          <cell r="Z1106">
            <v>2215.87</v>
          </cell>
          <cell r="AA1106">
            <v>3445.52</v>
          </cell>
          <cell r="AB1106">
            <v>4461.87</v>
          </cell>
          <cell r="AC1106">
            <v>5884</v>
          </cell>
          <cell r="AD1106">
            <v>7326.96</v>
          </cell>
          <cell r="AE1106">
            <v>8562.7900000000009</v>
          </cell>
          <cell r="AF1106">
            <v>9632.85</v>
          </cell>
          <cell r="AG1106">
            <v>11822</v>
          </cell>
          <cell r="AH1106">
            <v>13512.24</v>
          </cell>
          <cell r="AI1106">
            <v>14586.51</v>
          </cell>
          <cell r="AJ1106">
            <v>17680.169999999998</v>
          </cell>
          <cell r="AK1106">
            <v>20418.09</v>
          </cell>
          <cell r="AL1106">
            <v>0</v>
          </cell>
          <cell r="AM1106">
            <v>3</v>
          </cell>
          <cell r="AN1106" t="str">
            <v/>
          </cell>
          <cell r="AO1106">
            <v>0</v>
          </cell>
          <cell r="AP1106">
            <v>0</v>
          </cell>
          <cell r="AQ1106">
            <v>0</v>
          </cell>
          <cell r="AR1106">
            <v>690</v>
          </cell>
          <cell r="AS1106">
            <v>0</v>
          </cell>
          <cell r="AT1106" t="str">
            <v/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 t="str">
            <v/>
          </cell>
          <cell r="BK1106">
            <v>6000</v>
          </cell>
          <cell r="BL1106" t="str">
            <v>0</v>
          </cell>
          <cell r="BM1106" t="str">
            <v>1</v>
          </cell>
          <cell r="BN1106" t="str">
            <v/>
          </cell>
          <cell r="BO1106" t="str">
            <v/>
          </cell>
        </row>
        <row r="1107">
          <cell r="A1107">
            <v>1</v>
          </cell>
          <cell r="B1107">
            <v>4250353</v>
          </cell>
          <cell r="C1107" t="str">
            <v>M.O.D.</v>
          </cell>
          <cell r="D1107" t="str">
            <v>SACS - MACHINE 35</v>
          </cell>
          <cell r="E1107" t="str">
            <v>O</v>
          </cell>
          <cell r="F1107">
            <v>0</v>
          </cell>
          <cell r="G1107">
            <v>0</v>
          </cell>
          <cell r="H1107">
            <v>16240.13</v>
          </cell>
          <cell r="I1107">
            <v>17896.34</v>
          </cell>
          <cell r="J1107">
            <v>1656.21</v>
          </cell>
          <cell r="K1107">
            <v>0</v>
          </cell>
          <cell r="L1107">
            <v>1543.81</v>
          </cell>
          <cell r="M1107">
            <v>0</v>
          </cell>
          <cell r="N1107">
            <v>2910.49</v>
          </cell>
          <cell r="O1107">
            <v>5293.43</v>
          </cell>
          <cell r="P1107">
            <v>7541.46</v>
          </cell>
          <cell r="Q1107">
            <v>9289.5400000000009</v>
          </cell>
          <cell r="R1107">
            <v>11240.06</v>
          </cell>
          <cell r="S1107">
            <v>12106.31</v>
          </cell>
          <cell r="T1107">
            <v>13297.52</v>
          </cell>
          <cell r="U1107">
            <v>14599.94</v>
          </cell>
          <cell r="V1107">
            <v>14664.94</v>
          </cell>
          <cell r="W1107">
            <v>16240.13</v>
          </cell>
          <cell r="X1107">
            <v>16240.13</v>
          </cell>
          <cell r="Y1107">
            <v>17783.939999999999</v>
          </cell>
          <cell r="Z1107">
            <v>3246.93</v>
          </cell>
          <cell r="AA1107">
            <v>6023.98</v>
          </cell>
          <cell r="AB1107">
            <v>7725.18</v>
          </cell>
          <cell r="AC1107">
            <v>8949.61</v>
          </cell>
          <cell r="AD1107">
            <v>10037.19</v>
          </cell>
          <cell r="AE1107">
            <v>12524.14</v>
          </cell>
          <cell r="AF1107">
            <v>14865.54</v>
          </cell>
          <cell r="AG1107">
            <v>18734.189999999999</v>
          </cell>
          <cell r="AH1107">
            <v>22659.55</v>
          </cell>
          <cell r="AI1107">
            <v>23619.24</v>
          </cell>
          <cell r="AJ1107">
            <v>27418.44</v>
          </cell>
          <cell r="AK1107">
            <v>30329.51</v>
          </cell>
          <cell r="AL1107">
            <v>0</v>
          </cell>
          <cell r="AM1107">
            <v>3</v>
          </cell>
          <cell r="AN1107" t="str">
            <v/>
          </cell>
          <cell r="AO1107">
            <v>0</v>
          </cell>
          <cell r="AP1107">
            <v>0</v>
          </cell>
          <cell r="AQ1107">
            <v>0</v>
          </cell>
          <cell r="AR1107">
            <v>690</v>
          </cell>
          <cell r="AS1107">
            <v>0</v>
          </cell>
          <cell r="AT1107" t="str">
            <v/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 t="str">
            <v/>
          </cell>
          <cell r="BK1107">
            <v>6000</v>
          </cell>
          <cell r="BL1107" t="str">
            <v>0</v>
          </cell>
          <cell r="BM1107" t="str">
            <v>1</v>
          </cell>
          <cell r="BN1107" t="str">
            <v/>
          </cell>
          <cell r="BO1107" t="str">
            <v/>
          </cell>
        </row>
        <row r="1108">
          <cell r="A1108">
            <v>1</v>
          </cell>
          <cell r="B1108">
            <v>4250373</v>
          </cell>
          <cell r="C1108" t="str">
            <v>M.O.D.</v>
          </cell>
          <cell r="D1108" t="str">
            <v>SACS - MACHINE 37</v>
          </cell>
          <cell r="E1108" t="str">
            <v>O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267.92</v>
          </cell>
          <cell r="AA1108">
            <v>284.16000000000003</v>
          </cell>
          <cell r="AB1108">
            <v>284.16000000000003</v>
          </cell>
          <cell r="AC1108">
            <v>284.16000000000003</v>
          </cell>
          <cell r="AD1108">
            <v>284.16000000000003</v>
          </cell>
          <cell r="AE1108">
            <v>284.16000000000003</v>
          </cell>
          <cell r="AF1108">
            <v>284.16000000000003</v>
          </cell>
          <cell r="AG1108">
            <v>284.16000000000003</v>
          </cell>
          <cell r="AH1108">
            <v>284.16000000000003</v>
          </cell>
          <cell r="AI1108">
            <v>284.16000000000003</v>
          </cell>
          <cell r="AJ1108">
            <v>284.16000000000003</v>
          </cell>
          <cell r="AK1108">
            <v>284.16000000000003</v>
          </cell>
          <cell r="AL1108">
            <v>0</v>
          </cell>
          <cell r="AM1108">
            <v>3</v>
          </cell>
          <cell r="AN1108" t="str">
            <v/>
          </cell>
          <cell r="AO1108">
            <v>0</v>
          </cell>
          <cell r="AP1108">
            <v>0</v>
          </cell>
          <cell r="AQ1108">
            <v>0</v>
          </cell>
          <cell r="AR1108">
            <v>690</v>
          </cell>
          <cell r="AS1108">
            <v>0</v>
          </cell>
          <cell r="AT1108" t="str">
            <v/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 t="str">
            <v/>
          </cell>
          <cell r="BK1108">
            <v>6000</v>
          </cell>
          <cell r="BL1108" t="str">
            <v>0</v>
          </cell>
          <cell r="BM1108" t="str">
            <v>1</v>
          </cell>
          <cell r="BN1108" t="str">
            <v/>
          </cell>
          <cell r="BO1108" t="str">
            <v/>
          </cell>
        </row>
        <row r="1109">
          <cell r="A1109">
            <v>1</v>
          </cell>
          <cell r="B1109">
            <v>4250383</v>
          </cell>
          <cell r="C1109" t="str">
            <v>M.O.D.</v>
          </cell>
          <cell r="D1109" t="str">
            <v>SACS - MACHINE 38</v>
          </cell>
          <cell r="E1109" t="str">
            <v>O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3</v>
          </cell>
          <cell r="AN1109" t="str">
            <v/>
          </cell>
          <cell r="AO1109">
            <v>0</v>
          </cell>
          <cell r="AP1109">
            <v>0</v>
          </cell>
          <cell r="AQ1109">
            <v>0</v>
          </cell>
          <cell r="AR1109">
            <v>690</v>
          </cell>
          <cell r="AS1109">
            <v>0</v>
          </cell>
          <cell r="AT1109" t="str">
            <v/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 t="str">
            <v/>
          </cell>
          <cell r="BK1109">
            <v>6000</v>
          </cell>
          <cell r="BL1109" t="str">
            <v>0</v>
          </cell>
          <cell r="BM1109" t="str">
            <v>1</v>
          </cell>
          <cell r="BN1109" t="str">
            <v/>
          </cell>
          <cell r="BO1109" t="str">
            <v/>
          </cell>
        </row>
        <row r="1110">
          <cell r="A1110">
            <v>1</v>
          </cell>
          <cell r="B1110">
            <v>4250403</v>
          </cell>
          <cell r="C1110" t="str">
            <v>M.O.D.</v>
          </cell>
          <cell r="D1110" t="str">
            <v>SACS - MACHINE 40</v>
          </cell>
          <cell r="E1110" t="str">
            <v>O</v>
          </cell>
          <cell r="F1110">
            <v>0</v>
          </cell>
          <cell r="G1110">
            <v>0</v>
          </cell>
          <cell r="H1110">
            <v>18330.16</v>
          </cell>
          <cell r="I1110">
            <v>21460.400000000001</v>
          </cell>
          <cell r="J1110">
            <v>3130.24</v>
          </cell>
          <cell r="K1110">
            <v>0</v>
          </cell>
          <cell r="L1110">
            <v>1334</v>
          </cell>
          <cell r="M1110">
            <v>1467.4</v>
          </cell>
          <cell r="N1110">
            <v>2919.66</v>
          </cell>
          <cell r="O1110">
            <v>5339.57</v>
          </cell>
          <cell r="P1110">
            <v>6995.19</v>
          </cell>
          <cell r="Q1110">
            <v>7715.87</v>
          </cell>
          <cell r="R1110">
            <v>9179.7000000000007</v>
          </cell>
          <cell r="S1110">
            <v>12108.38</v>
          </cell>
          <cell r="T1110">
            <v>13077.84</v>
          </cell>
          <cell r="U1110">
            <v>14336.28</v>
          </cell>
          <cell r="V1110">
            <v>14836.84</v>
          </cell>
          <cell r="W1110">
            <v>16862.759999999998</v>
          </cell>
          <cell r="X1110">
            <v>18330.16</v>
          </cell>
          <cell r="Y1110">
            <v>18196.759999999998</v>
          </cell>
          <cell r="Z1110">
            <v>3544.22</v>
          </cell>
          <cell r="AA1110">
            <v>6225.07</v>
          </cell>
          <cell r="AB1110">
            <v>7242.66</v>
          </cell>
          <cell r="AC1110">
            <v>9516.7199999999993</v>
          </cell>
          <cell r="AD1110">
            <v>12245.23</v>
          </cell>
          <cell r="AE1110">
            <v>15067.32</v>
          </cell>
          <cell r="AF1110">
            <v>18163.169999999998</v>
          </cell>
          <cell r="AG1110">
            <v>21248.560000000001</v>
          </cell>
          <cell r="AH1110">
            <v>23332.81</v>
          </cell>
          <cell r="AI1110">
            <v>25195.95</v>
          </cell>
          <cell r="AJ1110">
            <v>28328.97</v>
          </cell>
          <cell r="AK1110">
            <v>32542.27</v>
          </cell>
          <cell r="AL1110">
            <v>0</v>
          </cell>
          <cell r="AM1110">
            <v>3</v>
          </cell>
          <cell r="AN1110" t="str">
            <v/>
          </cell>
          <cell r="AO1110">
            <v>0</v>
          </cell>
          <cell r="AP1110">
            <v>0</v>
          </cell>
          <cell r="AQ1110">
            <v>0</v>
          </cell>
          <cell r="AR1110">
            <v>690</v>
          </cell>
          <cell r="AS1110">
            <v>0</v>
          </cell>
          <cell r="AT1110" t="str">
            <v/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 t="str">
            <v/>
          </cell>
          <cell r="BK1110">
            <v>6000</v>
          </cell>
          <cell r="BL1110" t="str">
            <v>0</v>
          </cell>
          <cell r="BM1110" t="str">
            <v>1</v>
          </cell>
          <cell r="BN1110" t="str">
            <v/>
          </cell>
          <cell r="BO1110" t="str">
            <v/>
          </cell>
        </row>
        <row r="1111">
          <cell r="A1111">
            <v>1</v>
          </cell>
          <cell r="B1111">
            <v>4250433</v>
          </cell>
          <cell r="C1111" t="str">
            <v>M.O.D.</v>
          </cell>
          <cell r="D1111" t="str">
            <v>SACS - MACHINE 43</v>
          </cell>
          <cell r="E1111" t="str">
            <v>O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3</v>
          </cell>
          <cell r="AN1111" t="str">
            <v/>
          </cell>
          <cell r="AO1111">
            <v>0</v>
          </cell>
          <cell r="AP1111">
            <v>0</v>
          </cell>
          <cell r="AQ1111">
            <v>0</v>
          </cell>
          <cell r="AR1111">
            <v>690</v>
          </cell>
          <cell r="AS1111">
            <v>0</v>
          </cell>
          <cell r="AT1111" t="str">
            <v/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 t="str">
            <v/>
          </cell>
          <cell r="BK1111">
            <v>6000</v>
          </cell>
          <cell r="BL1111" t="str">
            <v>0</v>
          </cell>
          <cell r="BM1111" t="str">
            <v>1</v>
          </cell>
          <cell r="BN1111" t="str">
            <v/>
          </cell>
          <cell r="BO1111" t="str">
            <v/>
          </cell>
        </row>
        <row r="1112">
          <cell r="A1112">
            <v>1</v>
          </cell>
          <cell r="B1112">
            <v>4250463</v>
          </cell>
          <cell r="C1112" t="str">
            <v>M.O.D.</v>
          </cell>
          <cell r="D1112" t="str">
            <v>SACS - MACHINE 46</v>
          </cell>
          <cell r="E1112" t="str">
            <v>O</v>
          </cell>
          <cell r="F1112">
            <v>0</v>
          </cell>
          <cell r="G1112">
            <v>0</v>
          </cell>
          <cell r="H1112">
            <v>102507.52</v>
          </cell>
          <cell r="I1112">
            <v>119222.9</v>
          </cell>
          <cell r="J1112">
            <v>16715.38</v>
          </cell>
          <cell r="K1112">
            <v>0</v>
          </cell>
          <cell r="L1112">
            <v>14362.86</v>
          </cell>
          <cell r="M1112">
            <v>7313.55</v>
          </cell>
          <cell r="N1112">
            <v>9365.7800000000007</v>
          </cell>
          <cell r="O1112">
            <v>21419.09</v>
          </cell>
          <cell r="P1112">
            <v>31183.27</v>
          </cell>
          <cell r="Q1112">
            <v>36090.93</v>
          </cell>
          <cell r="R1112">
            <v>44401.97</v>
          </cell>
          <cell r="S1112">
            <v>55261.22</v>
          </cell>
          <cell r="T1112">
            <v>73410.25</v>
          </cell>
          <cell r="U1112">
            <v>81102.75</v>
          </cell>
          <cell r="V1112">
            <v>89136.52</v>
          </cell>
          <cell r="W1112">
            <v>95193.97</v>
          </cell>
          <cell r="X1112">
            <v>102507.52</v>
          </cell>
          <cell r="Y1112">
            <v>109556.83</v>
          </cell>
          <cell r="Z1112">
            <v>14546.49</v>
          </cell>
          <cell r="AA1112">
            <v>29747.3</v>
          </cell>
          <cell r="AB1112">
            <v>39155.57</v>
          </cell>
          <cell r="AC1112">
            <v>49496.81</v>
          </cell>
          <cell r="AD1112">
            <v>56733.7</v>
          </cell>
          <cell r="AE1112">
            <v>67594.289999999994</v>
          </cell>
          <cell r="AF1112">
            <v>81465.52</v>
          </cell>
          <cell r="AG1112">
            <v>95399.12</v>
          </cell>
          <cell r="AH1112">
            <v>111084.59</v>
          </cell>
          <cell r="AI1112">
            <v>129137.32</v>
          </cell>
          <cell r="AJ1112">
            <v>146845.34</v>
          </cell>
          <cell r="AK1112">
            <v>159497.16</v>
          </cell>
          <cell r="AL1112">
            <v>0</v>
          </cell>
          <cell r="AM1112">
            <v>3</v>
          </cell>
          <cell r="AN1112" t="str">
            <v/>
          </cell>
          <cell r="AO1112">
            <v>0</v>
          </cell>
          <cell r="AP1112">
            <v>0</v>
          </cell>
          <cell r="AQ1112">
            <v>0</v>
          </cell>
          <cell r="AR1112">
            <v>690</v>
          </cell>
          <cell r="AS1112">
            <v>0</v>
          </cell>
          <cell r="AT1112" t="str">
            <v/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 t="str">
            <v/>
          </cell>
          <cell r="BK1112">
            <v>6000</v>
          </cell>
          <cell r="BL1112" t="str">
            <v>0</v>
          </cell>
          <cell r="BM1112" t="str">
            <v>1</v>
          </cell>
          <cell r="BN1112" t="str">
            <v/>
          </cell>
          <cell r="BO1112" t="str">
            <v/>
          </cell>
        </row>
        <row r="1113">
          <cell r="A1113">
            <v>1</v>
          </cell>
          <cell r="B1113">
            <v>4250473</v>
          </cell>
          <cell r="C1113" t="str">
            <v>M.O.D.</v>
          </cell>
          <cell r="D1113" t="str">
            <v>SACS - MACHINE 47</v>
          </cell>
          <cell r="E1113" t="str">
            <v>O</v>
          </cell>
          <cell r="F1113">
            <v>0</v>
          </cell>
          <cell r="G1113">
            <v>0</v>
          </cell>
          <cell r="H1113">
            <v>112671.87</v>
          </cell>
          <cell r="I1113">
            <v>134245.85</v>
          </cell>
          <cell r="J1113">
            <v>21573.98</v>
          </cell>
          <cell r="K1113">
            <v>0</v>
          </cell>
          <cell r="L1113">
            <v>14194.55</v>
          </cell>
          <cell r="M1113">
            <v>7248.87</v>
          </cell>
          <cell r="N1113">
            <v>10605.78</v>
          </cell>
          <cell r="O1113">
            <v>23268.19</v>
          </cell>
          <cell r="P1113">
            <v>32730.13</v>
          </cell>
          <cell r="Q1113">
            <v>43532.54</v>
          </cell>
          <cell r="R1113">
            <v>57158.73</v>
          </cell>
          <cell r="S1113">
            <v>65812.25</v>
          </cell>
          <cell r="T1113">
            <v>86067.68</v>
          </cell>
          <cell r="U1113">
            <v>93856.95</v>
          </cell>
          <cell r="V1113">
            <v>98636.56</v>
          </cell>
          <cell r="W1113">
            <v>105243</v>
          </cell>
          <cell r="X1113">
            <v>112671.87</v>
          </cell>
          <cell r="Y1113">
            <v>119617.55</v>
          </cell>
          <cell r="Z1113">
            <v>15157.84</v>
          </cell>
          <cell r="AA1113">
            <v>29735.09</v>
          </cell>
          <cell r="AB1113">
            <v>39005.51</v>
          </cell>
          <cell r="AC1113">
            <v>50023.44</v>
          </cell>
          <cell r="AD1113">
            <v>56858.65</v>
          </cell>
          <cell r="AE1113">
            <v>70032.2</v>
          </cell>
          <cell r="AF1113">
            <v>84397.63</v>
          </cell>
          <cell r="AG1113">
            <v>98452.68</v>
          </cell>
          <cell r="AH1113">
            <v>114782.31</v>
          </cell>
          <cell r="AI1113">
            <v>134419.14000000001</v>
          </cell>
          <cell r="AJ1113">
            <v>152525.70000000001</v>
          </cell>
          <cell r="AK1113">
            <v>166229.96</v>
          </cell>
          <cell r="AL1113">
            <v>0</v>
          </cell>
          <cell r="AM1113">
            <v>3</v>
          </cell>
          <cell r="AN1113" t="str">
            <v/>
          </cell>
          <cell r="AO1113">
            <v>0</v>
          </cell>
          <cell r="AP1113">
            <v>0</v>
          </cell>
          <cell r="AQ1113">
            <v>0</v>
          </cell>
          <cell r="AR1113">
            <v>690</v>
          </cell>
          <cell r="AS1113">
            <v>0</v>
          </cell>
          <cell r="AT1113" t="str">
            <v/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 t="str">
            <v/>
          </cell>
          <cell r="BK1113">
            <v>6000</v>
          </cell>
          <cell r="BL1113" t="str">
            <v>0</v>
          </cell>
          <cell r="BM1113" t="str">
            <v>1</v>
          </cell>
          <cell r="BN1113" t="str">
            <v/>
          </cell>
          <cell r="BO1113" t="str">
            <v/>
          </cell>
        </row>
        <row r="1114">
          <cell r="A1114">
            <v>1</v>
          </cell>
          <cell r="B1114">
            <v>4250533</v>
          </cell>
          <cell r="C1114" t="str">
            <v>M.O.D.</v>
          </cell>
          <cell r="D1114" t="str">
            <v>SACS - ATTACHEUSES</v>
          </cell>
          <cell r="E1114" t="str">
            <v>O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644.6</v>
          </cell>
          <cell r="AF1114">
            <v>664.2</v>
          </cell>
          <cell r="AG1114">
            <v>625</v>
          </cell>
          <cell r="AH1114">
            <v>625</v>
          </cell>
          <cell r="AI1114">
            <v>625</v>
          </cell>
          <cell r="AJ1114">
            <v>625</v>
          </cell>
          <cell r="AK1114">
            <v>625</v>
          </cell>
          <cell r="AL1114">
            <v>0</v>
          </cell>
          <cell r="AM1114">
            <v>3</v>
          </cell>
          <cell r="AN1114" t="str">
            <v/>
          </cell>
          <cell r="AO1114">
            <v>0</v>
          </cell>
          <cell r="AP1114">
            <v>0</v>
          </cell>
          <cell r="AQ1114">
            <v>0</v>
          </cell>
          <cell r="AR1114">
            <v>690</v>
          </cell>
          <cell r="AS1114">
            <v>0</v>
          </cell>
          <cell r="AT1114" t="str">
            <v/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 t="str">
            <v/>
          </cell>
          <cell r="BK1114">
            <v>6000</v>
          </cell>
          <cell r="BL1114" t="str">
            <v>0</v>
          </cell>
          <cell r="BM1114" t="str">
            <v>1</v>
          </cell>
          <cell r="BN1114" t="str">
            <v/>
          </cell>
          <cell r="BO1114" t="str">
            <v/>
          </cell>
        </row>
        <row r="1115">
          <cell r="A1115">
            <v>2</v>
          </cell>
          <cell r="B1115">
            <v>4250553</v>
          </cell>
          <cell r="C1115" t="str">
            <v>M.O.D.</v>
          </cell>
          <cell r="D1115" t="str">
            <v>SACS - MACHINE 53</v>
          </cell>
          <cell r="E1115" t="str">
            <v>O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3</v>
          </cell>
          <cell r="AN1115" t="str">
            <v/>
          </cell>
          <cell r="AO1115">
            <v>0</v>
          </cell>
          <cell r="AP1115">
            <v>0</v>
          </cell>
          <cell r="AQ1115">
            <v>0</v>
          </cell>
          <cell r="AR1115">
            <v>690</v>
          </cell>
          <cell r="AS1115">
            <v>0</v>
          </cell>
          <cell r="AT1115" t="str">
            <v/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 t="str">
            <v/>
          </cell>
          <cell r="BK1115">
            <v>6000</v>
          </cell>
          <cell r="BL1115" t="str">
            <v>0</v>
          </cell>
          <cell r="BM1115" t="str">
            <v>1</v>
          </cell>
          <cell r="BN1115" t="str">
            <v/>
          </cell>
          <cell r="BO1115" t="str">
            <v/>
          </cell>
        </row>
        <row r="1116">
          <cell r="A1116">
            <v>1</v>
          </cell>
          <cell r="B1116">
            <v>4251923</v>
          </cell>
          <cell r="C1116" t="str">
            <v>M.O.D.</v>
          </cell>
          <cell r="D1116" t="str">
            <v>SACS - SANTÉ SÉCURITÉ</v>
          </cell>
          <cell r="E1116" t="str">
            <v>O</v>
          </cell>
          <cell r="F1116">
            <v>0</v>
          </cell>
          <cell r="G1116">
            <v>0</v>
          </cell>
          <cell r="H1116">
            <v>105.1</v>
          </cell>
          <cell r="I1116">
            <v>115.1</v>
          </cell>
          <cell r="J1116">
            <v>10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105.1</v>
          </cell>
          <cell r="P1116">
            <v>105.1</v>
          </cell>
          <cell r="Q1116">
            <v>105.1</v>
          </cell>
          <cell r="R1116">
            <v>105.1</v>
          </cell>
          <cell r="S1116">
            <v>105.1</v>
          </cell>
          <cell r="T1116">
            <v>105.1</v>
          </cell>
          <cell r="U1116">
            <v>105.1</v>
          </cell>
          <cell r="V1116">
            <v>105.1</v>
          </cell>
          <cell r="W1116">
            <v>105.1</v>
          </cell>
          <cell r="X1116">
            <v>105.1</v>
          </cell>
          <cell r="Y1116">
            <v>105.1</v>
          </cell>
          <cell r="Z1116">
            <v>0</v>
          </cell>
          <cell r="AA1116">
            <v>0</v>
          </cell>
          <cell r="AB1116">
            <v>0</v>
          </cell>
          <cell r="AC1116">
            <v>75.3</v>
          </cell>
          <cell r="AD1116">
            <v>84.35</v>
          </cell>
          <cell r="AE1116">
            <v>84.35</v>
          </cell>
          <cell r="AF1116">
            <v>84.35</v>
          </cell>
          <cell r="AG1116">
            <v>131.54</v>
          </cell>
          <cell r="AH1116">
            <v>131.54</v>
          </cell>
          <cell r="AI1116">
            <v>131.54</v>
          </cell>
          <cell r="AJ1116">
            <v>131.54</v>
          </cell>
          <cell r="AK1116">
            <v>131.54</v>
          </cell>
          <cell r="AL1116">
            <v>0</v>
          </cell>
          <cell r="AM1116">
            <v>3</v>
          </cell>
          <cell r="AN1116" t="str">
            <v/>
          </cell>
          <cell r="AO1116">
            <v>0</v>
          </cell>
          <cell r="AP1116">
            <v>0</v>
          </cell>
          <cell r="AQ1116">
            <v>0</v>
          </cell>
          <cell r="AR1116">
            <v>690</v>
          </cell>
          <cell r="AS1116">
            <v>0</v>
          </cell>
          <cell r="AT1116" t="str">
            <v/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 t="str">
            <v/>
          </cell>
          <cell r="BK1116">
            <v>6000</v>
          </cell>
          <cell r="BL1116" t="str">
            <v>0</v>
          </cell>
          <cell r="BM1116" t="str">
            <v>1</v>
          </cell>
          <cell r="BN1116" t="str">
            <v/>
          </cell>
          <cell r="BO1116" t="str">
            <v/>
          </cell>
        </row>
        <row r="1117">
          <cell r="A1117">
            <v>1</v>
          </cell>
          <cell r="B1117">
            <v>4410071</v>
          </cell>
          <cell r="C1117" t="str">
            <v>FORMATION</v>
          </cell>
          <cell r="D1117" t="str">
            <v>MOD PAPIER</v>
          </cell>
          <cell r="E1117" t="str">
            <v>O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1</v>
          </cell>
          <cell r="AN1117" t="str">
            <v/>
          </cell>
          <cell r="AO1117">
            <v>0</v>
          </cell>
          <cell r="AP1117">
            <v>0</v>
          </cell>
          <cell r="AQ1117">
            <v>0</v>
          </cell>
          <cell r="AR1117">
            <v>810</v>
          </cell>
          <cell r="AS1117">
            <v>0</v>
          </cell>
          <cell r="AT1117" t="str">
            <v/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 t="str">
            <v/>
          </cell>
          <cell r="BK1117">
            <v>7000</v>
          </cell>
          <cell r="BL1117" t="str">
            <v>0</v>
          </cell>
          <cell r="BM1117" t="str">
            <v>1</v>
          </cell>
          <cell r="BN1117" t="str">
            <v/>
          </cell>
          <cell r="BO1117" t="str">
            <v/>
          </cell>
        </row>
        <row r="1118">
          <cell r="A1118">
            <v>1</v>
          </cell>
          <cell r="B1118">
            <v>4410273</v>
          </cell>
          <cell r="C1118" t="str">
            <v>FORMATION</v>
          </cell>
          <cell r="D1118" t="str">
            <v>MOD SACS</v>
          </cell>
          <cell r="E1118" t="str">
            <v>O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3</v>
          </cell>
          <cell r="AN1118" t="str">
            <v/>
          </cell>
          <cell r="AO1118">
            <v>0</v>
          </cell>
          <cell r="AP1118">
            <v>0</v>
          </cell>
          <cell r="AQ1118">
            <v>0</v>
          </cell>
          <cell r="AR1118">
            <v>810</v>
          </cell>
          <cell r="AS1118">
            <v>0</v>
          </cell>
          <cell r="AT1118" t="str">
            <v/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 t="str">
            <v/>
          </cell>
          <cell r="BK1118">
            <v>7000</v>
          </cell>
          <cell r="BL1118" t="str">
            <v>0</v>
          </cell>
          <cell r="BM1118" t="str">
            <v>1</v>
          </cell>
          <cell r="BN1118" t="str">
            <v/>
          </cell>
          <cell r="BO1118" t="str">
            <v/>
          </cell>
        </row>
        <row r="1119">
          <cell r="A1119">
            <v>1</v>
          </cell>
          <cell r="B1119">
            <v>4416951</v>
          </cell>
          <cell r="C1119" t="str">
            <v>FORMATION</v>
          </cell>
          <cell r="D1119" t="str">
            <v>MANUTENTION</v>
          </cell>
          <cell r="E1119" t="str">
            <v>O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225</v>
          </cell>
          <cell r="AK1119">
            <v>225</v>
          </cell>
          <cell r="AL1119">
            <v>0</v>
          </cell>
          <cell r="AM1119">
            <v>1</v>
          </cell>
          <cell r="AN1119" t="str">
            <v/>
          </cell>
          <cell r="AO1119">
            <v>0</v>
          </cell>
          <cell r="AP1119">
            <v>0</v>
          </cell>
          <cell r="AQ1119">
            <v>0</v>
          </cell>
          <cell r="AR1119">
            <v>810</v>
          </cell>
          <cell r="AS1119">
            <v>0</v>
          </cell>
          <cell r="AT1119" t="str">
            <v/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 t="str">
            <v/>
          </cell>
          <cell r="BK1119">
            <v>7000</v>
          </cell>
          <cell r="BL1119" t="str">
            <v>0</v>
          </cell>
          <cell r="BM1119" t="str">
            <v>1</v>
          </cell>
          <cell r="BN1119" t="str">
            <v/>
          </cell>
          <cell r="BO1119" t="str">
            <v/>
          </cell>
        </row>
        <row r="1120">
          <cell r="A1120">
            <v>1</v>
          </cell>
          <cell r="B1120">
            <v>4460202</v>
          </cell>
          <cell r="C1120" t="str">
            <v>MECANICIEN      ENTRETIEN</v>
          </cell>
          <cell r="D1120" t="str">
            <v>SERVIETTES COMPRESSEUR</v>
          </cell>
          <cell r="E1120" t="str">
            <v>O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199.39</v>
          </cell>
          <cell r="AA1120">
            <v>316.38</v>
          </cell>
          <cell r="AB1120">
            <v>460.07</v>
          </cell>
          <cell r="AC1120">
            <v>636.79</v>
          </cell>
          <cell r="AD1120">
            <v>655.28</v>
          </cell>
          <cell r="AE1120">
            <v>655.28</v>
          </cell>
          <cell r="AF1120">
            <v>655.28</v>
          </cell>
          <cell r="AG1120">
            <v>655.28</v>
          </cell>
          <cell r="AH1120">
            <v>655.28</v>
          </cell>
          <cell r="AI1120">
            <v>911.28</v>
          </cell>
          <cell r="AJ1120">
            <v>911.28</v>
          </cell>
          <cell r="AK1120">
            <v>911.28</v>
          </cell>
          <cell r="AL1120">
            <v>0</v>
          </cell>
          <cell r="AM1120">
            <v>2</v>
          </cell>
          <cell r="AN1120" t="str">
            <v/>
          </cell>
          <cell r="AO1120">
            <v>0</v>
          </cell>
          <cell r="AP1120">
            <v>0</v>
          </cell>
          <cell r="AQ1120">
            <v>0</v>
          </cell>
          <cell r="AR1120">
            <v>700</v>
          </cell>
          <cell r="AS1120">
            <v>0</v>
          </cell>
          <cell r="AT1120" t="str">
            <v/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 t="str">
            <v/>
          </cell>
          <cell r="BK1120">
            <v>7000</v>
          </cell>
          <cell r="BL1120" t="str">
            <v>0</v>
          </cell>
          <cell r="BM1120" t="str">
            <v>1</v>
          </cell>
          <cell r="BN1120" t="str">
            <v/>
          </cell>
          <cell r="BO1120" t="str">
            <v/>
          </cell>
        </row>
        <row r="1121">
          <cell r="A1121">
            <v>1</v>
          </cell>
          <cell r="B1121">
            <v>4460253</v>
          </cell>
          <cell r="C1121" t="str">
            <v>MECANICIENS     ENTRETIEN</v>
          </cell>
          <cell r="D1121" t="str">
            <v>SACS - MACHINE 25</v>
          </cell>
          <cell r="E1121" t="str">
            <v>O</v>
          </cell>
          <cell r="F1121">
            <v>0</v>
          </cell>
          <cell r="G1121">
            <v>0</v>
          </cell>
          <cell r="H1121">
            <v>7217.56</v>
          </cell>
          <cell r="I1121">
            <v>7895.58</v>
          </cell>
          <cell r="J1121">
            <v>678.02</v>
          </cell>
          <cell r="K1121">
            <v>0</v>
          </cell>
          <cell r="L1121">
            <v>143.83000000000001</v>
          </cell>
          <cell r="M1121">
            <v>75.2</v>
          </cell>
          <cell r="N1121">
            <v>210.49</v>
          </cell>
          <cell r="O1121">
            <v>1492.35</v>
          </cell>
          <cell r="P1121">
            <v>1710.48</v>
          </cell>
          <cell r="Q1121">
            <v>2346.83</v>
          </cell>
          <cell r="R1121">
            <v>4571.1099999999997</v>
          </cell>
          <cell r="S1121">
            <v>5745.83</v>
          </cell>
          <cell r="T1121">
            <v>5890.55</v>
          </cell>
          <cell r="U1121">
            <v>6183.52</v>
          </cell>
          <cell r="V1121">
            <v>6273.77</v>
          </cell>
          <cell r="W1121">
            <v>7142.36</v>
          </cell>
          <cell r="X1121">
            <v>7217.56</v>
          </cell>
          <cell r="Y1121">
            <v>7286.19</v>
          </cell>
          <cell r="Z1121">
            <v>820.37</v>
          </cell>
          <cell r="AA1121">
            <v>1226.72</v>
          </cell>
          <cell r="AB1121">
            <v>2113.41</v>
          </cell>
          <cell r="AC1121">
            <v>3068.87</v>
          </cell>
          <cell r="AD1121">
            <v>3487.69</v>
          </cell>
          <cell r="AE1121">
            <v>5636.6</v>
          </cell>
          <cell r="AF1121">
            <v>5804.74</v>
          </cell>
          <cell r="AG1121">
            <v>7051.55</v>
          </cell>
          <cell r="AH1121">
            <v>7249.56</v>
          </cell>
          <cell r="AI1121">
            <v>7453.45</v>
          </cell>
          <cell r="AJ1121">
            <v>7671.89</v>
          </cell>
          <cell r="AK1121">
            <v>7866.29</v>
          </cell>
          <cell r="AL1121">
            <v>0</v>
          </cell>
          <cell r="AM1121">
            <v>3</v>
          </cell>
          <cell r="AN1121" t="str">
            <v/>
          </cell>
          <cell r="AO1121">
            <v>0</v>
          </cell>
          <cell r="AP1121">
            <v>0</v>
          </cell>
          <cell r="AQ1121">
            <v>0</v>
          </cell>
          <cell r="AR1121">
            <v>700</v>
          </cell>
          <cell r="AS1121">
            <v>0</v>
          </cell>
          <cell r="AT1121" t="str">
            <v/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 t="str">
            <v/>
          </cell>
          <cell r="BK1121">
            <v>7000</v>
          </cell>
          <cell r="BL1121" t="str">
            <v>0</v>
          </cell>
          <cell r="BM1121" t="str">
            <v>1</v>
          </cell>
          <cell r="BN1121" t="str">
            <v/>
          </cell>
          <cell r="BO1121" t="str">
            <v/>
          </cell>
        </row>
        <row r="1122">
          <cell r="A1122">
            <v>1</v>
          </cell>
          <cell r="B1122">
            <v>4460283</v>
          </cell>
          <cell r="C1122" t="str">
            <v>MECANICIENS     ENTRETIEN</v>
          </cell>
          <cell r="D1122" t="str">
            <v>SACS - MACHINE 28</v>
          </cell>
          <cell r="E1122" t="str">
            <v>O</v>
          </cell>
          <cell r="F1122">
            <v>0</v>
          </cell>
          <cell r="G1122">
            <v>0</v>
          </cell>
          <cell r="H1122">
            <v>0</v>
          </cell>
          <cell r="I1122">
            <v>3.74</v>
          </cell>
          <cell r="J1122">
            <v>3.74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-3.74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3</v>
          </cell>
          <cell r="AN1122" t="str">
            <v/>
          </cell>
          <cell r="AO1122">
            <v>0</v>
          </cell>
          <cell r="AP1122">
            <v>0</v>
          </cell>
          <cell r="AQ1122">
            <v>0</v>
          </cell>
          <cell r="AR1122">
            <v>700</v>
          </cell>
          <cell r="AS1122">
            <v>0</v>
          </cell>
          <cell r="AT1122" t="str">
            <v/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 t="str">
            <v/>
          </cell>
          <cell r="BK1122">
            <v>7000</v>
          </cell>
          <cell r="BL1122" t="str">
            <v>0</v>
          </cell>
          <cell r="BM1122" t="str">
            <v>1</v>
          </cell>
          <cell r="BN1122" t="str">
            <v/>
          </cell>
          <cell r="BO1122" t="str">
            <v/>
          </cell>
        </row>
        <row r="1123">
          <cell r="A1123">
            <v>1</v>
          </cell>
          <cell r="B1123">
            <v>4460313</v>
          </cell>
          <cell r="C1123" t="str">
            <v>MECANICIENS     ENTRETIEN</v>
          </cell>
          <cell r="D1123" t="str">
            <v>SACS - MACHINE 31</v>
          </cell>
          <cell r="E1123" t="str">
            <v>O</v>
          </cell>
          <cell r="F1123">
            <v>0</v>
          </cell>
          <cell r="G1123">
            <v>0</v>
          </cell>
          <cell r="H1123">
            <v>6143.32</v>
          </cell>
          <cell r="I1123">
            <v>7424.91</v>
          </cell>
          <cell r="J1123">
            <v>1281.5899999999999</v>
          </cell>
          <cell r="K1123">
            <v>0</v>
          </cell>
          <cell r="L1123">
            <v>926.76</v>
          </cell>
          <cell r="M1123">
            <v>626.20000000000005</v>
          </cell>
          <cell r="N1123">
            <v>444.39</v>
          </cell>
          <cell r="O1123">
            <v>2062.25</v>
          </cell>
          <cell r="P1123">
            <v>2687.36</v>
          </cell>
          <cell r="Q1123">
            <v>3222.66</v>
          </cell>
          <cell r="R1123">
            <v>4492.6099999999997</v>
          </cell>
          <cell r="S1123">
            <v>4654.66</v>
          </cell>
          <cell r="T1123">
            <v>5022.21</v>
          </cell>
          <cell r="U1123">
            <v>5109.87</v>
          </cell>
          <cell r="V1123">
            <v>5355.11</v>
          </cell>
          <cell r="W1123">
            <v>5517.12</v>
          </cell>
          <cell r="X1123">
            <v>6143.32</v>
          </cell>
          <cell r="Y1123">
            <v>6443.88</v>
          </cell>
          <cell r="Z1123">
            <v>452.7</v>
          </cell>
          <cell r="AA1123">
            <v>871.79</v>
          </cell>
          <cell r="AB1123">
            <v>1685.7</v>
          </cell>
          <cell r="AC1123">
            <v>2302.4499999999998</v>
          </cell>
          <cell r="AD1123">
            <v>2672.28</v>
          </cell>
          <cell r="AE1123">
            <v>3531.42</v>
          </cell>
          <cell r="AF1123">
            <v>4325.2700000000004</v>
          </cell>
          <cell r="AG1123">
            <v>4954.1899999999996</v>
          </cell>
          <cell r="AH1123">
            <v>6820.08</v>
          </cell>
          <cell r="AI1123">
            <v>6906.04</v>
          </cell>
          <cell r="AJ1123">
            <v>7829.52</v>
          </cell>
          <cell r="AK1123">
            <v>7982.1</v>
          </cell>
          <cell r="AL1123">
            <v>0</v>
          </cell>
          <cell r="AM1123">
            <v>3</v>
          </cell>
          <cell r="AN1123" t="str">
            <v/>
          </cell>
          <cell r="AO1123">
            <v>0</v>
          </cell>
          <cell r="AP1123">
            <v>0</v>
          </cell>
          <cell r="AQ1123">
            <v>0</v>
          </cell>
          <cell r="AR1123">
            <v>700</v>
          </cell>
          <cell r="AS1123">
            <v>0</v>
          </cell>
          <cell r="AT1123" t="str">
            <v/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 t="str">
            <v/>
          </cell>
          <cell r="BK1123">
            <v>7000</v>
          </cell>
          <cell r="BL1123" t="str">
            <v>0</v>
          </cell>
          <cell r="BM1123" t="str">
            <v>1</v>
          </cell>
          <cell r="BN1123" t="str">
            <v/>
          </cell>
          <cell r="BO1123" t="str">
            <v/>
          </cell>
        </row>
        <row r="1124">
          <cell r="A1124">
            <v>1</v>
          </cell>
          <cell r="B1124">
            <v>4460323</v>
          </cell>
          <cell r="C1124" t="str">
            <v>MECANICIENS     ENTRETIEN</v>
          </cell>
          <cell r="D1124" t="str">
            <v>SACS - MACHINE 32</v>
          </cell>
          <cell r="E1124" t="str">
            <v>O</v>
          </cell>
          <cell r="F1124">
            <v>0</v>
          </cell>
          <cell r="G1124">
            <v>0</v>
          </cell>
          <cell r="H1124">
            <v>3331.99</v>
          </cell>
          <cell r="I1124">
            <v>3534.27</v>
          </cell>
          <cell r="J1124">
            <v>202.28</v>
          </cell>
          <cell r="K1124">
            <v>0</v>
          </cell>
          <cell r="L1124">
            <v>487.46</v>
          </cell>
          <cell r="M1124">
            <v>0</v>
          </cell>
          <cell r="N1124">
            <v>612.17999999999995</v>
          </cell>
          <cell r="O1124">
            <v>935.25</v>
          </cell>
          <cell r="P1124">
            <v>955.24</v>
          </cell>
          <cell r="Q1124">
            <v>974.95</v>
          </cell>
          <cell r="R1124">
            <v>1037.9000000000001</v>
          </cell>
          <cell r="S1124">
            <v>2810.88</v>
          </cell>
          <cell r="T1124">
            <v>3009.79</v>
          </cell>
          <cell r="U1124">
            <v>3178.19</v>
          </cell>
          <cell r="V1124">
            <v>3251.68</v>
          </cell>
          <cell r="W1124">
            <v>3331.99</v>
          </cell>
          <cell r="X1124">
            <v>3331.99</v>
          </cell>
          <cell r="Y1124">
            <v>3819.45</v>
          </cell>
          <cell r="Z1124">
            <v>901.92</v>
          </cell>
          <cell r="AA1124">
            <v>1112.1099999999999</v>
          </cell>
          <cell r="AB1124">
            <v>1871.14</v>
          </cell>
          <cell r="AC1124">
            <v>2565.7800000000002</v>
          </cell>
          <cell r="AD1124">
            <v>2773.57</v>
          </cell>
          <cell r="AE1124">
            <v>3427.6</v>
          </cell>
          <cell r="AF1124">
            <v>3892.44</v>
          </cell>
          <cell r="AG1124">
            <v>4589.41</v>
          </cell>
          <cell r="AH1124">
            <v>5051.95</v>
          </cell>
          <cell r="AI1124">
            <v>6141.65</v>
          </cell>
          <cell r="AJ1124">
            <v>6427.14</v>
          </cell>
          <cell r="AK1124">
            <v>6667.24</v>
          </cell>
          <cell r="AL1124">
            <v>0</v>
          </cell>
          <cell r="AM1124">
            <v>3</v>
          </cell>
          <cell r="AN1124" t="str">
            <v/>
          </cell>
          <cell r="AO1124">
            <v>0</v>
          </cell>
          <cell r="AP1124">
            <v>0</v>
          </cell>
          <cell r="AQ1124">
            <v>0</v>
          </cell>
          <cell r="AR1124">
            <v>700</v>
          </cell>
          <cell r="AS1124">
            <v>0</v>
          </cell>
          <cell r="AT1124" t="str">
            <v/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 t="str">
            <v/>
          </cell>
          <cell r="BK1124">
            <v>7000</v>
          </cell>
          <cell r="BL1124" t="str">
            <v>0</v>
          </cell>
          <cell r="BM1124" t="str">
            <v>1</v>
          </cell>
          <cell r="BN1124" t="str">
            <v/>
          </cell>
          <cell r="BO1124" t="str">
            <v/>
          </cell>
        </row>
        <row r="1125">
          <cell r="A1125">
            <v>1</v>
          </cell>
          <cell r="B1125">
            <v>4460373</v>
          </cell>
          <cell r="C1125" t="str">
            <v>MECANICIENS     ENTRETIEN</v>
          </cell>
          <cell r="D1125" t="str">
            <v>SACS - MACHINE 37</v>
          </cell>
          <cell r="E1125" t="str">
            <v>O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106.03</v>
          </cell>
          <cell r="AA1125">
            <v>112.46</v>
          </cell>
          <cell r="AB1125">
            <v>112.46</v>
          </cell>
          <cell r="AC1125">
            <v>112.46</v>
          </cell>
          <cell r="AD1125">
            <v>112.46</v>
          </cell>
          <cell r="AE1125">
            <v>112.46</v>
          </cell>
          <cell r="AF1125">
            <v>112.46</v>
          </cell>
          <cell r="AG1125">
            <v>112.46</v>
          </cell>
          <cell r="AH1125">
            <v>112.46</v>
          </cell>
          <cell r="AI1125">
            <v>112.46</v>
          </cell>
          <cell r="AJ1125">
            <v>112.46</v>
          </cell>
          <cell r="AK1125">
            <v>112.46</v>
          </cell>
          <cell r="AL1125">
            <v>0</v>
          </cell>
          <cell r="AM1125">
            <v>3</v>
          </cell>
          <cell r="AN1125" t="str">
            <v/>
          </cell>
          <cell r="AO1125">
            <v>0</v>
          </cell>
          <cell r="AP1125">
            <v>0</v>
          </cell>
          <cell r="AQ1125">
            <v>0</v>
          </cell>
          <cell r="AR1125">
            <v>700</v>
          </cell>
          <cell r="AS1125">
            <v>0</v>
          </cell>
          <cell r="AT1125" t="str">
            <v/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 t="str">
            <v/>
          </cell>
          <cell r="BK1125">
            <v>7000</v>
          </cell>
          <cell r="BL1125" t="str">
            <v>0</v>
          </cell>
          <cell r="BM1125" t="str">
            <v>1</v>
          </cell>
          <cell r="BN1125" t="str">
            <v/>
          </cell>
          <cell r="BO1125" t="str">
            <v/>
          </cell>
        </row>
        <row r="1126">
          <cell r="A1126">
            <v>1</v>
          </cell>
          <cell r="B1126">
            <v>4460383</v>
          </cell>
          <cell r="C1126" t="str">
            <v>MECANICIENS     ENTRETIEN</v>
          </cell>
          <cell r="D1126" t="str">
            <v>SACS - MACHINE 38</v>
          </cell>
          <cell r="E1126" t="str">
            <v>O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3</v>
          </cell>
          <cell r="AN1126" t="str">
            <v/>
          </cell>
          <cell r="AO1126">
            <v>0</v>
          </cell>
          <cell r="AP1126">
            <v>0</v>
          </cell>
          <cell r="AQ1126">
            <v>0</v>
          </cell>
          <cell r="AR1126">
            <v>700</v>
          </cell>
          <cell r="AS1126">
            <v>0</v>
          </cell>
          <cell r="AT1126" t="str">
            <v/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 t="str">
            <v/>
          </cell>
          <cell r="BK1126">
            <v>7000</v>
          </cell>
          <cell r="BL1126" t="str">
            <v>0</v>
          </cell>
          <cell r="BM1126" t="str">
            <v>1</v>
          </cell>
          <cell r="BN1126" t="str">
            <v/>
          </cell>
          <cell r="BO1126" t="str">
            <v/>
          </cell>
        </row>
        <row r="1127">
          <cell r="A1127">
            <v>1</v>
          </cell>
          <cell r="B1127">
            <v>4460403</v>
          </cell>
          <cell r="C1127" t="str">
            <v>MECANICIENS     ENTRETIEN</v>
          </cell>
          <cell r="D1127" t="str">
            <v>SACS - MACHINE 40</v>
          </cell>
          <cell r="E1127" t="str">
            <v>O</v>
          </cell>
          <cell r="F1127">
            <v>0</v>
          </cell>
          <cell r="G1127">
            <v>0</v>
          </cell>
          <cell r="H1127">
            <v>765.93</v>
          </cell>
          <cell r="I1127">
            <v>965.7</v>
          </cell>
          <cell r="J1127">
            <v>199.77</v>
          </cell>
          <cell r="K1127">
            <v>0</v>
          </cell>
          <cell r="L1127">
            <v>144.83000000000001</v>
          </cell>
          <cell r="M1127">
            <v>0</v>
          </cell>
          <cell r="N1127">
            <v>67.45</v>
          </cell>
          <cell r="O1127">
            <v>81.59</v>
          </cell>
          <cell r="P1127">
            <v>81.59</v>
          </cell>
          <cell r="Q1127">
            <v>81.59</v>
          </cell>
          <cell r="R1127">
            <v>81.59</v>
          </cell>
          <cell r="S1127">
            <v>81.59</v>
          </cell>
          <cell r="T1127">
            <v>556.21</v>
          </cell>
          <cell r="U1127">
            <v>692.17</v>
          </cell>
          <cell r="V1127">
            <v>711.82</v>
          </cell>
          <cell r="W1127">
            <v>765.93</v>
          </cell>
          <cell r="X1127">
            <v>765.93</v>
          </cell>
          <cell r="Y1127">
            <v>910.76</v>
          </cell>
          <cell r="Z1127">
            <v>465.14</v>
          </cell>
          <cell r="AA1127">
            <v>1354.87</v>
          </cell>
          <cell r="AB1127">
            <v>2429.83</v>
          </cell>
          <cell r="AC1127">
            <v>2597.9499999999998</v>
          </cell>
          <cell r="AD1127">
            <v>2645.95</v>
          </cell>
          <cell r="AE1127">
            <v>2936.77</v>
          </cell>
          <cell r="AF1127">
            <v>2993.62</v>
          </cell>
          <cell r="AG1127">
            <v>2980.77</v>
          </cell>
          <cell r="AH1127">
            <v>3272.2</v>
          </cell>
          <cell r="AI1127">
            <v>3331.85</v>
          </cell>
          <cell r="AJ1127">
            <v>3444.51</v>
          </cell>
          <cell r="AK1127">
            <v>3467.41</v>
          </cell>
          <cell r="AL1127">
            <v>0</v>
          </cell>
          <cell r="AM1127">
            <v>3</v>
          </cell>
          <cell r="AN1127" t="str">
            <v/>
          </cell>
          <cell r="AO1127">
            <v>0</v>
          </cell>
          <cell r="AP1127">
            <v>0</v>
          </cell>
          <cell r="AQ1127">
            <v>0</v>
          </cell>
          <cell r="AR1127">
            <v>700</v>
          </cell>
          <cell r="AS1127">
            <v>0</v>
          </cell>
          <cell r="AT1127" t="str">
            <v/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 t="str">
            <v/>
          </cell>
          <cell r="BK1127">
            <v>7000</v>
          </cell>
          <cell r="BL1127" t="str">
            <v>0</v>
          </cell>
          <cell r="BM1127" t="str">
            <v>1</v>
          </cell>
          <cell r="BN1127" t="str">
            <v/>
          </cell>
          <cell r="BO1127" t="str">
            <v/>
          </cell>
        </row>
        <row r="1128">
          <cell r="A1128">
            <v>1</v>
          </cell>
          <cell r="B1128">
            <v>4460433</v>
          </cell>
          <cell r="C1128" t="str">
            <v>MECANICIENS     ENTRETIEN</v>
          </cell>
          <cell r="D1128" t="str">
            <v>SACS - MACHINE 43</v>
          </cell>
          <cell r="E1128" t="str">
            <v>O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3</v>
          </cell>
          <cell r="AN1128" t="str">
            <v/>
          </cell>
          <cell r="AO1128">
            <v>0</v>
          </cell>
          <cell r="AP1128">
            <v>0</v>
          </cell>
          <cell r="AQ1128">
            <v>0</v>
          </cell>
          <cell r="AR1128">
            <v>700</v>
          </cell>
          <cell r="AS1128">
            <v>0</v>
          </cell>
          <cell r="AT1128" t="str">
            <v/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 t="str">
            <v/>
          </cell>
          <cell r="BK1128">
            <v>7000</v>
          </cell>
          <cell r="BL1128" t="str">
            <v>0</v>
          </cell>
          <cell r="BM1128" t="str">
            <v>1</v>
          </cell>
          <cell r="BN1128" t="str">
            <v/>
          </cell>
          <cell r="BO1128" t="str">
            <v/>
          </cell>
        </row>
        <row r="1129">
          <cell r="A1129">
            <v>1</v>
          </cell>
          <cell r="B1129">
            <v>4460443</v>
          </cell>
          <cell r="C1129" t="str">
            <v>MECANICIENS     ENTRETIEN</v>
          </cell>
          <cell r="D1129" t="str">
            <v>SACS - MACHINE 44</v>
          </cell>
          <cell r="E1129" t="str">
            <v>O</v>
          </cell>
          <cell r="F1129">
            <v>0</v>
          </cell>
          <cell r="G1129">
            <v>0</v>
          </cell>
          <cell r="H1129">
            <v>20429.599999999999</v>
          </cell>
          <cell r="I1129">
            <v>26326.76</v>
          </cell>
          <cell r="J1129">
            <v>5897.16</v>
          </cell>
          <cell r="K1129">
            <v>0</v>
          </cell>
          <cell r="L1129">
            <v>7413.29</v>
          </cell>
          <cell r="M1129">
            <v>4276.51</v>
          </cell>
          <cell r="N1129">
            <v>63.37</v>
          </cell>
          <cell r="O1129">
            <v>63.37</v>
          </cell>
          <cell r="P1129">
            <v>90.07</v>
          </cell>
          <cell r="Q1129">
            <v>90.07</v>
          </cell>
          <cell r="R1129">
            <v>117.79</v>
          </cell>
          <cell r="S1129">
            <v>2983.36</v>
          </cell>
          <cell r="T1129">
            <v>4588.57</v>
          </cell>
          <cell r="U1129">
            <v>10066.77</v>
          </cell>
          <cell r="V1129">
            <v>14226.86</v>
          </cell>
          <cell r="W1129">
            <v>16153.09</v>
          </cell>
          <cell r="X1129">
            <v>20429.599999999999</v>
          </cell>
          <cell r="Y1129">
            <v>23566.38</v>
          </cell>
          <cell r="Z1129">
            <v>826.69</v>
          </cell>
          <cell r="AA1129">
            <v>1246.49</v>
          </cell>
          <cell r="AB1129">
            <v>1346.19</v>
          </cell>
          <cell r="AC1129">
            <v>1471.04</v>
          </cell>
          <cell r="AD1129">
            <v>2180.46</v>
          </cell>
          <cell r="AE1129">
            <v>2413.34</v>
          </cell>
          <cell r="AF1129">
            <v>2439.11</v>
          </cell>
          <cell r="AG1129">
            <v>2430.5700000000002</v>
          </cell>
          <cell r="AH1129">
            <v>3271.66</v>
          </cell>
          <cell r="AI1129">
            <v>3718.81</v>
          </cell>
          <cell r="AJ1129">
            <v>4896.2</v>
          </cell>
          <cell r="AK1129">
            <v>5092.6400000000003</v>
          </cell>
          <cell r="AL1129">
            <v>0</v>
          </cell>
          <cell r="AM1129">
            <v>3</v>
          </cell>
          <cell r="AN1129" t="str">
            <v/>
          </cell>
          <cell r="AO1129">
            <v>0</v>
          </cell>
          <cell r="AP1129">
            <v>0</v>
          </cell>
          <cell r="AQ1129">
            <v>0</v>
          </cell>
          <cell r="AR1129">
            <v>700</v>
          </cell>
          <cell r="AS1129">
            <v>0</v>
          </cell>
          <cell r="AT1129" t="str">
            <v/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 t="str">
            <v/>
          </cell>
          <cell r="BK1129">
            <v>7000</v>
          </cell>
          <cell r="BL1129" t="str">
            <v>0</v>
          </cell>
          <cell r="BM1129" t="str">
            <v>1</v>
          </cell>
          <cell r="BN1129" t="str">
            <v/>
          </cell>
          <cell r="BO1129" t="str">
            <v/>
          </cell>
        </row>
        <row r="1130">
          <cell r="A1130">
            <v>1</v>
          </cell>
          <cell r="B1130">
            <v>4460473</v>
          </cell>
          <cell r="C1130" t="str">
            <v>MECANICIENS     ENTRETIEN</v>
          </cell>
          <cell r="D1130" t="str">
            <v>SACS - MACHINE 47</v>
          </cell>
          <cell r="E1130" t="str">
            <v>O</v>
          </cell>
          <cell r="F1130">
            <v>0</v>
          </cell>
          <cell r="G1130">
            <v>0</v>
          </cell>
          <cell r="H1130">
            <v>16935.89</v>
          </cell>
          <cell r="I1130">
            <v>21359.11</v>
          </cell>
          <cell r="J1130">
            <v>4423.22</v>
          </cell>
          <cell r="K1130">
            <v>0</v>
          </cell>
          <cell r="L1130">
            <v>5144.42</v>
          </cell>
          <cell r="M1130">
            <v>2689.68</v>
          </cell>
          <cell r="N1130">
            <v>1488.71</v>
          </cell>
          <cell r="O1130">
            <v>4045.26</v>
          </cell>
          <cell r="P1130">
            <v>6038.7</v>
          </cell>
          <cell r="Q1130">
            <v>7272.94</v>
          </cell>
          <cell r="R1130">
            <v>9417.7900000000009</v>
          </cell>
          <cell r="S1130">
            <v>10309.24</v>
          </cell>
          <cell r="T1130">
            <v>11888.33</v>
          </cell>
          <cell r="U1130">
            <v>13114.35</v>
          </cell>
          <cell r="V1130">
            <v>13380.68</v>
          </cell>
          <cell r="W1130">
            <v>14246.21</v>
          </cell>
          <cell r="X1130">
            <v>16935.89</v>
          </cell>
          <cell r="Y1130">
            <v>19390.63</v>
          </cell>
          <cell r="Z1130">
            <v>1785.72</v>
          </cell>
          <cell r="AA1130">
            <v>2623.85</v>
          </cell>
          <cell r="AB1130">
            <v>3984.28</v>
          </cell>
          <cell r="AC1130">
            <v>4348.91</v>
          </cell>
          <cell r="AD1130">
            <v>4735.68</v>
          </cell>
          <cell r="AE1130">
            <v>6010.3</v>
          </cell>
          <cell r="AF1130">
            <v>10250.74</v>
          </cell>
          <cell r="AG1130">
            <v>11938.01</v>
          </cell>
          <cell r="AH1130">
            <v>13156.87</v>
          </cell>
          <cell r="AI1130">
            <v>15737.29</v>
          </cell>
          <cell r="AJ1130">
            <v>17979.57</v>
          </cell>
          <cell r="AK1130">
            <v>19003.45</v>
          </cell>
          <cell r="AL1130">
            <v>0</v>
          </cell>
          <cell r="AM1130">
            <v>3</v>
          </cell>
          <cell r="AN1130" t="str">
            <v/>
          </cell>
          <cell r="AO1130">
            <v>0</v>
          </cell>
          <cell r="AP1130">
            <v>0</v>
          </cell>
          <cell r="AQ1130">
            <v>0</v>
          </cell>
          <cell r="AR1130">
            <v>700</v>
          </cell>
          <cell r="AS1130">
            <v>0</v>
          </cell>
          <cell r="AT1130" t="str">
            <v/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 t="str">
            <v/>
          </cell>
          <cell r="BK1130">
            <v>7000</v>
          </cell>
          <cell r="BL1130" t="str">
            <v>0</v>
          </cell>
          <cell r="BM1130" t="str">
            <v>1</v>
          </cell>
          <cell r="BN1130" t="str">
            <v/>
          </cell>
          <cell r="BO1130" t="str">
            <v/>
          </cell>
        </row>
        <row r="1131">
          <cell r="A1131">
            <v>1</v>
          </cell>
          <cell r="B1131">
            <v>4460503</v>
          </cell>
          <cell r="C1131" t="str">
            <v>MECANICIENS     ENTRETIEN</v>
          </cell>
          <cell r="D1131" t="str">
            <v>SACS - MACHINE 50</v>
          </cell>
          <cell r="E1131" t="str">
            <v>O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633.32000000000005</v>
          </cell>
          <cell r="AA1131">
            <v>1181.8399999999999</v>
          </cell>
          <cell r="AB1131">
            <v>1702.29</v>
          </cell>
          <cell r="AC1131">
            <v>2072.09</v>
          </cell>
          <cell r="AD1131">
            <v>2396.69</v>
          </cell>
          <cell r="AE1131">
            <v>2396.69</v>
          </cell>
          <cell r="AF1131">
            <v>2396.69</v>
          </cell>
          <cell r="AG1131">
            <v>2396.69</v>
          </cell>
          <cell r="AH1131">
            <v>2396.69</v>
          </cell>
          <cell r="AI1131">
            <v>2396.69</v>
          </cell>
          <cell r="AJ1131">
            <v>2396.69</v>
          </cell>
          <cell r="AK1131">
            <v>2396.69</v>
          </cell>
          <cell r="AL1131">
            <v>0</v>
          </cell>
          <cell r="AM1131">
            <v>3</v>
          </cell>
          <cell r="AN1131" t="str">
            <v/>
          </cell>
          <cell r="AO1131">
            <v>0</v>
          </cell>
          <cell r="AP1131">
            <v>0</v>
          </cell>
          <cell r="AQ1131">
            <v>0</v>
          </cell>
          <cell r="AR1131">
            <v>700</v>
          </cell>
          <cell r="AS1131">
            <v>0</v>
          </cell>
          <cell r="AT1131" t="str">
            <v/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 t="str">
            <v/>
          </cell>
          <cell r="BK1131">
            <v>7000</v>
          </cell>
          <cell r="BL1131" t="str">
            <v>0</v>
          </cell>
          <cell r="BM1131" t="str">
            <v>1</v>
          </cell>
          <cell r="BN1131" t="str">
            <v/>
          </cell>
          <cell r="BO1131" t="str">
            <v/>
          </cell>
        </row>
        <row r="1132">
          <cell r="A1132">
            <v>1</v>
          </cell>
          <cell r="B1132">
            <v>4460523</v>
          </cell>
          <cell r="C1132" t="str">
            <v>MECANICIENS     ENTRETIEN</v>
          </cell>
          <cell r="D1132" t="str">
            <v>SACS - ENCRE ET PLAQUES</v>
          </cell>
          <cell r="E1132" t="str">
            <v>O</v>
          </cell>
          <cell r="F1132">
            <v>0</v>
          </cell>
          <cell r="G1132">
            <v>0</v>
          </cell>
          <cell r="H1132">
            <v>954.17</v>
          </cell>
          <cell r="I1132">
            <v>1137.73</v>
          </cell>
          <cell r="J1132">
            <v>183.56</v>
          </cell>
          <cell r="K1132">
            <v>0</v>
          </cell>
          <cell r="L1132">
            <v>50.12</v>
          </cell>
          <cell r="M1132">
            <v>55.13</v>
          </cell>
          <cell r="N1132">
            <v>45</v>
          </cell>
          <cell r="O1132">
            <v>149.13</v>
          </cell>
          <cell r="P1132">
            <v>232.99</v>
          </cell>
          <cell r="Q1132">
            <v>246.64</v>
          </cell>
          <cell r="R1132">
            <v>246.64</v>
          </cell>
          <cell r="S1132">
            <v>246.64</v>
          </cell>
          <cell r="T1132">
            <v>246.64</v>
          </cell>
          <cell r="U1132">
            <v>335.67</v>
          </cell>
          <cell r="V1132">
            <v>852.44</v>
          </cell>
          <cell r="W1132">
            <v>899.04</v>
          </cell>
          <cell r="X1132">
            <v>954.17</v>
          </cell>
          <cell r="Y1132">
            <v>949.16</v>
          </cell>
          <cell r="Z1132">
            <v>2186.13</v>
          </cell>
          <cell r="AA1132">
            <v>3317.82</v>
          </cell>
          <cell r="AB1132">
            <v>3394.68</v>
          </cell>
          <cell r="AC1132">
            <v>3633.16</v>
          </cell>
          <cell r="AD1132">
            <v>3858.59</v>
          </cell>
          <cell r="AE1132">
            <v>4249.83</v>
          </cell>
          <cell r="AF1132">
            <v>4363.57</v>
          </cell>
          <cell r="AG1132">
            <v>5013.8999999999996</v>
          </cell>
          <cell r="AH1132">
            <v>4990.47</v>
          </cell>
          <cell r="AI1132">
            <v>5283.34</v>
          </cell>
          <cell r="AJ1132">
            <v>5323.41</v>
          </cell>
          <cell r="AK1132">
            <v>5322.64</v>
          </cell>
          <cell r="AL1132">
            <v>0</v>
          </cell>
          <cell r="AM1132">
            <v>3</v>
          </cell>
          <cell r="AN1132" t="str">
            <v/>
          </cell>
          <cell r="AO1132">
            <v>0</v>
          </cell>
          <cell r="AP1132">
            <v>0</v>
          </cell>
          <cell r="AQ1132">
            <v>0</v>
          </cell>
          <cell r="AR1132">
            <v>700</v>
          </cell>
          <cell r="AS1132">
            <v>0</v>
          </cell>
          <cell r="AT1132" t="str">
            <v/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 t="str">
            <v/>
          </cell>
          <cell r="BK1132">
            <v>7000</v>
          </cell>
          <cell r="BL1132" t="str">
            <v>0</v>
          </cell>
          <cell r="BM1132" t="str">
            <v>1</v>
          </cell>
          <cell r="BN1132" t="str">
            <v/>
          </cell>
          <cell r="BO1132" t="str">
            <v/>
          </cell>
        </row>
        <row r="1133">
          <cell r="A1133">
            <v>1</v>
          </cell>
          <cell r="B1133">
            <v>4460533</v>
          </cell>
          <cell r="C1133" t="str">
            <v>MECANICIENS     ENTRETIEN</v>
          </cell>
          <cell r="D1133" t="str">
            <v>SACS - MACHINE 53</v>
          </cell>
          <cell r="E1133" t="str">
            <v>O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927.96</v>
          </cell>
          <cell r="AA1133">
            <v>1236.51</v>
          </cell>
          <cell r="AB1133">
            <v>1305.24</v>
          </cell>
          <cell r="AC1133">
            <v>1339.14</v>
          </cell>
          <cell r="AD1133">
            <v>1398.46</v>
          </cell>
          <cell r="AE1133">
            <v>1398.46</v>
          </cell>
          <cell r="AF1133">
            <v>1398.46</v>
          </cell>
          <cell r="AG1133">
            <v>1398.46</v>
          </cell>
          <cell r="AH1133">
            <v>1398.46</v>
          </cell>
          <cell r="AI1133">
            <v>1398.46</v>
          </cell>
          <cell r="AJ1133">
            <v>1398.46</v>
          </cell>
          <cell r="AK1133">
            <v>1398.46</v>
          </cell>
          <cell r="AL1133">
            <v>0</v>
          </cell>
          <cell r="AM1133">
            <v>3</v>
          </cell>
          <cell r="AN1133" t="str">
            <v/>
          </cell>
          <cell r="AO1133">
            <v>0</v>
          </cell>
          <cell r="AP1133">
            <v>0</v>
          </cell>
          <cell r="AQ1133">
            <v>0</v>
          </cell>
          <cell r="AR1133">
            <v>700</v>
          </cell>
          <cell r="AS1133">
            <v>0</v>
          </cell>
          <cell r="AT1133" t="str">
            <v/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 t="str">
            <v/>
          </cell>
          <cell r="BK1133">
            <v>7000</v>
          </cell>
          <cell r="BL1133" t="str">
            <v>0</v>
          </cell>
          <cell r="BM1133" t="str">
            <v>1</v>
          </cell>
          <cell r="BN1133" t="str">
            <v/>
          </cell>
          <cell r="BO1133" t="str">
            <v/>
          </cell>
        </row>
        <row r="1134">
          <cell r="A1134">
            <v>1</v>
          </cell>
          <cell r="B1134">
            <v>4552651</v>
          </cell>
          <cell r="C1134" t="str">
            <v>MATERIEL ROULANT</v>
          </cell>
          <cell r="D1134" t="str">
            <v>CAMION LIFT</v>
          </cell>
          <cell r="E1134" t="str">
            <v>O</v>
          </cell>
          <cell r="F1134">
            <v>0</v>
          </cell>
          <cell r="G1134">
            <v>0</v>
          </cell>
          <cell r="H1134">
            <v>618.74</v>
          </cell>
          <cell r="I1134">
            <v>1234.68</v>
          </cell>
          <cell r="J1134">
            <v>615.94000000000005</v>
          </cell>
          <cell r="K1134">
            <v>0</v>
          </cell>
          <cell r="L1134">
            <v>0</v>
          </cell>
          <cell r="M1134">
            <v>0</v>
          </cell>
          <cell r="N1134">
            <v>-212</v>
          </cell>
          <cell r="O1134">
            <v>-175.2</v>
          </cell>
          <cell r="P1134">
            <v>-118.5</v>
          </cell>
          <cell r="Q1134">
            <v>-118.5</v>
          </cell>
          <cell r="R1134">
            <v>69.34</v>
          </cell>
          <cell r="S1134">
            <v>69.34</v>
          </cell>
          <cell r="T1134">
            <v>448.36</v>
          </cell>
          <cell r="U1134">
            <v>448.36</v>
          </cell>
          <cell r="V1134">
            <v>500.14</v>
          </cell>
          <cell r="W1134">
            <v>500.14</v>
          </cell>
          <cell r="X1134">
            <v>618.74</v>
          </cell>
          <cell r="Y1134">
            <v>618.74</v>
          </cell>
          <cell r="Z1134">
            <v>53.02</v>
          </cell>
          <cell r="AA1134">
            <v>56.23</v>
          </cell>
          <cell r="AB1134">
            <v>405.69</v>
          </cell>
          <cell r="AC1134">
            <v>807.59</v>
          </cell>
          <cell r="AD1134">
            <v>807.59</v>
          </cell>
          <cell r="AE1134">
            <v>1601.74</v>
          </cell>
          <cell r="AF1134">
            <v>1609.18</v>
          </cell>
          <cell r="AG1134">
            <v>1594.3</v>
          </cell>
          <cell r="AH1134">
            <v>1698.31</v>
          </cell>
          <cell r="AI1134">
            <v>1722.93</v>
          </cell>
          <cell r="AJ1134">
            <v>3574.22</v>
          </cell>
          <cell r="AK1134">
            <v>3574.22</v>
          </cell>
          <cell r="AL1134">
            <v>0</v>
          </cell>
          <cell r="AM1134">
            <v>1</v>
          </cell>
          <cell r="AN1134" t="str">
            <v/>
          </cell>
          <cell r="AO1134">
            <v>0</v>
          </cell>
          <cell r="AP1134">
            <v>0</v>
          </cell>
          <cell r="AQ1134">
            <v>0</v>
          </cell>
          <cell r="AR1134">
            <v>750</v>
          </cell>
          <cell r="AS1134">
            <v>0</v>
          </cell>
          <cell r="AT1134" t="str">
            <v/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 t="str">
            <v/>
          </cell>
          <cell r="BK1134">
            <v>7000</v>
          </cell>
          <cell r="BL1134" t="str">
            <v>0</v>
          </cell>
          <cell r="BM1134" t="str">
            <v>1</v>
          </cell>
          <cell r="BN1134" t="str">
            <v/>
          </cell>
          <cell r="BO1134" t="str">
            <v/>
          </cell>
        </row>
        <row r="1135">
          <cell r="A1135">
            <v>1</v>
          </cell>
          <cell r="B1135">
            <v>4552711</v>
          </cell>
          <cell r="C1135" t="str">
            <v>MATERIEL ROULANT</v>
          </cell>
          <cell r="D1135" t="str">
            <v>CAMION # 271</v>
          </cell>
          <cell r="E1135" t="str">
            <v>O</v>
          </cell>
          <cell r="F1135">
            <v>0</v>
          </cell>
          <cell r="G1135">
            <v>0</v>
          </cell>
          <cell r="H1135">
            <v>4802.24</v>
          </cell>
          <cell r="I1135">
            <v>8138.14</v>
          </cell>
          <cell r="J1135">
            <v>3335.9</v>
          </cell>
          <cell r="K1135">
            <v>0</v>
          </cell>
          <cell r="L1135">
            <v>1141.82</v>
          </cell>
          <cell r="M1135">
            <v>90.02</v>
          </cell>
          <cell r="N1135">
            <v>77.23</v>
          </cell>
          <cell r="O1135">
            <v>77.23</v>
          </cell>
          <cell r="P1135">
            <v>235.67</v>
          </cell>
          <cell r="Q1135">
            <v>496.16</v>
          </cell>
          <cell r="R1135">
            <v>544.20000000000005</v>
          </cell>
          <cell r="S1135">
            <v>544.20000000000005</v>
          </cell>
          <cell r="T1135">
            <v>544.20000000000005</v>
          </cell>
          <cell r="U1135">
            <v>594.66999999999996</v>
          </cell>
          <cell r="V1135">
            <v>643.47</v>
          </cell>
          <cell r="W1135">
            <v>4500.18</v>
          </cell>
          <cell r="X1135">
            <v>4802.24</v>
          </cell>
          <cell r="Y1135">
            <v>5854.04</v>
          </cell>
          <cell r="Z1135">
            <v>0</v>
          </cell>
          <cell r="AA1135">
            <v>39.17</v>
          </cell>
          <cell r="AB1135">
            <v>42.18</v>
          </cell>
          <cell r="AC1135">
            <v>42.18</v>
          </cell>
          <cell r="AD1135">
            <v>42.18</v>
          </cell>
          <cell r="AE1135">
            <v>1084.8</v>
          </cell>
          <cell r="AF1135">
            <v>1315.64</v>
          </cell>
          <cell r="AG1135">
            <v>1303.06</v>
          </cell>
          <cell r="AH1135">
            <v>1303.06</v>
          </cell>
          <cell r="AI1135">
            <v>1774.63</v>
          </cell>
          <cell r="AJ1135">
            <v>1942.93</v>
          </cell>
          <cell r="AK1135">
            <v>2999.96</v>
          </cell>
          <cell r="AL1135">
            <v>0</v>
          </cell>
          <cell r="AM1135">
            <v>1</v>
          </cell>
          <cell r="AN1135" t="str">
            <v/>
          </cell>
          <cell r="AO1135">
            <v>0</v>
          </cell>
          <cell r="AP1135">
            <v>0</v>
          </cell>
          <cell r="AQ1135">
            <v>0</v>
          </cell>
          <cell r="AR1135">
            <v>750</v>
          </cell>
          <cell r="AS1135">
            <v>0</v>
          </cell>
          <cell r="AT1135" t="str">
            <v/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 t="str">
            <v/>
          </cell>
          <cell r="BK1135">
            <v>7000</v>
          </cell>
          <cell r="BL1135" t="str">
            <v>0</v>
          </cell>
          <cell r="BM1135" t="str">
            <v>1</v>
          </cell>
          <cell r="BN1135" t="str">
            <v/>
          </cell>
          <cell r="BO1135" t="str">
            <v/>
          </cell>
        </row>
        <row r="1136">
          <cell r="A1136">
            <v>1</v>
          </cell>
          <cell r="B1136">
            <v>4802031</v>
          </cell>
          <cell r="C1136" t="str">
            <v>EXPEDITIONS</v>
          </cell>
          <cell r="D1136" t="str">
            <v>MOD CODE 203 ENTREPOT</v>
          </cell>
          <cell r="E1136" t="str">
            <v>O</v>
          </cell>
          <cell r="F1136">
            <v>0</v>
          </cell>
          <cell r="G1136">
            <v>0</v>
          </cell>
          <cell r="H1136">
            <v>768623.64</v>
          </cell>
          <cell r="I1136">
            <v>919063.9</v>
          </cell>
          <cell r="J1136">
            <v>150440.26</v>
          </cell>
          <cell r="K1136">
            <v>0</v>
          </cell>
          <cell r="L1136">
            <v>168028.35</v>
          </cell>
          <cell r="M1136">
            <v>82339.44</v>
          </cell>
          <cell r="N1136">
            <v>61596.22</v>
          </cell>
          <cell r="O1136">
            <v>138256.17000000001</v>
          </cell>
          <cell r="P1136">
            <v>206751.07</v>
          </cell>
          <cell r="Q1136">
            <v>268671.09000000003</v>
          </cell>
          <cell r="R1136">
            <v>344674.01</v>
          </cell>
          <cell r="S1136">
            <v>413604.41</v>
          </cell>
          <cell r="T1136">
            <v>477349.69</v>
          </cell>
          <cell r="U1136">
            <v>540865.23</v>
          </cell>
          <cell r="V1136">
            <v>608454.63</v>
          </cell>
          <cell r="W1136">
            <v>688901.44</v>
          </cell>
          <cell r="X1136">
            <v>768623.64</v>
          </cell>
          <cell r="Y1136">
            <v>854312.55</v>
          </cell>
          <cell r="Z1136">
            <v>114909.19</v>
          </cell>
          <cell r="AA1136">
            <v>227267.73</v>
          </cell>
          <cell r="AB1136">
            <v>349311.28</v>
          </cell>
          <cell r="AC1136">
            <v>456576.47</v>
          </cell>
          <cell r="AD1136">
            <v>525265.46</v>
          </cell>
          <cell r="AE1136">
            <v>597085.93000000005</v>
          </cell>
          <cell r="AF1136">
            <v>679418.36</v>
          </cell>
          <cell r="AG1136">
            <v>743210.82</v>
          </cell>
          <cell r="AH1136">
            <v>811529.88</v>
          </cell>
          <cell r="AI1136">
            <v>892360.97</v>
          </cell>
          <cell r="AJ1136">
            <v>969093.9</v>
          </cell>
          <cell r="AK1136">
            <v>1038366.86</v>
          </cell>
          <cell r="AL1136">
            <v>0</v>
          </cell>
          <cell r="AM1136">
            <v>1</v>
          </cell>
          <cell r="AN1136" t="str">
            <v/>
          </cell>
          <cell r="AO1136">
            <v>0</v>
          </cell>
          <cell r="AP1136">
            <v>0</v>
          </cell>
          <cell r="AQ1136">
            <v>0</v>
          </cell>
          <cell r="AR1136">
            <v>800</v>
          </cell>
          <cell r="AS1136">
            <v>0</v>
          </cell>
          <cell r="AT1136" t="str">
            <v/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 t="str">
            <v/>
          </cell>
          <cell r="BK1136">
            <v>7100</v>
          </cell>
          <cell r="BL1136" t="str">
            <v>0</v>
          </cell>
          <cell r="BM1136" t="str">
            <v>1</v>
          </cell>
          <cell r="BN1136" t="str">
            <v/>
          </cell>
          <cell r="BO1136" t="str">
            <v/>
          </cell>
        </row>
        <row r="1137">
          <cell r="A1137">
            <v>1</v>
          </cell>
          <cell r="B1137">
            <v>4301003</v>
          </cell>
          <cell r="C1137" t="str">
            <v>FOURNITURES DE PROD.</v>
          </cell>
          <cell r="D1137" t="str">
            <v>BANDING ROLLS</v>
          </cell>
          <cell r="E1137" t="str">
            <v>O</v>
          </cell>
          <cell r="F1137">
            <v>0</v>
          </cell>
          <cell r="G1137">
            <v>0</v>
          </cell>
          <cell r="H1137">
            <v>37634.78</v>
          </cell>
          <cell r="I1137">
            <v>408486.37</v>
          </cell>
          <cell r="J1137">
            <v>370851.59</v>
          </cell>
          <cell r="K1137">
            <v>0</v>
          </cell>
          <cell r="L1137">
            <v>20465.3</v>
          </cell>
          <cell r="M1137">
            <v>16261</v>
          </cell>
          <cell r="N1137">
            <v>2505.6</v>
          </cell>
          <cell r="O1137">
            <v>4280.8</v>
          </cell>
          <cell r="P1137">
            <v>9904.7099999999991</v>
          </cell>
          <cell r="Q1137">
            <v>10906.04</v>
          </cell>
          <cell r="R1137">
            <v>18059.849999999999</v>
          </cell>
          <cell r="S1137">
            <v>21054.35</v>
          </cell>
          <cell r="T1137">
            <v>22062.71</v>
          </cell>
          <cell r="U1137">
            <v>27951.14</v>
          </cell>
          <cell r="V1137">
            <v>30044.12</v>
          </cell>
          <cell r="W1137">
            <v>35840.080000000002</v>
          </cell>
          <cell r="X1137">
            <v>37634.78</v>
          </cell>
          <cell r="Y1137">
            <v>41839.08</v>
          </cell>
          <cell r="Z1137">
            <v>8482.2900000000009</v>
          </cell>
          <cell r="AA1137">
            <v>17262.259999999998</v>
          </cell>
          <cell r="AB1137">
            <v>21722.9</v>
          </cell>
          <cell r="AC1137">
            <v>27055.35</v>
          </cell>
          <cell r="AD1137">
            <v>31175.72</v>
          </cell>
          <cell r="AE1137">
            <v>37899.589999999997</v>
          </cell>
          <cell r="AF1137">
            <v>38690.81</v>
          </cell>
          <cell r="AG1137">
            <v>44501.62</v>
          </cell>
          <cell r="AH1137">
            <v>46754.35</v>
          </cell>
          <cell r="AI1137">
            <v>55583.61</v>
          </cell>
          <cell r="AJ1137">
            <v>65228.11</v>
          </cell>
          <cell r="AK1137">
            <v>68684.800000000003</v>
          </cell>
          <cell r="AL1137">
            <v>0</v>
          </cell>
          <cell r="AM1137">
            <v>3</v>
          </cell>
          <cell r="AN1137" t="str">
            <v/>
          </cell>
          <cell r="AO1137">
            <v>0</v>
          </cell>
          <cell r="AP1137">
            <v>0</v>
          </cell>
          <cell r="AQ1137">
            <v>0</v>
          </cell>
          <cell r="AR1137">
            <v>740</v>
          </cell>
          <cell r="AS1137">
            <v>0</v>
          </cell>
          <cell r="AT1137" t="str">
            <v/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 t="str">
            <v/>
          </cell>
          <cell r="BK1137">
            <v>6300</v>
          </cell>
          <cell r="BL1137" t="str">
            <v>0</v>
          </cell>
          <cell r="BM1137" t="str">
            <v>1</v>
          </cell>
          <cell r="BN1137" t="str">
            <v/>
          </cell>
          <cell r="BO1137" t="str">
            <v/>
          </cell>
        </row>
        <row r="1138">
          <cell r="A1138">
            <v>1</v>
          </cell>
          <cell r="B1138">
            <v>4301033</v>
          </cell>
          <cell r="C1138" t="str">
            <v>FOURNITURES DE PROD.</v>
          </cell>
          <cell r="D1138" t="str">
            <v>COLLE</v>
          </cell>
          <cell r="E1138" t="str">
            <v>O</v>
          </cell>
          <cell r="F1138">
            <v>0</v>
          </cell>
          <cell r="G1138">
            <v>0</v>
          </cell>
          <cell r="H1138">
            <v>90368.8</v>
          </cell>
          <cell r="I1138">
            <v>121510.49</v>
          </cell>
          <cell r="J1138">
            <v>31141.69</v>
          </cell>
          <cell r="K1138">
            <v>0</v>
          </cell>
          <cell r="L1138">
            <v>21084.03</v>
          </cell>
          <cell r="M1138">
            <v>14328.53</v>
          </cell>
          <cell r="N1138">
            <v>16550.45</v>
          </cell>
          <cell r="O1138">
            <v>16868.45</v>
          </cell>
          <cell r="P1138">
            <v>25789.93</v>
          </cell>
          <cell r="Q1138">
            <v>26044.79</v>
          </cell>
          <cell r="R1138">
            <v>27007.11</v>
          </cell>
          <cell r="S1138">
            <v>38821.08</v>
          </cell>
          <cell r="T1138">
            <v>48548.98</v>
          </cell>
          <cell r="U1138">
            <v>54858.59</v>
          </cell>
          <cell r="V1138">
            <v>63987</v>
          </cell>
          <cell r="W1138">
            <v>80566.91</v>
          </cell>
          <cell r="X1138">
            <v>90368.8</v>
          </cell>
          <cell r="Y1138">
            <v>97124.3</v>
          </cell>
          <cell r="Z1138">
            <v>0</v>
          </cell>
          <cell r="AA1138">
            <v>3650.64</v>
          </cell>
          <cell r="AB1138">
            <v>13226.47</v>
          </cell>
          <cell r="AC1138">
            <v>19543.599999999999</v>
          </cell>
          <cell r="AD1138">
            <v>27365.84</v>
          </cell>
          <cell r="AE1138">
            <v>39318.14</v>
          </cell>
          <cell r="AF1138">
            <v>47132.42</v>
          </cell>
          <cell r="AG1138">
            <v>63843.91</v>
          </cell>
          <cell r="AH1138">
            <v>69901.95</v>
          </cell>
          <cell r="AI1138">
            <v>72342.039999999994</v>
          </cell>
          <cell r="AJ1138">
            <v>81235.13</v>
          </cell>
          <cell r="AK1138">
            <v>96634.44</v>
          </cell>
          <cell r="AL1138">
            <v>0</v>
          </cell>
          <cell r="AM1138">
            <v>3</v>
          </cell>
          <cell r="AN1138" t="str">
            <v/>
          </cell>
          <cell r="AO1138">
            <v>0</v>
          </cell>
          <cell r="AP1138">
            <v>0</v>
          </cell>
          <cell r="AQ1138">
            <v>0</v>
          </cell>
          <cell r="AR1138">
            <v>740</v>
          </cell>
          <cell r="AS1138">
            <v>0</v>
          </cell>
          <cell r="AT1138" t="str">
            <v/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 t="str">
            <v/>
          </cell>
          <cell r="BK1138">
            <v>6300</v>
          </cell>
          <cell r="BL1138" t="str">
            <v>0</v>
          </cell>
          <cell r="BM1138" t="str">
            <v>1</v>
          </cell>
          <cell r="BN1138" t="str">
            <v/>
          </cell>
          <cell r="BO1138" t="str">
            <v/>
          </cell>
        </row>
        <row r="1139">
          <cell r="A1139">
            <v>1</v>
          </cell>
          <cell r="B1139">
            <v>4470313</v>
          </cell>
          <cell r="C1139" t="str">
            <v>ENTRETIEN ET REPARATIONS</v>
          </cell>
          <cell r="D1139" t="str">
            <v>SACS - MACH #31</v>
          </cell>
          <cell r="E1139" t="str">
            <v>O</v>
          </cell>
          <cell r="F1139">
            <v>0</v>
          </cell>
          <cell r="G1139">
            <v>0</v>
          </cell>
          <cell r="H1139">
            <v>5922.79</v>
          </cell>
          <cell r="I1139">
            <v>5951.69</v>
          </cell>
          <cell r="J1139">
            <v>28.9</v>
          </cell>
          <cell r="K1139">
            <v>0</v>
          </cell>
          <cell r="L1139">
            <v>5687.28</v>
          </cell>
          <cell r="M1139">
            <v>3791.52</v>
          </cell>
          <cell r="N1139">
            <v>565.79</v>
          </cell>
          <cell r="O1139">
            <v>2236.67</v>
          </cell>
          <cell r="P1139">
            <v>2701.46</v>
          </cell>
          <cell r="Q1139">
            <v>3273.96</v>
          </cell>
          <cell r="R1139">
            <v>3675.09</v>
          </cell>
          <cell r="S1139">
            <v>4166.01</v>
          </cell>
          <cell r="T1139">
            <v>4304.07</v>
          </cell>
          <cell r="U1139">
            <v>4800.76</v>
          </cell>
          <cell r="V1139">
            <v>4856.26</v>
          </cell>
          <cell r="W1139">
            <v>5446.17</v>
          </cell>
          <cell r="X1139">
            <v>5922.79</v>
          </cell>
          <cell r="Y1139">
            <v>7818.55</v>
          </cell>
          <cell r="Z1139">
            <v>512.30999999999995</v>
          </cell>
          <cell r="AA1139">
            <v>548.65</v>
          </cell>
          <cell r="AB1139">
            <v>590.72</v>
          </cell>
          <cell r="AC1139">
            <v>610.30999999999995</v>
          </cell>
          <cell r="AD1139">
            <v>694.84</v>
          </cell>
          <cell r="AE1139">
            <v>729.66</v>
          </cell>
          <cell r="AF1139">
            <v>831.33</v>
          </cell>
          <cell r="AG1139">
            <v>642.25</v>
          </cell>
          <cell r="AH1139">
            <v>3250.89</v>
          </cell>
          <cell r="AI1139">
            <v>5969.62</v>
          </cell>
          <cell r="AJ1139">
            <v>6592.27</v>
          </cell>
          <cell r="AK1139">
            <v>6883.6</v>
          </cell>
          <cell r="AL1139">
            <v>0</v>
          </cell>
          <cell r="AM1139">
            <v>3</v>
          </cell>
          <cell r="AN1139" t="str">
            <v/>
          </cell>
          <cell r="AO1139">
            <v>0</v>
          </cell>
          <cell r="AP1139">
            <v>0</v>
          </cell>
          <cell r="AQ1139">
            <v>0</v>
          </cell>
          <cell r="AR1139">
            <v>720</v>
          </cell>
          <cell r="AS1139">
            <v>0</v>
          </cell>
          <cell r="AT1139" t="str">
            <v/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 t="str">
            <v/>
          </cell>
          <cell r="BK1139">
            <v>7000</v>
          </cell>
          <cell r="BL1139" t="str">
            <v>0</v>
          </cell>
          <cell r="BM1139" t="str">
            <v>1</v>
          </cell>
          <cell r="BN1139" t="str">
            <v/>
          </cell>
          <cell r="BO1139" t="str">
            <v/>
          </cell>
        </row>
        <row r="1140">
          <cell r="A1140">
            <v>1</v>
          </cell>
          <cell r="B1140">
            <v>4470333</v>
          </cell>
          <cell r="C1140" t="str">
            <v>ENTRETIEN ET REPARATIONS</v>
          </cell>
          <cell r="D1140" t="str">
            <v>SACS - MACH #33</v>
          </cell>
          <cell r="E1140" t="str">
            <v>O</v>
          </cell>
          <cell r="F1140">
            <v>0</v>
          </cell>
          <cell r="G1140">
            <v>0</v>
          </cell>
          <cell r="H1140">
            <v>5709.47</v>
          </cell>
          <cell r="I1140">
            <v>5825.44</v>
          </cell>
          <cell r="J1140">
            <v>115.97</v>
          </cell>
          <cell r="K1140">
            <v>0</v>
          </cell>
          <cell r="L1140">
            <v>1081.56</v>
          </cell>
          <cell r="M1140">
            <v>721.04</v>
          </cell>
          <cell r="N1140">
            <v>675.94</v>
          </cell>
          <cell r="O1140">
            <v>861.7</v>
          </cell>
          <cell r="P1140">
            <v>1925.02</v>
          </cell>
          <cell r="Q1140">
            <v>2311.7399999999998</v>
          </cell>
          <cell r="R1140">
            <v>2681.8</v>
          </cell>
          <cell r="S1140">
            <v>3788.41</v>
          </cell>
          <cell r="T1140">
            <v>4113.8500000000004</v>
          </cell>
          <cell r="U1140">
            <v>4563.66</v>
          </cell>
          <cell r="V1140">
            <v>4757.6899999999996</v>
          </cell>
          <cell r="W1140">
            <v>5398.98</v>
          </cell>
          <cell r="X1140">
            <v>5709.47</v>
          </cell>
          <cell r="Y1140">
            <v>6069.99</v>
          </cell>
          <cell r="Z1140">
            <v>0</v>
          </cell>
          <cell r="AA1140">
            <v>96.35</v>
          </cell>
          <cell r="AB1140">
            <v>1028.8900000000001</v>
          </cell>
          <cell r="AC1140">
            <v>1045.33</v>
          </cell>
          <cell r="AD1140">
            <v>1231.43</v>
          </cell>
          <cell r="AE1140">
            <v>3100.25</v>
          </cell>
          <cell r="AF1140">
            <v>3177.9</v>
          </cell>
          <cell r="AG1140">
            <v>3630.31</v>
          </cell>
          <cell r="AH1140">
            <v>4536.47</v>
          </cell>
          <cell r="AI1140">
            <v>4913.62</v>
          </cell>
          <cell r="AJ1140">
            <v>5932.72</v>
          </cell>
          <cell r="AK1140">
            <v>6552.92</v>
          </cell>
          <cell r="AL1140">
            <v>0</v>
          </cell>
          <cell r="AM1140">
            <v>3</v>
          </cell>
          <cell r="AN1140" t="str">
            <v/>
          </cell>
          <cell r="AO1140">
            <v>0</v>
          </cell>
          <cell r="AP1140">
            <v>0</v>
          </cell>
          <cell r="AQ1140">
            <v>0</v>
          </cell>
          <cell r="AR1140">
            <v>720</v>
          </cell>
          <cell r="AS1140">
            <v>0</v>
          </cell>
          <cell r="AT1140" t="str">
            <v/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 t="str">
            <v/>
          </cell>
          <cell r="BK1140">
            <v>7000</v>
          </cell>
          <cell r="BL1140" t="str">
            <v>0</v>
          </cell>
          <cell r="BM1140" t="str">
            <v>1</v>
          </cell>
          <cell r="BN1140" t="str">
            <v/>
          </cell>
          <cell r="BO1140" t="str">
            <v/>
          </cell>
        </row>
        <row r="1141">
          <cell r="A1141">
            <v>1</v>
          </cell>
          <cell r="B1141">
            <v>4470343</v>
          </cell>
          <cell r="C1141" t="str">
            <v>ENTRETIEN ET REPARATIONS</v>
          </cell>
          <cell r="D1141" t="str">
            <v>SACS - MACH #34</v>
          </cell>
          <cell r="E1141" t="str">
            <v>O</v>
          </cell>
          <cell r="F1141">
            <v>0</v>
          </cell>
          <cell r="G1141">
            <v>0</v>
          </cell>
          <cell r="H1141">
            <v>4699.13</v>
          </cell>
          <cell r="I1141">
            <v>4699.13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50.57</v>
          </cell>
          <cell r="O1141">
            <v>210.22</v>
          </cell>
          <cell r="P1141">
            <v>372.03</v>
          </cell>
          <cell r="Q1141">
            <v>372.03</v>
          </cell>
          <cell r="R1141">
            <v>674.33</v>
          </cell>
          <cell r="S1141">
            <v>705.05</v>
          </cell>
          <cell r="T1141">
            <v>879.21</v>
          </cell>
          <cell r="U1141">
            <v>905.88</v>
          </cell>
          <cell r="V1141">
            <v>4618.6400000000003</v>
          </cell>
          <cell r="W1141">
            <v>4648.54</v>
          </cell>
          <cell r="X1141">
            <v>4699.13</v>
          </cell>
          <cell r="Y1141">
            <v>4699.13</v>
          </cell>
          <cell r="Z1141">
            <v>15.8</v>
          </cell>
          <cell r="AA1141">
            <v>45.03</v>
          </cell>
          <cell r="AB1141">
            <v>108.17</v>
          </cell>
          <cell r="AC1141">
            <v>108.17</v>
          </cell>
          <cell r="AD1141">
            <v>122.26</v>
          </cell>
          <cell r="AE1141">
            <v>234.58</v>
          </cell>
          <cell r="AF1141">
            <v>234.58</v>
          </cell>
          <cell r="AG1141">
            <v>2582.2399999999998</v>
          </cell>
          <cell r="AH1141">
            <v>2582.2399999999998</v>
          </cell>
          <cell r="AI1141">
            <v>2582.2399999999998</v>
          </cell>
          <cell r="AJ1141">
            <v>2711.44</v>
          </cell>
          <cell r="AK1141">
            <v>2841.55</v>
          </cell>
          <cell r="AL1141">
            <v>0</v>
          </cell>
          <cell r="AM1141">
            <v>3</v>
          </cell>
          <cell r="AN1141" t="str">
            <v/>
          </cell>
          <cell r="AO1141">
            <v>0</v>
          </cell>
          <cell r="AP1141">
            <v>0</v>
          </cell>
          <cell r="AQ1141">
            <v>0</v>
          </cell>
          <cell r="AR1141">
            <v>720</v>
          </cell>
          <cell r="AS1141">
            <v>0</v>
          </cell>
          <cell r="AT1141" t="str">
            <v/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 t="str">
            <v/>
          </cell>
          <cell r="BK1141">
            <v>7000</v>
          </cell>
          <cell r="BL1141" t="str">
            <v>0</v>
          </cell>
          <cell r="BM1141" t="str">
            <v>1</v>
          </cell>
          <cell r="BN1141" t="str">
            <v/>
          </cell>
          <cell r="BO1141" t="str">
            <v/>
          </cell>
        </row>
        <row r="1142">
          <cell r="A1142">
            <v>1</v>
          </cell>
          <cell r="B1142">
            <v>4470373</v>
          </cell>
          <cell r="C1142" t="str">
            <v>ENTRETIEN ET REPARATIONS</v>
          </cell>
          <cell r="D1142" t="str">
            <v>SACS - MACH #37</v>
          </cell>
          <cell r="E1142" t="str">
            <v>O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297.33</v>
          </cell>
          <cell r="AB1142">
            <v>607.32000000000005</v>
          </cell>
          <cell r="AC1142">
            <v>607.32000000000005</v>
          </cell>
          <cell r="AD1142">
            <v>607.32000000000005</v>
          </cell>
          <cell r="AE1142">
            <v>607.32000000000005</v>
          </cell>
          <cell r="AF1142">
            <v>607.32000000000005</v>
          </cell>
          <cell r="AG1142">
            <v>607.32000000000005</v>
          </cell>
          <cell r="AH1142">
            <v>607.32000000000005</v>
          </cell>
          <cell r="AI1142">
            <v>607.32000000000005</v>
          </cell>
          <cell r="AJ1142">
            <v>607.32000000000005</v>
          </cell>
          <cell r="AK1142">
            <v>607.32000000000005</v>
          </cell>
          <cell r="AL1142">
            <v>0</v>
          </cell>
          <cell r="AM1142">
            <v>3</v>
          </cell>
          <cell r="AN1142" t="str">
            <v/>
          </cell>
          <cell r="AO1142">
            <v>0</v>
          </cell>
          <cell r="AP1142">
            <v>0</v>
          </cell>
          <cell r="AQ1142">
            <v>0</v>
          </cell>
          <cell r="AR1142">
            <v>720</v>
          </cell>
          <cell r="AS1142">
            <v>0</v>
          </cell>
          <cell r="AT1142" t="str">
            <v/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 t="str">
            <v/>
          </cell>
          <cell r="BK1142">
            <v>7000</v>
          </cell>
          <cell r="BL1142" t="str">
            <v>0</v>
          </cell>
          <cell r="BM1142" t="str">
            <v>1</v>
          </cell>
          <cell r="BN1142" t="str">
            <v/>
          </cell>
          <cell r="BO1142" t="str">
            <v/>
          </cell>
        </row>
        <row r="1143">
          <cell r="A1143">
            <v>1</v>
          </cell>
          <cell r="B1143">
            <v>4250363</v>
          </cell>
          <cell r="C1143" t="str">
            <v>M.O.D.</v>
          </cell>
          <cell r="D1143" t="str">
            <v>SACS - MACHINE 36</v>
          </cell>
          <cell r="E1143" t="str">
            <v>O</v>
          </cell>
          <cell r="F1143">
            <v>0</v>
          </cell>
          <cell r="G1143">
            <v>0</v>
          </cell>
          <cell r="H1143">
            <v>38500.31</v>
          </cell>
          <cell r="I1143">
            <v>44799.9</v>
          </cell>
          <cell r="J1143">
            <v>6299.59</v>
          </cell>
          <cell r="K1143">
            <v>0</v>
          </cell>
          <cell r="L1143">
            <v>4885.3100000000004</v>
          </cell>
          <cell r="M1143">
            <v>1522.46</v>
          </cell>
          <cell r="N1143">
            <v>4384.84</v>
          </cell>
          <cell r="O1143">
            <v>7422.87</v>
          </cell>
          <cell r="P1143">
            <v>10483.82</v>
          </cell>
          <cell r="Q1143">
            <v>15684.81</v>
          </cell>
          <cell r="R1143">
            <v>22912.26</v>
          </cell>
          <cell r="S1143">
            <v>24692.799999999999</v>
          </cell>
          <cell r="T1143">
            <v>26197.02</v>
          </cell>
          <cell r="U1143">
            <v>29998.82</v>
          </cell>
          <cell r="V1143">
            <v>32452.94</v>
          </cell>
          <cell r="W1143">
            <v>36977.85</v>
          </cell>
          <cell r="X1143">
            <v>38500.31</v>
          </cell>
          <cell r="Y1143">
            <v>41863.160000000003</v>
          </cell>
          <cell r="Z1143">
            <v>4294.01</v>
          </cell>
          <cell r="AA1143">
            <v>6079</v>
          </cell>
          <cell r="AB1143">
            <v>10298.4</v>
          </cell>
          <cell r="AC1143">
            <v>15903.44</v>
          </cell>
          <cell r="AD1143">
            <v>19949.14</v>
          </cell>
          <cell r="AE1143">
            <v>24669.83</v>
          </cell>
          <cell r="AF1143">
            <v>32527.25</v>
          </cell>
          <cell r="AG1143">
            <v>36144.239999999998</v>
          </cell>
          <cell r="AH1143">
            <v>41597.53</v>
          </cell>
          <cell r="AI1143">
            <v>44083.87</v>
          </cell>
          <cell r="AJ1143">
            <v>48719.74</v>
          </cell>
          <cell r="AK1143">
            <v>57542.14</v>
          </cell>
          <cell r="AL1143">
            <v>0</v>
          </cell>
          <cell r="AM1143">
            <v>3</v>
          </cell>
          <cell r="AN1143" t="str">
            <v/>
          </cell>
          <cell r="AO1143">
            <v>0</v>
          </cell>
          <cell r="AP1143">
            <v>0</v>
          </cell>
          <cell r="AQ1143">
            <v>0</v>
          </cell>
          <cell r="AR1143">
            <v>690</v>
          </cell>
          <cell r="AS1143">
            <v>0</v>
          </cell>
          <cell r="AT1143" t="str">
            <v/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 t="str">
            <v/>
          </cell>
          <cell r="BK1143">
            <v>6000</v>
          </cell>
          <cell r="BL1143" t="str">
            <v>0</v>
          </cell>
          <cell r="BM1143" t="str">
            <v>1</v>
          </cell>
          <cell r="BN1143" t="str">
            <v/>
          </cell>
          <cell r="BO1143" t="str">
            <v/>
          </cell>
        </row>
        <row r="1144">
          <cell r="A1144">
            <v>1</v>
          </cell>
          <cell r="B1144">
            <v>4250443</v>
          </cell>
          <cell r="C1144" t="str">
            <v>M.O.D.</v>
          </cell>
          <cell r="D1144" t="str">
            <v>SACS - MACHINE 44</v>
          </cell>
          <cell r="E1144" t="str">
            <v>O</v>
          </cell>
          <cell r="F1144">
            <v>0</v>
          </cell>
          <cell r="G1144">
            <v>0</v>
          </cell>
          <cell r="H1144">
            <v>37573.24</v>
          </cell>
          <cell r="I1144">
            <v>47798.82</v>
          </cell>
          <cell r="J1144">
            <v>10225.58</v>
          </cell>
          <cell r="K1144">
            <v>0</v>
          </cell>
          <cell r="L1144">
            <v>11884</v>
          </cell>
          <cell r="M1144">
            <v>7287.58</v>
          </cell>
          <cell r="N1144">
            <v>1566.81</v>
          </cell>
          <cell r="O1144">
            <v>2257.65</v>
          </cell>
          <cell r="P1144">
            <v>3410.04</v>
          </cell>
          <cell r="Q1144">
            <v>4232.25</v>
          </cell>
          <cell r="R1144">
            <v>5052.5200000000004</v>
          </cell>
          <cell r="S1144">
            <v>5764.31</v>
          </cell>
          <cell r="T1144">
            <v>8628.0400000000009</v>
          </cell>
          <cell r="U1144">
            <v>15325.08</v>
          </cell>
          <cell r="V1144">
            <v>22507.74</v>
          </cell>
          <cell r="W1144">
            <v>30285.66</v>
          </cell>
          <cell r="X1144">
            <v>37573.24</v>
          </cell>
          <cell r="Y1144">
            <v>42169.66</v>
          </cell>
          <cell r="Z1144">
            <v>6495.35</v>
          </cell>
          <cell r="AA1144">
            <v>12953.78</v>
          </cell>
          <cell r="AB1144">
            <v>17586.37</v>
          </cell>
          <cell r="AC1144">
            <v>19317.66</v>
          </cell>
          <cell r="AD1144">
            <v>21367.69</v>
          </cell>
          <cell r="AE1144">
            <v>26281.9</v>
          </cell>
          <cell r="AF1144">
            <v>29917</v>
          </cell>
          <cell r="AG1144">
            <v>30500.28</v>
          </cell>
          <cell r="AH1144">
            <v>34267.64</v>
          </cell>
          <cell r="AI1144">
            <v>36604.47</v>
          </cell>
          <cell r="AJ1144">
            <v>39046.57</v>
          </cell>
          <cell r="AK1144">
            <v>42157.74</v>
          </cell>
          <cell r="AL1144">
            <v>0</v>
          </cell>
          <cell r="AM1144">
            <v>3</v>
          </cell>
          <cell r="AN1144" t="str">
            <v/>
          </cell>
          <cell r="AO1144">
            <v>0</v>
          </cell>
          <cell r="AP1144">
            <v>0</v>
          </cell>
          <cell r="AQ1144">
            <v>0</v>
          </cell>
          <cell r="AR1144">
            <v>690</v>
          </cell>
          <cell r="AS1144">
            <v>0</v>
          </cell>
          <cell r="AT1144" t="str">
            <v/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 t="str">
            <v/>
          </cell>
          <cell r="BK1144">
            <v>6000</v>
          </cell>
          <cell r="BL1144" t="str">
            <v>0</v>
          </cell>
          <cell r="BM1144" t="str">
            <v>1</v>
          </cell>
          <cell r="BN1144" t="str">
            <v/>
          </cell>
          <cell r="BO1144" t="str">
            <v/>
          </cell>
        </row>
        <row r="1145">
          <cell r="A1145">
            <v>1</v>
          </cell>
          <cell r="B1145">
            <v>4802131</v>
          </cell>
          <cell r="C1145" t="str">
            <v>EXPEDITIONS</v>
          </cell>
          <cell r="D1145" t="str">
            <v>MOD - CYCLE COUNT 213</v>
          </cell>
          <cell r="E1145" t="str">
            <v>O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90.04</v>
          </cell>
          <cell r="AC1145">
            <v>1391.33</v>
          </cell>
          <cell r="AD1145">
            <v>1545.68</v>
          </cell>
          <cell r="AE1145">
            <v>1545.68</v>
          </cell>
          <cell r="AF1145">
            <v>1545.68</v>
          </cell>
          <cell r="AG1145">
            <v>1545.68</v>
          </cell>
          <cell r="AH1145">
            <v>1545.68</v>
          </cell>
          <cell r="AI1145">
            <v>1545.68</v>
          </cell>
          <cell r="AJ1145">
            <v>1545.68</v>
          </cell>
          <cell r="AK1145">
            <v>1545.68</v>
          </cell>
          <cell r="AL1145">
            <v>0</v>
          </cell>
          <cell r="AM1145">
            <v>1</v>
          </cell>
          <cell r="AN1145" t="str">
            <v/>
          </cell>
          <cell r="AO1145">
            <v>0</v>
          </cell>
          <cell r="AP1145">
            <v>0</v>
          </cell>
          <cell r="AQ1145">
            <v>0</v>
          </cell>
          <cell r="AR1145">
            <v>800</v>
          </cell>
          <cell r="AS1145">
            <v>0</v>
          </cell>
          <cell r="AT1145" t="str">
            <v/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 t="str">
            <v/>
          </cell>
          <cell r="BK1145">
            <v>7100</v>
          </cell>
          <cell r="BL1145" t="str">
            <v>0</v>
          </cell>
          <cell r="BM1145" t="str">
            <v>1</v>
          </cell>
          <cell r="BN1145" t="str">
            <v/>
          </cell>
          <cell r="BO1145" t="str">
            <v/>
          </cell>
        </row>
        <row r="1146">
          <cell r="A1146">
            <v>1</v>
          </cell>
          <cell r="B1146">
            <v>4552701</v>
          </cell>
          <cell r="C1146" t="str">
            <v>MATERIEL ROULANT</v>
          </cell>
          <cell r="D1146" t="str">
            <v>MOD - CAMION 270</v>
          </cell>
          <cell r="E1146" t="str">
            <v>O</v>
          </cell>
          <cell r="F1146">
            <v>0</v>
          </cell>
          <cell r="G1146">
            <v>0</v>
          </cell>
          <cell r="H1146">
            <v>6807.75</v>
          </cell>
          <cell r="I1146">
            <v>7056.52</v>
          </cell>
          <cell r="J1146">
            <v>248.77</v>
          </cell>
          <cell r="K1146">
            <v>0</v>
          </cell>
          <cell r="L1146">
            <v>253.02</v>
          </cell>
          <cell r="M1146">
            <v>144.07</v>
          </cell>
          <cell r="N1146">
            <v>1609.16</v>
          </cell>
          <cell r="O1146">
            <v>1847.41</v>
          </cell>
          <cell r="P1146">
            <v>1989.67</v>
          </cell>
          <cell r="Q1146">
            <v>2467.54</v>
          </cell>
          <cell r="R1146">
            <v>2639.47</v>
          </cell>
          <cell r="S1146">
            <v>2717.94</v>
          </cell>
          <cell r="T1146">
            <v>5221.5</v>
          </cell>
          <cell r="U1146">
            <v>5353.64</v>
          </cell>
          <cell r="V1146">
            <v>6039.34</v>
          </cell>
          <cell r="W1146">
            <v>6663.68</v>
          </cell>
          <cell r="X1146">
            <v>6807.75</v>
          </cell>
          <cell r="Y1146">
            <v>6916.7</v>
          </cell>
          <cell r="Z1146">
            <v>0</v>
          </cell>
          <cell r="AA1146">
            <v>0</v>
          </cell>
          <cell r="AB1146">
            <v>0</v>
          </cell>
          <cell r="AC1146">
            <v>150.62</v>
          </cell>
          <cell r="AD1146">
            <v>168.69</v>
          </cell>
          <cell r="AE1146">
            <v>883.91</v>
          </cell>
          <cell r="AF1146">
            <v>953.76</v>
          </cell>
          <cell r="AG1146">
            <v>1475.7</v>
          </cell>
          <cell r="AH1146">
            <v>1567.37</v>
          </cell>
          <cell r="AI1146">
            <v>3758.1</v>
          </cell>
          <cell r="AJ1146">
            <v>5496.32</v>
          </cell>
          <cell r="AK1146">
            <v>5716.56</v>
          </cell>
          <cell r="AL1146">
            <v>0</v>
          </cell>
          <cell r="AM1146">
            <v>1</v>
          </cell>
          <cell r="AN1146" t="str">
            <v/>
          </cell>
          <cell r="AO1146">
            <v>0</v>
          </cell>
          <cell r="AP1146">
            <v>0</v>
          </cell>
          <cell r="AQ1146">
            <v>0</v>
          </cell>
          <cell r="AR1146">
            <v>750</v>
          </cell>
          <cell r="AS1146">
            <v>0</v>
          </cell>
          <cell r="AT1146" t="str">
            <v/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 t="str">
            <v/>
          </cell>
          <cell r="BK1146">
            <v>7000</v>
          </cell>
          <cell r="BL1146" t="str">
            <v>0</v>
          </cell>
          <cell r="BM1146" t="str">
            <v>1</v>
          </cell>
          <cell r="BN1146" t="str">
            <v/>
          </cell>
          <cell r="BO1146" t="str">
            <v/>
          </cell>
        </row>
        <row r="1147">
          <cell r="A1147">
            <v>1</v>
          </cell>
          <cell r="B1147">
            <v>4552641</v>
          </cell>
          <cell r="C1147" t="str">
            <v>MATERIEL ROULANT</v>
          </cell>
          <cell r="D1147" t="str">
            <v>CAMION 264-LOC.&amp;ENTRETIEN</v>
          </cell>
          <cell r="E1147" t="str">
            <v>O</v>
          </cell>
          <cell r="F1147">
            <v>0</v>
          </cell>
          <cell r="G1147">
            <v>0</v>
          </cell>
          <cell r="H1147">
            <v>7280.38</v>
          </cell>
          <cell r="I1147">
            <v>11177.89</v>
          </cell>
          <cell r="J1147">
            <v>3897.51</v>
          </cell>
          <cell r="K1147">
            <v>0</v>
          </cell>
          <cell r="L1147">
            <v>376.7</v>
          </cell>
          <cell r="M1147">
            <v>284.25</v>
          </cell>
          <cell r="N1147">
            <v>89.98</v>
          </cell>
          <cell r="O1147">
            <v>3758.37</v>
          </cell>
          <cell r="P1147">
            <v>1375.68</v>
          </cell>
          <cell r="Q1147">
            <v>2018.86</v>
          </cell>
          <cell r="R1147">
            <v>2050.4299999999998</v>
          </cell>
          <cell r="S1147">
            <v>2746.42</v>
          </cell>
          <cell r="T1147">
            <v>5024.55</v>
          </cell>
          <cell r="U1147">
            <v>5137.7</v>
          </cell>
          <cell r="V1147">
            <v>6792.86</v>
          </cell>
          <cell r="W1147">
            <v>6534.19</v>
          </cell>
          <cell r="X1147">
            <v>7280.38</v>
          </cell>
          <cell r="Y1147">
            <v>7372.83</v>
          </cell>
          <cell r="Z1147">
            <v>53.02</v>
          </cell>
          <cell r="AA1147">
            <v>264.77</v>
          </cell>
          <cell r="AB1147">
            <v>1113.8399999999999</v>
          </cell>
          <cell r="AC1147">
            <v>1265.07</v>
          </cell>
          <cell r="AD1147">
            <v>1904.73</v>
          </cell>
          <cell r="AE1147">
            <v>3368.16</v>
          </cell>
          <cell r="AF1147">
            <v>3648.55</v>
          </cell>
          <cell r="AG1147">
            <v>3644.13</v>
          </cell>
          <cell r="AH1147">
            <v>3680.86</v>
          </cell>
          <cell r="AI1147">
            <v>4389.43</v>
          </cell>
          <cell r="AJ1147">
            <v>5427.47</v>
          </cell>
          <cell r="AK1147">
            <v>6658.49</v>
          </cell>
          <cell r="AL1147">
            <v>0</v>
          </cell>
          <cell r="AM1147">
            <v>1</v>
          </cell>
          <cell r="AN1147" t="str">
            <v/>
          </cell>
          <cell r="AO1147">
            <v>0</v>
          </cell>
          <cell r="AP1147">
            <v>0</v>
          </cell>
          <cell r="AQ1147">
            <v>0</v>
          </cell>
          <cell r="AR1147">
            <v>750</v>
          </cell>
          <cell r="AS1147">
            <v>0</v>
          </cell>
          <cell r="AT1147" t="str">
            <v/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 t="str">
            <v/>
          </cell>
          <cell r="BK1147">
            <v>7000</v>
          </cell>
          <cell r="BL1147" t="str">
            <v>0</v>
          </cell>
          <cell r="BM1147" t="str">
            <v>1</v>
          </cell>
          <cell r="BN1147" t="str">
            <v/>
          </cell>
          <cell r="BO1147" t="str">
            <v/>
          </cell>
        </row>
        <row r="1148">
          <cell r="A1148">
            <v>1</v>
          </cell>
          <cell r="B1148">
            <v>4552901</v>
          </cell>
          <cell r="C1148" t="str">
            <v>MATERIEL ROULANT</v>
          </cell>
          <cell r="D1148" t="str">
            <v>ENT.&amp;LOCATION -CAMION 290</v>
          </cell>
          <cell r="E1148" t="str">
            <v>O</v>
          </cell>
          <cell r="F1148">
            <v>0</v>
          </cell>
          <cell r="G1148">
            <v>0</v>
          </cell>
          <cell r="H1148">
            <v>3137.53</v>
          </cell>
          <cell r="I1148">
            <v>3137.53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446.69</v>
          </cell>
          <cell r="O1148">
            <v>860</v>
          </cell>
          <cell r="P1148">
            <v>1419.62</v>
          </cell>
          <cell r="Q1148">
            <v>1482.38</v>
          </cell>
          <cell r="R1148">
            <v>1943.5</v>
          </cell>
          <cell r="S1148">
            <v>2764.63</v>
          </cell>
          <cell r="T1148">
            <v>3137.53</v>
          </cell>
          <cell r="U1148">
            <v>3137.53</v>
          </cell>
          <cell r="V1148">
            <v>3137.53</v>
          </cell>
          <cell r="W1148">
            <v>3137.53</v>
          </cell>
          <cell r="X1148">
            <v>3137.53</v>
          </cell>
          <cell r="Y1148">
            <v>3137.53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222.25</v>
          </cell>
          <cell r="AG1148">
            <v>696.81</v>
          </cell>
          <cell r="AH1148">
            <v>721.95</v>
          </cell>
          <cell r="AI1148">
            <v>721.95</v>
          </cell>
          <cell r="AJ1148">
            <v>1148.52</v>
          </cell>
          <cell r="AK1148">
            <v>1403.05</v>
          </cell>
          <cell r="AL1148">
            <v>0</v>
          </cell>
          <cell r="AM1148">
            <v>1</v>
          </cell>
          <cell r="AN1148" t="str">
            <v/>
          </cell>
          <cell r="AO1148">
            <v>0</v>
          </cell>
          <cell r="AP1148">
            <v>0</v>
          </cell>
          <cell r="AQ1148">
            <v>0</v>
          </cell>
          <cell r="AR1148">
            <v>750</v>
          </cell>
          <cell r="AS1148">
            <v>0</v>
          </cell>
          <cell r="AT1148" t="str">
            <v/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 t="str">
            <v/>
          </cell>
          <cell r="BK1148">
            <v>7000</v>
          </cell>
          <cell r="BL1148" t="str">
            <v>0</v>
          </cell>
          <cell r="BM1148" t="str">
            <v>1</v>
          </cell>
          <cell r="BN1148" t="str">
            <v/>
          </cell>
          <cell r="BO1148" t="str">
            <v/>
          </cell>
        </row>
        <row r="1149">
          <cell r="A1149">
            <v>1</v>
          </cell>
          <cell r="B1149">
            <v>4460011</v>
          </cell>
          <cell r="C1149" t="str">
            <v>MECANICIENS</v>
          </cell>
          <cell r="D1149" t="str">
            <v>MOD-TRAITEMENT SECONDAIRE</v>
          </cell>
          <cell r="E1149" t="str">
            <v>O</v>
          </cell>
          <cell r="F1149">
            <v>0</v>
          </cell>
          <cell r="G1149">
            <v>0</v>
          </cell>
          <cell r="H1149">
            <v>35900.53</v>
          </cell>
          <cell r="I1149">
            <v>50738.54</v>
          </cell>
          <cell r="J1149">
            <v>14838.01</v>
          </cell>
          <cell r="K1149">
            <v>0</v>
          </cell>
          <cell r="L1149">
            <v>7651.67</v>
          </cell>
          <cell r="M1149">
            <v>4837.1099999999997</v>
          </cell>
          <cell r="N1149">
            <v>2430.87</v>
          </cell>
          <cell r="O1149">
            <v>6758.35</v>
          </cell>
          <cell r="P1149">
            <v>15405.82</v>
          </cell>
          <cell r="Q1149">
            <v>13889.35</v>
          </cell>
          <cell r="R1149">
            <v>18470.21</v>
          </cell>
          <cell r="S1149">
            <v>21060.9</v>
          </cell>
          <cell r="T1149">
            <v>24037.74</v>
          </cell>
          <cell r="U1149">
            <v>27354.03</v>
          </cell>
          <cell r="V1149">
            <v>29550.1</v>
          </cell>
          <cell r="W1149">
            <v>31063.42</v>
          </cell>
          <cell r="X1149">
            <v>35900.53</v>
          </cell>
          <cell r="Y1149">
            <v>38715.089999999997</v>
          </cell>
          <cell r="Z1149">
            <v>5545.09</v>
          </cell>
          <cell r="AA1149">
            <v>8819.58</v>
          </cell>
          <cell r="AB1149">
            <v>12367.38</v>
          </cell>
          <cell r="AC1149">
            <v>15187.53</v>
          </cell>
          <cell r="AD1149">
            <v>16441.150000000001</v>
          </cell>
          <cell r="AE1149">
            <v>22461.07</v>
          </cell>
          <cell r="AF1149">
            <v>24452.45</v>
          </cell>
          <cell r="AG1149">
            <v>25159.63</v>
          </cell>
          <cell r="AH1149">
            <v>28245.72</v>
          </cell>
          <cell r="AI1149">
            <v>33630.75</v>
          </cell>
          <cell r="AJ1149">
            <v>41511.43</v>
          </cell>
          <cell r="AK1149">
            <v>43011.63</v>
          </cell>
          <cell r="AL1149">
            <v>0</v>
          </cell>
          <cell r="AM1149">
            <v>1</v>
          </cell>
          <cell r="AN1149" t="str">
            <v/>
          </cell>
          <cell r="AO1149">
            <v>0</v>
          </cell>
          <cell r="AP1149">
            <v>0</v>
          </cell>
          <cell r="AQ1149">
            <v>0</v>
          </cell>
          <cell r="AR1149">
            <v>700</v>
          </cell>
          <cell r="AS1149">
            <v>0</v>
          </cell>
          <cell r="AT1149" t="str">
            <v/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 t="str">
            <v/>
          </cell>
          <cell r="BK1149">
            <v>7000</v>
          </cell>
          <cell r="BL1149" t="str">
            <v>0</v>
          </cell>
          <cell r="BM1149" t="str">
            <v>1</v>
          </cell>
          <cell r="BN1149" t="str">
            <v/>
          </cell>
          <cell r="BO1149" t="str">
            <v/>
          </cell>
        </row>
        <row r="1150">
          <cell r="A1150">
            <v>1</v>
          </cell>
          <cell r="B1150">
            <v>4460071</v>
          </cell>
          <cell r="C1150" t="str">
            <v>MECANICIENS</v>
          </cell>
          <cell r="D1150" t="str">
            <v>MOD - DEPARTEMENT PAPIER</v>
          </cell>
          <cell r="E1150" t="str">
            <v>O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50.74</v>
          </cell>
          <cell r="AA1150">
            <v>53.82</v>
          </cell>
          <cell r="AB1150">
            <v>53.82</v>
          </cell>
          <cell r="AC1150">
            <v>53.82</v>
          </cell>
          <cell r="AD1150">
            <v>53.82</v>
          </cell>
          <cell r="AE1150">
            <v>53.82</v>
          </cell>
          <cell r="AF1150">
            <v>53.82</v>
          </cell>
          <cell r="AG1150">
            <v>53.82</v>
          </cell>
          <cell r="AH1150">
            <v>53.82</v>
          </cell>
          <cell r="AI1150">
            <v>53.82</v>
          </cell>
          <cell r="AJ1150">
            <v>53.82</v>
          </cell>
          <cell r="AK1150">
            <v>53.82</v>
          </cell>
          <cell r="AL1150">
            <v>0</v>
          </cell>
          <cell r="AM1150">
            <v>1</v>
          </cell>
          <cell r="AN1150" t="str">
            <v/>
          </cell>
          <cell r="AO1150">
            <v>0</v>
          </cell>
          <cell r="AP1150">
            <v>0</v>
          </cell>
          <cell r="AQ1150">
            <v>0</v>
          </cell>
          <cell r="AR1150">
            <v>700</v>
          </cell>
          <cell r="AS1150">
            <v>0</v>
          </cell>
          <cell r="AT1150" t="str">
            <v/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 t="str">
            <v/>
          </cell>
          <cell r="BK1150">
            <v>7000</v>
          </cell>
          <cell r="BL1150" t="str">
            <v>0</v>
          </cell>
          <cell r="BM1150" t="str">
            <v>1</v>
          </cell>
          <cell r="BN1150" t="str">
            <v/>
          </cell>
          <cell r="BO1150" t="str">
            <v/>
          </cell>
        </row>
        <row r="1151">
          <cell r="A1151">
            <v>1</v>
          </cell>
          <cell r="B1151">
            <v>4460303</v>
          </cell>
          <cell r="C1151" t="str">
            <v>MECANICIENS     ENTRETIEN</v>
          </cell>
          <cell r="D1151" t="str">
            <v>SACS - MACHINE 30 MOD</v>
          </cell>
          <cell r="E1151" t="str">
            <v>O</v>
          </cell>
          <cell r="F1151">
            <v>0</v>
          </cell>
          <cell r="G1151">
            <v>0</v>
          </cell>
          <cell r="H1151">
            <v>4110.21</v>
          </cell>
          <cell r="I1151">
            <v>4687.92</v>
          </cell>
          <cell r="J1151">
            <v>577.71</v>
          </cell>
          <cell r="K1151">
            <v>0</v>
          </cell>
          <cell r="L1151">
            <v>187.84</v>
          </cell>
          <cell r="M1151">
            <v>206.62</v>
          </cell>
          <cell r="N1151">
            <v>545.70000000000005</v>
          </cell>
          <cell r="O1151">
            <v>915.2</v>
          </cell>
          <cell r="P1151">
            <v>1447.25</v>
          </cell>
          <cell r="Q1151">
            <v>1660.96</v>
          </cell>
          <cell r="R1151">
            <v>1894.45</v>
          </cell>
          <cell r="S1151">
            <v>2241.5300000000002</v>
          </cell>
          <cell r="T1151">
            <v>2532.77</v>
          </cell>
          <cell r="U1151">
            <v>2789.73</v>
          </cell>
          <cell r="V1151">
            <v>3375.61</v>
          </cell>
          <cell r="W1151">
            <v>3903.59</v>
          </cell>
          <cell r="X1151">
            <v>4110.21</v>
          </cell>
          <cell r="Y1151">
            <v>4091.43</v>
          </cell>
          <cell r="Z1151">
            <v>206.8</v>
          </cell>
          <cell r="AA1151">
            <v>1333.79</v>
          </cell>
          <cell r="AB1151">
            <v>1468.4</v>
          </cell>
          <cell r="AC1151">
            <v>1549.7</v>
          </cell>
          <cell r="AD1151">
            <v>1871.02</v>
          </cell>
          <cell r="AE1151">
            <v>2257.39</v>
          </cell>
          <cell r="AF1151">
            <v>2341.25</v>
          </cell>
          <cell r="AG1151">
            <v>3857</v>
          </cell>
          <cell r="AH1151">
            <v>4307.3599999999997</v>
          </cell>
          <cell r="AI1151">
            <v>5411.91</v>
          </cell>
          <cell r="AJ1151">
            <v>5966.7</v>
          </cell>
          <cell r="AK1151">
            <v>6665.64</v>
          </cell>
          <cell r="AL1151">
            <v>0</v>
          </cell>
          <cell r="AM1151">
            <v>3</v>
          </cell>
          <cell r="AN1151" t="str">
            <v/>
          </cell>
          <cell r="AO1151">
            <v>0</v>
          </cell>
          <cell r="AP1151">
            <v>0</v>
          </cell>
          <cell r="AQ1151">
            <v>0</v>
          </cell>
          <cell r="AR1151">
            <v>700</v>
          </cell>
          <cell r="AS1151">
            <v>0</v>
          </cell>
          <cell r="AT1151" t="str">
            <v/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 t="str">
            <v/>
          </cell>
          <cell r="BK1151">
            <v>7000</v>
          </cell>
          <cell r="BL1151" t="str">
            <v>0</v>
          </cell>
          <cell r="BM1151" t="str">
            <v>1</v>
          </cell>
          <cell r="BN1151" t="str">
            <v/>
          </cell>
          <cell r="BO1151" t="str">
            <v/>
          </cell>
        </row>
        <row r="1152">
          <cell r="A1152">
            <v>1</v>
          </cell>
          <cell r="B1152">
            <v>4460333</v>
          </cell>
          <cell r="C1152" t="str">
            <v>MECANICIENS     ENTRETIEN</v>
          </cell>
          <cell r="D1152" t="str">
            <v>SACS - MACHINE 33</v>
          </cell>
          <cell r="E1152" t="str">
            <v>O</v>
          </cell>
          <cell r="F1152">
            <v>0</v>
          </cell>
          <cell r="G1152">
            <v>0</v>
          </cell>
          <cell r="H1152">
            <v>7014.25</v>
          </cell>
          <cell r="I1152">
            <v>7685.69</v>
          </cell>
          <cell r="J1152">
            <v>671.44</v>
          </cell>
          <cell r="K1152">
            <v>0</v>
          </cell>
          <cell r="L1152">
            <v>172.76</v>
          </cell>
          <cell r="M1152">
            <v>54.58</v>
          </cell>
          <cell r="N1152">
            <v>722.38</v>
          </cell>
          <cell r="O1152">
            <v>1484.78</v>
          </cell>
          <cell r="P1152">
            <v>4025.35</v>
          </cell>
          <cell r="Q1152">
            <v>5226.87</v>
          </cell>
          <cell r="R1152">
            <v>5561.79</v>
          </cell>
          <cell r="S1152">
            <v>6012.45</v>
          </cell>
          <cell r="T1152">
            <v>6487.7</v>
          </cell>
          <cell r="U1152">
            <v>6675.77</v>
          </cell>
          <cell r="V1152">
            <v>6891.78</v>
          </cell>
          <cell r="W1152">
            <v>6959.67</v>
          </cell>
          <cell r="X1152">
            <v>7014.25</v>
          </cell>
          <cell r="Y1152">
            <v>7132.43</v>
          </cell>
          <cell r="Z1152">
            <v>53.04</v>
          </cell>
          <cell r="AA1152">
            <v>201.13</v>
          </cell>
          <cell r="AB1152">
            <v>719.56</v>
          </cell>
          <cell r="AC1152">
            <v>914.07</v>
          </cell>
          <cell r="AD1152">
            <v>927.26</v>
          </cell>
          <cell r="AE1152">
            <v>928.1</v>
          </cell>
          <cell r="AF1152">
            <v>1679.64</v>
          </cell>
          <cell r="AG1152">
            <v>1954.43</v>
          </cell>
          <cell r="AH1152">
            <v>2657.89</v>
          </cell>
          <cell r="AI1152">
            <v>2904.18</v>
          </cell>
          <cell r="AJ1152">
            <v>3073.99</v>
          </cell>
          <cell r="AK1152">
            <v>3200.25</v>
          </cell>
          <cell r="AL1152">
            <v>0</v>
          </cell>
          <cell r="AM1152">
            <v>3</v>
          </cell>
          <cell r="AN1152" t="str">
            <v/>
          </cell>
          <cell r="AO1152">
            <v>0</v>
          </cell>
          <cell r="AP1152">
            <v>0</v>
          </cell>
          <cell r="AQ1152">
            <v>0</v>
          </cell>
          <cell r="AR1152">
            <v>700</v>
          </cell>
          <cell r="AS1152">
            <v>0</v>
          </cell>
          <cell r="AT1152" t="str">
            <v/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 t="str">
            <v/>
          </cell>
          <cell r="BK1152">
            <v>7000</v>
          </cell>
          <cell r="BL1152" t="str">
            <v>0</v>
          </cell>
          <cell r="BM1152" t="str">
            <v>1</v>
          </cell>
          <cell r="BN1152" t="str">
            <v/>
          </cell>
          <cell r="BO1152" t="str">
            <v/>
          </cell>
        </row>
        <row r="1153">
          <cell r="A1153">
            <v>1</v>
          </cell>
          <cell r="B1153">
            <v>4460463</v>
          </cell>
          <cell r="C1153" t="str">
            <v>MECANICIENS     ENTRETIEN</v>
          </cell>
          <cell r="D1153" t="str">
            <v>SACS - MACHINE 46 MOD</v>
          </cell>
          <cell r="E1153" t="str">
            <v>O</v>
          </cell>
          <cell r="F1153">
            <v>0</v>
          </cell>
          <cell r="G1153">
            <v>0</v>
          </cell>
          <cell r="H1153">
            <v>20562.759999999998</v>
          </cell>
          <cell r="I1153">
            <v>23507.32</v>
          </cell>
          <cell r="J1153">
            <v>2944.56</v>
          </cell>
          <cell r="K1153">
            <v>0</v>
          </cell>
          <cell r="L1153">
            <v>1061.51</v>
          </cell>
          <cell r="M1153">
            <v>1002.62</v>
          </cell>
          <cell r="N1153">
            <v>5298.88</v>
          </cell>
          <cell r="O1153">
            <v>9497.5</v>
          </cell>
          <cell r="P1153">
            <v>11805.95</v>
          </cell>
          <cell r="Q1153">
            <v>15998.46</v>
          </cell>
          <cell r="R1153">
            <v>17118.900000000001</v>
          </cell>
          <cell r="S1153">
            <v>17463.849999999999</v>
          </cell>
          <cell r="T1153">
            <v>18287.650000000001</v>
          </cell>
          <cell r="U1153">
            <v>18971.8</v>
          </cell>
          <cell r="V1153">
            <v>19275.64</v>
          </cell>
          <cell r="W1153">
            <v>19560.14</v>
          </cell>
          <cell r="X1153">
            <v>20562.759999999998</v>
          </cell>
          <cell r="Y1153">
            <v>20621.650000000001</v>
          </cell>
          <cell r="Z1153">
            <v>1136.73</v>
          </cell>
          <cell r="AA1153">
            <v>1636.48</v>
          </cell>
          <cell r="AB1153">
            <v>2731.96</v>
          </cell>
          <cell r="AC1153">
            <v>3687.22</v>
          </cell>
          <cell r="AD1153">
            <v>4040.01</v>
          </cell>
          <cell r="AE1153">
            <v>4805.1000000000004</v>
          </cell>
          <cell r="AF1153">
            <v>5916.98</v>
          </cell>
          <cell r="AG1153">
            <v>8731.75</v>
          </cell>
          <cell r="AH1153">
            <v>9305.56</v>
          </cell>
          <cell r="AI1153">
            <v>9947.86</v>
          </cell>
          <cell r="AJ1153">
            <v>10929.21</v>
          </cell>
          <cell r="AK1153">
            <v>11775.67</v>
          </cell>
          <cell r="AL1153">
            <v>0</v>
          </cell>
          <cell r="AM1153">
            <v>3</v>
          </cell>
          <cell r="AN1153" t="str">
            <v/>
          </cell>
          <cell r="AO1153">
            <v>0</v>
          </cell>
          <cell r="AP1153">
            <v>0</v>
          </cell>
          <cell r="AQ1153">
            <v>0</v>
          </cell>
          <cell r="AR1153">
            <v>700</v>
          </cell>
          <cell r="AS1153">
            <v>0</v>
          </cell>
          <cell r="AT1153" t="str">
            <v/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 t="str">
            <v/>
          </cell>
          <cell r="BK1153">
            <v>7000</v>
          </cell>
          <cell r="BL1153" t="str">
            <v>0</v>
          </cell>
          <cell r="BM1153" t="str">
            <v>1</v>
          </cell>
          <cell r="BN1153" t="str">
            <v/>
          </cell>
          <cell r="BO1153" t="str">
            <v/>
          </cell>
        </row>
        <row r="1154">
          <cell r="A1154">
            <v>1</v>
          </cell>
          <cell r="B1154">
            <v>1332611</v>
          </cell>
          <cell r="C1154" t="str">
            <v>DÉAÉRATEUR</v>
          </cell>
          <cell r="D1154" t="str">
            <v/>
          </cell>
          <cell r="E1154" t="str">
            <v>O</v>
          </cell>
          <cell r="F1154">
            <v>0</v>
          </cell>
          <cell r="G1154">
            <v>0</v>
          </cell>
          <cell r="H1154">
            <v>4312.49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4312.49</v>
          </cell>
          <cell r="O1154">
            <v>4312.49</v>
          </cell>
          <cell r="P1154">
            <v>4312.49</v>
          </cell>
          <cell r="Q1154">
            <v>4312.49</v>
          </cell>
          <cell r="R1154">
            <v>4312.49</v>
          </cell>
          <cell r="S1154">
            <v>4312.49</v>
          </cell>
          <cell r="T1154">
            <v>4312.49</v>
          </cell>
          <cell r="U1154">
            <v>4312.49</v>
          </cell>
          <cell r="V1154">
            <v>4312.49</v>
          </cell>
          <cell r="W1154">
            <v>4312.49</v>
          </cell>
          <cell r="X1154">
            <v>4312.49</v>
          </cell>
          <cell r="Y1154">
            <v>4312.49</v>
          </cell>
          <cell r="Z1154">
            <v>4312.49</v>
          </cell>
          <cell r="AA1154">
            <v>4312.49</v>
          </cell>
          <cell r="AB1154">
            <v>4312.49</v>
          </cell>
          <cell r="AC1154">
            <v>4312.49</v>
          </cell>
          <cell r="AD1154">
            <v>4312.49</v>
          </cell>
          <cell r="AE1154">
            <v>4312.49</v>
          </cell>
          <cell r="AF1154">
            <v>4312.49</v>
          </cell>
          <cell r="AG1154">
            <v>4312.49</v>
          </cell>
          <cell r="AH1154">
            <v>4312.49</v>
          </cell>
          <cell r="AI1154">
            <v>4312.49</v>
          </cell>
          <cell r="AJ1154">
            <v>4312.49</v>
          </cell>
          <cell r="AK1154">
            <v>4312.49</v>
          </cell>
          <cell r="AL1154">
            <v>0</v>
          </cell>
          <cell r="AM1154">
            <v>1</v>
          </cell>
          <cell r="AN1154" t="str">
            <v/>
          </cell>
          <cell r="AO1154">
            <v>0</v>
          </cell>
          <cell r="AP1154">
            <v>0</v>
          </cell>
          <cell r="AQ1154">
            <v>0</v>
          </cell>
          <cell r="AR1154">
            <v>290</v>
          </cell>
          <cell r="AS1154">
            <v>0</v>
          </cell>
          <cell r="AT1154" t="str">
            <v/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240</v>
          </cell>
          <cell r="BJ1154" t="str">
            <v/>
          </cell>
          <cell r="BK1154">
            <v>1700</v>
          </cell>
          <cell r="BL1154" t="str">
            <v>1</v>
          </cell>
          <cell r="BM1154" t="str">
            <v>1</v>
          </cell>
          <cell r="BN1154" t="str">
            <v/>
          </cell>
          <cell r="BO1154" t="str">
            <v/>
          </cell>
        </row>
        <row r="1155">
          <cell r="A1155">
            <v>1</v>
          </cell>
          <cell r="B1155">
            <v>4410081</v>
          </cell>
          <cell r="C1155" t="str">
            <v>FORMATION</v>
          </cell>
          <cell r="D1155" t="str">
            <v>MOD - MACHINE A PAPIER</v>
          </cell>
          <cell r="E1155" t="str">
            <v>O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1</v>
          </cell>
          <cell r="AN1155" t="str">
            <v/>
          </cell>
          <cell r="AO1155">
            <v>0</v>
          </cell>
          <cell r="AP1155">
            <v>0</v>
          </cell>
          <cell r="AQ1155">
            <v>0</v>
          </cell>
          <cell r="AR1155">
            <v>810</v>
          </cell>
          <cell r="AS1155">
            <v>0</v>
          </cell>
          <cell r="AT1155" t="str">
            <v/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 t="str">
            <v/>
          </cell>
          <cell r="BK1155">
            <v>7000</v>
          </cell>
          <cell r="BL1155" t="str">
            <v>0</v>
          </cell>
          <cell r="BM1155" t="str">
            <v>1</v>
          </cell>
          <cell r="BN1155" t="str">
            <v/>
          </cell>
          <cell r="BO1155" t="str">
            <v/>
          </cell>
        </row>
        <row r="1156">
          <cell r="A1156">
            <v>1</v>
          </cell>
          <cell r="B1156">
            <v>1161010</v>
          </cell>
          <cell r="C1156" t="str">
            <v>INV BOITES CORRUGÉES</v>
          </cell>
          <cell r="D1156" t="str">
            <v>CLASSE GROUPE 03310 02410</v>
          </cell>
          <cell r="E1156" t="str">
            <v>O</v>
          </cell>
          <cell r="F1156">
            <v>0</v>
          </cell>
          <cell r="G1156">
            <v>0</v>
          </cell>
          <cell r="H1156">
            <v>153000.57999999999</v>
          </cell>
          <cell r="I1156">
            <v>2983549.31</v>
          </cell>
          <cell r="J1156">
            <v>3005499.06</v>
          </cell>
          <cell r="K1156">
            <v>0</v>
          </cell>
          <cell r="L1156">
            <v>530930.62</v>
          </cell>
          <cell r="M1156">
            <v>528916.42000000004</v>
          </cell>
          <cell r="N1156">
            <v>155097.29999999999</v>
          </cell>
          <cell r="O1156">
            <v>134798.46</v>
          </cell>
          <cell r="P1156">
            <v>145744.34</v>
          </cell>
          <cell r="Q1156">
            <v>139467.18</v>
          </cell>
          <cell r="R1156">
            <v>134777.5</v>
          </cell>
          <cell r="S1156">
            <v>144330.81</v>
          </cell>
          <cell r="T1156">
            <v>158823.01</v>
          </cell>
          <cell r="U1156">
            <v>146523.44</v>
          </cell>
          <cell r="V1156">
            <v>149222.14000000001</v>
          </cell>
          <cell r="W1156">
            <v>128801.63</v>
          </cell>
          <cell r="X1156">
            <v>153000.57999999999</v>
          </cell>
          <cell r="Y1156">
            <v>155014.78</v>
          </cell>
          <cell r="Z1156">
            <v>98896.58</v>
          </cell>
          <cell r="AA1156">
            <v>110904.01</v>
          </cell>
          <cell r="AB1156">
            <v>89832.97</v>
          </cell>
          <cell r="AC1156">
            <v>82581.259999999995</v>
          </cell>
          <cell r="AD1156">
            <v>120847.94</v>
          </cell>
          <cell r="AE1156">
            <v>149412.04</v>
          </cell>
          <cell r="AF1156">
            <v>177880.59</v>
          </cell>
          <cell r="AG1156">
            <v>199358.72</v>
          </cell>
          <cell r="AH1156">
            <v>158094.03</v>
          </cell>
          <cell r="AI1156">
            <v>226968.27</v>
          </cell>
          <cell r="AJ1156">
            <v>194938.11</v>
          </cell>
          <cell r="AK1156">
            <v>174950.33</v>
          </cell>
          <cell r="AL1156">
            <v>0</v>
          </cell>
          <cell r="AM1156">
            <v>0</v>
          </cell>
          <cell r="AN1156" t="str">
            <v/>
          </cell>
          <cell r="AO1156">
            <v>0</v>
          </cell>
          <cell r="AP1156">
            <v>0</v>
          </cell>
          <cell r="AQ1156">
            <v>0</v>
          </cell>
          <cell r="AR1156">
            <v>100</v>
          </cell>
          <cell r="AS1156">
            <v>0</v>
          </cell>
          <cell r="AT1156" t="str">
            <v/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 t="str">
            <v/>
          </cell>
          <cell r="BK1156">
            <v>1600</v>
          </cell>
          <cell r="BL1156" t="str">
            <v>0</v>
          </cell>
          <cell r="BM1156" t="str">
            <v>1</v>
          </cell>
          <cell r="BN1156" t="str">
            <v/>
          </cell>
          <cell r="BO1156" t="str">
            <v/>
          </cell>
        </row>
        <row r="1157">
          <cell r="A1157">
            <v>1</v>
          </cell>
          <cell r="B1157">
            <v>2621000</v>
          </cell>
          <cell r="C1157" t="str">
            <v>IMPOT REPORTE</v>
          </cell>
          <cell r="D1157" t="str">
            <v/>
          </cell>
          <cell r="E1157" t="str">
            <v>O</v>
          </cell>
          <cell r="F1157">
            <v>0</v>
          </cell>
          <cell r="G1157">
            <v>0</v>
          </cell>
          <cell r="H1157">
            <v>2823699.9</v>
          </cell>
          <cell r="I1157">
            <v>823836.38</v>
          </cell>
          <cell r="J1157">
            <v>128294.1</v>
          </cell>
          <cell r="K1157">
            <v>0</v>
          </cell>
          <cell r="L1157">
            <v>0</v>
          </cell>
          <cell r="M1157">
            <v>11069.19</v>
          </cell>
          <cell r="N1157">
            <v>3526118.58</v>
          </cell>
          <cell r="O1157">
            <v>3522955.47</v>
          </cell>
          <cell r="P1157">
            <v>3282714.46</v>
          </cell>
          <cell r="Q1157">
            <v>3289489.1</v>
          </cell>
          <cell r="R1157">
            <v>3302893.26</v>
          </cell>
          <cell r="S1157">
            <v>3312829.87</v>
          </cell>
          <cell r="T1157">
            <v>3334397.3</v>
          </cell>
          <cell r="U1157">
            <v>3346117.91</v>
          </cell>
          <cell r="V1157">
            <v>2797653.67</v>
          </cell>
          <cell r="W1157">
            <v>2808187.47</v>
          </cell>
          <cell r="X1157">
            <v>2823699.9</v>
          </cell>
          <cell r="Y1157">
            <v>2834769.09</v>
          </cell>
          <cell r="Z1157">
            <v>2858965.91</v>
          </cell>
          <cell r="AA1157">
            <v>2893223.2</v>
          </cell>
          <cell r="AB1157">
            <v>2951991.67</v>
          </cell>
          <cell r="AC1157">
            <v>3004715.6</v>
          </cell>
          <cell r="AD1157">
            <v>3077788.6</v>
          </cell>
          <cell r="AE1157">
            <v>3161584.38</v>
          </cell>
          <cell r="AF1157">
            <v>3256051.38</v>
          </cell>
          <cell r="AG1157">
            <v>3336993.1</v>
          </cell>
          <cell r="AH1157">
            <v>3377880.78</v>
          </cell>
          <cell r="AI1157">
            <v>3402372.39</v>
          </cell>
          <cell r="AJ1157">
            <v>3461888.18</v>
          </cell>
          <cell r="AK1157">
            <v>3519242.18</v>
          </cell>
          <cell r="AL1157">
            <v>0</v>
          </cell>
          <cell r="AM1157">
            <v>0</v>
          </cell>
          <cell r="AN1157" t="str">
            <v/>
          </cell>
          <cell r="AO1157">
            <v>0</v>
          </cell>
          <cell r="AP1157">
            <v>0</v>
          </cell>
          <cell r="AQ1157">
            <v>0</v>
          </cell>
          <cell r="AR1157">
            <v>560</v>
          </cell>
          <cell r="AS1157">
            <v>0</v>
          </cell>
          <cell r="AT1157" t="str">
            <v/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 t="str">
            <v/>
          </cell>
          <cell r="BK1157">
            <v>2500</v>
          </cell>
          <cell r="BL1157" t="str">
            <v>0</v>
          </cell>
          <cell r="BM1157" t="str">
            <v>1</v>
          </cell>
          <cell r="BN1157" t="str">
            <v/>
          </cell>
          <cell r="BO1157" t="str">
            <v/>
          </cell>
        </row>
        <row r="1158">
          <cell r="A1158">
            <v>1</v>
          </cell>
          <cell r="B1158">
            <v>5007001</v>
          </cell>
          <cell r="C1158" t="str">
            <v>SALAIRE ADM</v>
          </cell>
          <cell r="D1158" t="str">
            <v>AUTRES AVANTAGES</v>
          </cell>
          <cell r="E1158" t="str">
            <v>O</v>
          </cell>
          <cell r="F1158">
            <v>0</v>
          </cell>
          <cell r="G1158">
            <v>0</v>
          </cell>
          <cell r="H1158">
            <v>39123.68</v>
          </cell>
          <cell r="I1158">
            <v>105586.44</v>
          </cell>
          <cell r="J1158">
            <v>66462.759999999995</v>
          </cell>
          <cell r="K1158">
            <v>0</v>
          </cell>
          <cell r="L1158">
            <v>5121.6000000000004</v>
          </cell>
          <cell r="M1158">
            <v>0</v>
          </cell>
          <cell r="N1158">
            <v>1266.25</v>
          </cell>
          <cell r="O1158">
            <v>5656.25</v>
          </cell>
          <cell r="P1158">
            <v>6513.83</v>
          </cell>
          <cell r="Q1158">
            <v>7163.83</v>
          </cell>
          <cell r="R1158">
            <v>21113.83</v>
          </cell>
          <cell r="S1158">
            <v>39729.67</v>
          </cell>
          <cell r="T1158">
            <v>40343.67</v>
          </cell>
          <cell r="U1158">
            <v>41207.68</v>
          </cell>
          <cell r="V1158">
            <v>37880.68</v>
          </cell>
          <cell r="W1158">
            <v>39256.68</v>
          </cell>
          <cell r="X1158">
            <v>39123.68</v>
          </cell>
          <cell r="Y1158">
            <v>44245.279999999999</v>
          </cell>
          <cell r="Z1158">
            <v>0</v>
          </cell>
          <cell r="AA1158">
            <v>-64</v>
          </cell>
          <cell r="AB1158">
            <v>200.5</v>
          </cell>
          <cell r="AC1158">
            <v>-1166.5</v>
          </cell>
          <cell r="AD1158">
            <v>-1166.5</v>
          </cell>
          <cell r="AE1158">
            <v>-933.7</v>
          </cell>
          <cell r="AF1158">
            <v>-933.7</v>
          </cell>
          <cell r="AG1158">
            <v>-933.7</v>
          </cell>
          <cell r="AH1158">
            <v>601.79999999999995</v>
          </cell>
          <cell r="AI1158">
            <v>601.79999999999995</v>
          </cell>
          <cell r="AJ1158">
            <v>70917.539999999994</v>
          </cell>
          <cell r="AK1158">
            <v>8578.5400000000009</v>
          </cell>
          <cell r="AL1158">
            <v>0</v>
          </cell>
          <cell r="AM1158">
            <v>1</v>
          </cell>
          <cell r="AN1158" t="str">
            <v/>
          </cell>
          <cell r="AO1158">
            <v>0</v>
          </cell>
          <cell r="AP1158">
            <v>0</v>
          </cell>
          <cell r="AQ1158">
            <v>0</v>
          </cell>
          <cell r="AR1158">
            <v>810</v>
          </cell>
          <cell r="AS1158">
            <v>0</v>
          </cell>
          <cell r="AT1158" t="str">
            <v/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 t="str">
            <v/>
          </cell>
          <cell r="BK1158">
            <v>7200</v>
          </cell>
          <cell r="BL1158" t="str">
            <v>0</v>
          </cell>
          <cell r="BM1158" t="str">
            <v>1</v>
          </cell>
          <cell r="BN1158" t="str">
            <v/>
          </cell>
          <cell r="BO1158" t="str">
            <v/>
          </cell>
        </row>
        <row r="1159">
          <cell r="A1159">
            <v>1</v>
          </cell>
          <cell r="B1159">
            <v>4271002</v>
          </cell>
          <cell r="C1159" t="str">
            <v>SOUS-TRAITANCE 101751</v>
          </cell>
          <cell r="D1159" t="str">
            <v>PLIS MULTIPLES</v>
          </cell>
          <cell r="E1159" t="str">
            <v>O</v>
          </cell>
          <cell r="F1159">
            <v>0</v>
          </cell>
          <cell r="G1159">
            <v>0</v>
          </cell>
          <cell r="H1159">
            <v>699777.62</v>
          </cell>
          <cell r="I1159">
            <v>827779.43</v>
          </cell>
          <cell r="J1159">
            <v>128001.81</v>
          </cell>
          <cell r="K1159">
            <v>0</v>
          </cell>
          <cell r="L1159">
            <v>60745.64</v>
          </cell>
          <cell r="M1159">
            <v>2227.6799999999998</v>
          </cell>
          <cell r="N1159">
            <v>59180.09</v>
          </cell>
          <cell r="O1159">
            <v>118500.41</v>
          </cell>
          <cell r="P1159">
            <v>191862.65</v>
          </cell>
          <cell r="Q1159">
            <v>251849.49</v>
          </cell>
          <cell r="R1159">
            <v>352042.09</v>
          </cell>
          <cell r="S1159">
            <v>453133.77</v>
          </cell>
          <cell r="T1159">
            <v>484611.12</v>
          </cell>
          <cell r="U1159">
            <v>508253.54</v>
          </cell>
          <cell r="V1159">
            <v>572596.68000000005</v>
          </cell>
          <cell r="W1159">
            <v>634876.14</v>
          </cell>
          <cell r="X1159">
            <v>699777.62</v>
          </cell>
          <cell r="Y1159">
            <v>758295.58</v>
          </cell>
          <cell r="Z1159">
            <v>31901.040000000001</v>
          </cell>
          <cell r="AA1159">
            <v>474278.35</v>
          </cell>
          <cell r="AB1159">
            <v>648192.02</v>
          </cell>
          <cell r="AC1159">
            <v>805642.61</v>
          </cell>
          <cell r="AD1159">
            <v>914587.27</v>
          </cell>
          <cell r="AE1159">
            <v>969550.27</v>
          </cell>
          <cell r="AF1159">
            <v>1032514.02</v>
          </cell>
          <cell r="AG1159">
            <v>1077706.6200000001</v>
          </cell>
          <cell r="AH1159">
            <v>1137498.6399999999</v>
          </cell>
          <cell r="AI1159">
            <v>1202016.73</v>
          </cell>
          <cell r="AJ1159">
            <v>1274061.6299999999</v>
          </cell>
          <cell r="AK1159">
            <v>1336882.08</v>
          </cell>
          <cell r="AL1159">
            <v>0</v>
          </cell>
          <cell r="AM1159">
            <v>2</v>
          </cell>
          <cell r="AN1159" t="str">
            <v/>
          </cell>
          <cell r="AO1159">
            <v>0</v>
          </cell>
          <cell r="AP1159">
            <v>0</v>
          </cell>
          <cell r="AQ1159">
            <v>0</v>
          </cell>
          <cell r="AR1159">
            <v>702</v>
          </cell>
          <cell r="AS1159">
            <v>0</v>
          </cell>
          <cell r="AT1159" t="str">
            <v/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20751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 t="str">
            <v/>
          </cell>
          <cell r="BK1159">
            <v>6300</v>
          </cell>
          <cell r="BL1159" t="str">
            <v>0</v>
          </cell>
          <cell r="BM1159" t="str">
            <v>1</v>
          </cell>
          <cell r="BN1159" t="str">
            <v/>
          </cell>
          <cell r="BO1159" t="str">
            <v/>
          </cell>
        </row>
        <row r="1160">
          <cell r="A1160">
            <v>1</v>
          </cell>
          <cell r="B1160">
            <v>1161020</v>
          </cell>
          <cell r="C1160" t="str">
            <v>INV PIECES DE RECHANGES</v>
          </cell>
          <cell r="D1160" t="str">
            <v>TOWLING DISPENSER</v>
          </cell>
          <cell r="E1160" t="str">
            <v>O</v>
          </cell>
          <cell r="F1160">
            <v>0</v>
          </cell>
          <cell r="G1160">
            <v>0</v>
          </cell>
          <cell r="H1160">
            <v>132727.17000000001</v>
          </cell>
          <cell r="I1160">
            <v>1853108.02</v>
          </cell>
          <cell r="J1160">
            <v>1889282.57</v>
          </cell>
          <cell r="K1160">
            <v>0</v>
          </cell>
          <cell r="L1160">
            <v>148561.35999999999</v>
          </cell>
          <cell r="M1160">
            <v>132727.17000000001</v>
          </cell>
          <cell r="N1160">
            <v>212364</v>
          </cell>
          <cell r="O1160">
            <v>204989</v>
          </cell>
          <cell r="P1160">
            <v>196685</v>
          </cell>
          <cell r="Q1160">
            <v>110758</v>
          </cell>
          <cell r="R1160">
            <v>145638</v>
          </cell>
          <cell r="S1160">
            <v>163749</v>
          </cell>
          <cell r="T1160">
            <v>123466</v>
          </cell>
          <cell r="U1160">
            <v>168046</v>
          </cell>
          <cell r="V1160">
            <v>217162.3</v>
          </cell>
          <cell r="W1160">
            <v>173848.79</v>
          </cell>
          <cell r="X1160">
            <v>132727.17000000001</v>
          </cell>
          <cell r="Y1160">
            <v>148561.35999999999</v>
          </cell>
          <cell r="Z1160">
            <v>152364</v>
          </cell>
          <cell r="AA1160">
            <v>113592</v>
          </cell>
          <cell r="AB1160">
            <v>44913</v>
          </cell>
          <cell r="AC1160">
            <v>108310</v>
          </cell>
          <cell r="AD1160">
            <v>152626</v>
          </cell>
          <cell r="AE1160">
            <v>131852</v>
          </cell>
          <cell r="AF1160">
            <v>169247</v>
          </cell>
          <cell r="AG1160">
            <v>69919.520000000004</v>
          </cell>
          <cell r="AH1160">
            <v>146119.57999999999</v>
          </cell>
          <cell r="AI1160">
            <v>169367.43</v>
          </cell>
          <cell r="AJ1160">
            <v>205757.25</v>
          </cell>
          <cell r="AK1160">
            <v>168901.72</v>
          </cell>
          <cell r="AL1160">
            <v>0</v>
          </cell>
          <cell r="AM1160">
            <v>0</v>
          </cell>
          <cell r="AN1160" t="str">
            <v/>
          </cell>
          <cell r="AO1160">
            <v>0</v>
          </cell>
          <cell r="AP1160">
            <v>0</v>
          </cell>
          <cell r="AQ1160">
            <v>0</v>
          </cell>
          <cell r="AR1160">
            <v>100</v>
          </cell>
          <cell r="AS1160">
            <v>0</v>
          </cell>
          <cell r="AT1160" t="str">
            <v/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 t="str">
            <v/>
          </cell>
          <cell r="BK1160">
            <v>1600</v>
          </cell>
          <cell r="BL1160" t="str">
            <v>0</v>
          </cell>
          <cell r="BM1160" t="str">
            <v>1</v>
          </cell>
          <cell r="BN1160" t="str">
            <v/>
          </cell>
          <cell r="BO1160" t="str">
            <v/>
          </cell>
        </row>
        <row r="1161">
          <cell r="A1161">
            <v>1</v>
          </cell>
          <cell r="B1161">
            <v>4470303</v>
          </cell>
          <cell r="C1161" t="str">
            <v>ENTRETIEN ET REPARATIONS</v>
          </cell>
          <cell r="D1161" t="str">
            <v>SACS - MACH #30</v>
          </cell>
          <cell r="E1161" t="str">
            <v>O</v>
          </cell>
          <cell r="F1161">
            <v>0</v>
          </cell>
          <cell r="G1161">
            <v>0</v>
          </cell>
          <cell r="H1161">
            <v>15457.38</v>
          </cell>
          <cell r="I1161">
            <v>19293.02</v>
          </cell>
          <cell r="J1161">
            <v>3835.64</v>
          </cell>
          <cell r="K1161">
            <v>0</v>
          </cell>
          <cell r="L1161">
            <v>237.18</v>
          </cell>
          <cell r="M1161">
            <v>158.12</v>
          </cell>
          <cell r="N1161">
            <v>3668.57</v>
          </cell>
          <cell r="O1161">
            <v>5493.5</v>
          </cell>
          <cell r="P1161">
            <v>5822.81</v>
          </cell>
          <cell r="Q1161">
            <v>6799.55</v>
          </cell>
          <cell r="R1161">
            <v>7333.77</v>
          </cell>
          <cell r="S1161">
            <v>13637.01</v>
          </cell>
          <cell r="T1161">
            <v>14208.56</v>
          </cell>
          <cell r="U1161">
            <v>14208.56</v>
          </cell>
          <cell r="V1161">
            <v>14414.44</v>
          </cell>
          <cell r="W1161">
            <v>14867.25</v>
          </cell>
          <cell r="X1161">
            <v>15457.38</v>
          </cell>
          <cell r="Y1161">
            <v>15536.44</v>
          </cell>
          <cell r="Z1161">
            <v>188.48</v>
          </cell>
          <cell r="AA1161">
            <v>228.57</v>
          </cell>
          <cell r="AB1161">
            <v>1146.6199999999999</v>
          </cell>
          <cell r="AC1161">
            <v>1236.8</v>
          </cell>
          <cell r="AD1161">
            <v>2610.23</v>
          </cell>
          <cell r="AE1161">
            <v>3285.39</v>
          </cell>
          <cell r="AF1161">
            <v>3383.72</v>
          </cell>
          <cell r="AG1161">
            <v>4366.9399999999996</v>
          </cell>
          <cell r="AH1161">
            <v>4497.1499999999996</v>
          </cell>
          <cell r="AI1161">
            <v>5034.49</v>
          </cell>
          <cell r="AJ1161">
            <v>5107.8599999999997</v>
          </cell>
          <cell r="AK1161">
            <v>5704.26</v>
          </cell>
          <cell r="AL1161">
            <v>0</v>
          </cell>
          <cell r="AM1161">
            <v>3</v>
          </cell>
          <cell r="AN1161" t="str">
            <v/>
          </cell>
          <cell r="AO1161">
            <v>0</v>
          </cell>
          <cell r="AP1161">
            <v>0</v>
          </cell>
          <cell r="AQ1161">
            <v>0</v>
          </cell>
          <cell r="AR1161">
            <v>720</v>
          </cell>
          <cell r="AS1161">
            <v>0</v>
          </cell>
          <cell r="AT1161" t="str">
            <v/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 t="str">
            <v/>
          </cell>
          <cell r="BK1161">
            <v>7000</v>
          </cell>
          <cell r="BL1161" t="str">
            <v>0</v>
          </cell>
          <cell r="BM1161" t="str">
            <v>1</v>
          </cell>
          <cell r="BN1161" t="str">
            <v/>
          </cell>
          <cell r="BO1161" t="str">
            <v/>
          </cell>
        </row>
        <row r="1162">
          <cell r="A1162">
            <v>1</v>
          </cell>
          <cell r="B1162">
            <v>4470403</v>
          </cell>
          <cell r="C1162" t="str">
            <v>ENTRETIEN ET REPARATIONS</v>
          </cell>
          <cell r="D1162" t="str">
            <v>SACS - MACH #40</v>
          </cell>
          <cell r="E1162" t="str">
            <v>O</v>
          </cell>
          <cell r="F1162">
            <v>0</v>
          </cell>
          <cell r="G1162">
            <v>0</v>
          </cell>
          <cell r="H1162">
            <v>293.94</v>
          </cell>
          <cell r="I1162">
            <v>293.94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28.84</v>
          </cell>
          <cell r="U1162">
            <v>226.75</v>
          </cell>
          <cell r="V1162">
            <v>231.68</v>
          </cell>
          <cell r="W1162">
            <v>293.94</v>
          </cell>
          <cell r="X1162">
            <v>293.94</v>
          </cell>
          <cell r="Y1162">
            <v>293.94</v>
          </cell>
          <cell r="Z1162">
            <v>45.79</v>
          </cell>
          <cell r="AA1162">
            <v>45.79</v>
          </cell>
          <cell r="AB1162">
            <v>1869.61</v>
          </cell>
          <cell r="AC1162">
            <v>1869.61</v>
          </cell>
          <cell r="AD1162">
            <v>1892.43</v>
          </cell>
          <cell r="AE1162">
            <v>1892.43</v>
          </cell>
          <cell r="AF1162">
            <v>2590.6799999999998</v>
          </cell>
          <cell r="AG1162">
            <v>2610.6999999999998</v>
          </cell>
          <cell r="AH1162">
            <v>4770.7</v>
          </cell>
          <cell r="AI1162">
            <v>4830.5</v>
          </cell>
          <cell r="AJ1162">
            <v>4830.5</v>
          </cell>
          <cell r="AK1162">
            <v>4888.3100000000004</v>
          </cell>
          <cell r="AL1162">
            <v>0</v>
          </cell>
          <cell r="AM1162">
            <v>3</v>
          </cell>
          <cell r="AN1162" t="str">
            <v/>
          </cell>
          <cell r="AO1162">
            <v>0</v>
          </cell>
          <cell r="AP1162">
            <v>0</v>
          </cell>
          <cell r="AQ1162">
            <v>0</v>
          </cell>
          <cell r="AR1162">
            <v>720</v>
          </cell>
          <cell r="AS1162">
            <v>0</v>
          </cell>
          <cell r="AT1162" t="str">
            <v/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 t="str">
            <v/>
          </cell>
          <cell r="BK1162">
            <v>7000</v>
          </cell>
          <cell r="BL1162" t="str">
            <v>0</v>
          </cell>
          <cell r="BM1162" t="str">
            <v>1</v>
          </cell>
          <cell r="BN1162" t="str">
            <v/>
          </cell>
          <cell r="BO1162" t="str">
            <v/>
          </cell>
        </row>
        <row r="1163">
          <cell r="A1163">
            <v>1</v>
          </cell>
          <cell r="B1163">
            <v>4470443</v>
          </cell>
          <cell r="C1163" t="str">
            <v>ENTRETIEN ET REPARATIONS</v>
          </cell>
          <cell r="D1163" t="str">
            <v>SACS - MACH #44</v>
          </cell>
          <cell r="E1163" t="str">
            <v>O</v>
          </cell>
          <cell r="F1163">
            <v>0</v>
          </cell>
          <cell r="G1163">
            <v>0</v>
          </cell>
          <cell r="H1163">
            <v>13094.47</v>
          </cell>
          <cell r="I1163">
            <v>14372.27</v>
          </cell>
          <cell r="J1163">
            <v>1277.8</v>
          </cell>
          <cell r="K1163">
            <v>0</v>
          </cell>
          <cell r="L1163">
            <v>2488.58</v>
          </cell>
          <cell r="M1163">
            <v>1232.6099999999999</v>
          </cell>
          <cell r="N1163">
            <v>0</v>
          </cell>
          <cell r="O1163">
            <v>10.51</v>
          </cell>
          <cell r="P1163">
            <v>195.68</v>
          </cell>
          <cell r="Q1163">
            <v>200.52</v>
          </cell>
          <cell r="R1163">
            <v>200.52</v>
          </cell>
          <cell r="S1163">
            <v>716.32</v>
          </cell>
          <cell r="T1163">
            <v>3826.84</v>
          </cell>
          <cell r="U1163">
            <v>8230.42</v>
          </cell>
          <cell r="V1163">
            <v>10328.27</v>
          </cell>
          <cell r="W1163">
            <v>11205.75</v>
          </cell>
          <cell r="X1163">
            <v>13094.47</v>
          </cell>
          <cell r="Y1163">
            <v>14350.44</v>
          </cell>
          <cell r="Z1163">
            <v>21.36</v>
          </cell>
          <cell r="AA1163">
            <v>191.38</v>
          </cell>
          <cell r="AB1163">
            <v>191.38</v>
          </cell>
          <cell r="AC1163">
            <v>191.38</v>
          </cell>
          <cell r="AD1163">
            <v>505.77</v>
          </cell>
          <cell r="AE1163">
            <v>557.71</v>
          </cell>
          <cell r="AF1163">
            <v>1302.1300000000001</v>
          </cell>
          <cell r="AG1163">
            <v>1371.48</v>
          </cell>
          <cell r="AH1163">
            <v>1464.57</v>
          </cell>
          <cell r="AI1163">
            <v>1638</v>
          </cell>
          <cell r="AJ1163">
            <v>3127.3</v>
          </cell>
          <cell r="AK1163">
            <v>3956.87</v>
          </cell>
          <cell r="AL1163">
            <v>0</v>
          </cell>
          <cell r="AM1163">
            <v>3</v>
          </cell>
          <cell r="AN1163" t="str">
            <v/>
          </cell>
          <cell r="AO1163">
            <v>0</v>
          </cell>
          <cell r="AP1163">
            <v>0</v>
          </cell>
          <cell r="AQ1163">
            <v>0</v>
          </cell>
          <cell r="AR1163">
            <v>720</v>
          </cell>
          <cell r="AS1163">
            <v>0</v>
          </cell>
          <cell r="AT1163" t="str">
            <v/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 t="str">
            <v/>
          </cell>
          <cell r="BK1163">
            <v>7000</v>
          </cell>
          <cell r="BL1163" t="str">
            <v>0</v>
          </cell>
          <cell r="BM1163" t="str">
            <v>1</v>
          </cell>
          <cell r="BN1163" t="str">
            <v/>
          </cell>
          <cell r="BO1163" t="str">
            <v/>
          </cell>
        </row>
        <row r="1164">
          <cell r="A1164">
            <v>1</v>
          </cell>
          <cell r="B1164">
            <v>4470473</v>
          </cell>
          <cell r="C1164" t="str">
            <v>ENTRETIEN ET REPARATIONS</v>
          </cell>
          <cell r="D1164" t="str">
            <v>SACS - MACH #47</v>
          </cell>
          <cell r="E1164" t="str">
            <v>O</v>
          </cell>
          <cell r="F1164">
            <v>0</v>
          </cell>
          <cell r="G1164">
            <v>0</v>
          </cell>
          <cell r="H1164">
            <v>21247.27</v>
          </cell>
          <cell r="I1164">
            <v>23842.74</v>
          </cell>
          <cell r="J1164">
            <v>2595.4699999999998</v>
          </cell>
          <cell r="K1164">
            <v>0</v>
          </cell>
          <cell r="L1164">
            <v>2485.4899999999998</v>
          </cell>
          <cell r="M1164">
            <v>1050.5999999999999</v>
          </cell>
          <cell r="N1164">
            <v>2703.81</v>
          </cell>
          <cell r="O1164">
            <v>5346.95</v>
          </cell>
          <cell r="P1164">
            <v>7379.16</v>
          </cell>
          <cell r="Q1164">
            <v>7514.58</v>
          </cell>
          <cell r="R1164">
            <v>9979.2900000000009</v>
          </cell>
          <cell r="S1164">
            <v>10054.549999999999</v>
          </cell>
          <cell r="T1164">
            <v>15290.55</v>
          </cell>
          <cell r="U1164">
            <v>18167.02</v>
          </cell>
          <cell r="V1164">
            <v>19213.599999999999</v>
          </cell>
          <cell r="W1164">
            <v>19388.95</v>
          </cell>
          <cell r="X1164">
            <v>21247.27</v>
          </cell>
          <cell r="Y1164">
            <v>22682.16</v>
          </cell>
          <cell r="Z1164">
            <v>2896.82</v>
          </cell>
          <cell r="AA1164">
            <v>4365.66</v>
          </cell>
          <cell r="AB1164">
            <v>6477.37</v>
          </cell>
          <cell r="AC1164">
            <v>6477.37</v>
          </cell>
          <cell r="AD1164">
            <v>9771.5300000000007</v>
          </cell>
          <cell r="AE1164">
            <v>11316.06</v>
          </cell>
          <cell r="AF1164">
            <v>12984.23</v>
          </cell>
          <cell r="AG1164">
            <v>13641.69</v>
          </cell>
          <cell r="AH1164">
            <v>15584.04</v>
          </cell>
          <cell r="AI1164">
            <v>17267.09</v>
          </cell>
          <cell r="AJ1164">
            <v>19088.099999999999</v>
          </cell>
          <cell r="AK1164">
            <v>21304.18</v>
          </cell>
          <cell r="AL1164">
            <v>0</v>
          </cell>
          <cell r="AM1164">
            <v>3</v>
          </cell>
          <cell r="AN1164" t="str">
            <v/>
          </cell>
          <cell r="AO1164">
            <v>0</v>
          </cell>
          <cell r="AP1164">
            <v>0</v>
          </cell>
          <cell r="AQ1164">
            <v>0</v>
          </cell>
          <cell r="AR1164">
            <v>720</v>
          </cell>
          <cell r="AS1164">
            <v>0</v>
          </cell>
          <cell r="AT1164" t="str">
            <v/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 t="str">
            <v/>
          </cell>
          <cell r="BK1164">
            <v>7000</v>
          </cell>
          <cell r="BL1164" t="str">
            <v>0</v>
          </cell>
          <cell r="BM1164" t="str">
            <v>1</v>
          </cell>
          <cell r="BN1164" t="str">
            <v/>
          </cell>
          <cell r="BO1164" t="str">
            <v/>
          </cell>
        </row>
        <row r="1165">
          <cell r="A1165">
            <v>1</v>
          </cell>
          <cell r="B1165">
            <v>4470453</v>
          </cell>
          <cell r="C1165" t="str">
            <v>ENTRETIEN ET REPARATIONS</v>
          </cell>
          <cell r="D1165" t="str">
            <v>SACS - MACH #45</v>
          </cell>
          <cell r="E1165" t="str">
            <v>O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3</v>
          </cell>
          <cell r="AN1165" t="str">
            <v/>
          </cell>
          <cell r="AO1165">
            <v>0</v>
          </cell>
          <cell r="AP1165">
            <v>0</v>
          </cell>
          <cell r="AQ1165">
            <v>0</v>
          </cell>
          <cell r="AR1165">
            <v>720</v>
          </cell>
          <cell r="AS1165">
            <v>0</v>
          </cell>
          <cell r="AT1165" t="str">
            <v/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 t="str">
            <v/>
          </cell>
          <cell r="BK1165">
            <v>7000</v>
          </cell>
          <cell r="BL1165" t="str">
            <v>0</v>
          </cell>
          <cell r="BM1165" t="str">
            <v>1</v>
          </cell>
          <cell r="BN1165" t="str">
            <v/>
          </cell>
          <cell r="BO1165" t="str">
            <v/>
          </cell>
        </row>
        <row r="1166">
          <cell r="A1166">
            <v>1</v>
          </cell>
          <cell r="B1166">
            <v>4460273</v>
          </cell>
          <cell r="C1166" t="str">
            <v>MECANICIENS     ENTRETIEN</v>
          </cell>
          <cell r="D1166" t="str">
            <v>SACS - MACHINE 27</v>
          </cell>
          <cell r="E1166" t="str">
            <v>O</v>
          </cell>
          <cell r="F1166">
            <v>0</v>
          </cell>
          <cell r="G1166">
            <v>0</v>
          </cell>
          <cell r="H1166">
            <v>5646.8</v>
          </cell>
          <cell r="I1166">
            <v>6501.17</v>
          </cell>
          <cell r="J1166">
            <v>854.37</v>
          </cell>
          <cell r="K1166">
            <v>0</v>
          </cell>
          <cell r="L1166">
            <v>2986.93</v>
          </cell>
          <cell r="M1166">
            <v>406.34</v>
          </cell>
          <cell r="N1166">
            <v>871.76</v>
          </cell>
          <cell r="O1166">
            <v>1160.42</v>
          </cell>
          <cell r="P1166">
            <v>1876.75</v>
          </cell>
          <cell r="Q1166">
            <v>2407.77</v>
          </cell>
          <cell r="R1166">
            <v>3649.35</v>
          </cell>
          <cell r="S1166">
            <v>3996.19</v>
          </cell>
          <cell r="T1166">
            <v>3996.19</v>
          </cell>
          <cell r="U1166">
            <v>4197.5</v>
          </cell>
          <cell r="V1166">
            <v>5127.63</v>
          </cell>
          <cell r="W1166">
            <v>5240.46</v>
          </cell>
          <cell r="X1166">
            <v>5646.8</v>
          </cell>
          <cell r="Y1166">
            <v>8227.39</v>
          </cell>
          <cell r="Z1166">
            <v>1037.06</v>
          </cell>
          <cell r="AA1166">
            <v>1641.82</v>
          </cell>
          <cell r="AB1166">
            <v>1888.36</v>
          </cell>
          <cell r="AC1166">
            <v>1922.5</v>
          </cell>
          <cell r="AD1166">
            <v>4263.3100000000004</v>
          </cell>
          <cell r="AE1166">
            <v>4983.4799999999996</v>
          </cell>
          <cell r="AF1166">
            <v>5932.46</v>
          </cell>
          <cell r="AG1166">
            <v>6004.51</v>
          </cell>
          <cell r="AH1166">
            <v>6569.42</v>
          </cell>
          <cell r="AI1166">
            <v>6622.73</v>
          </cell>
          <cell r="AJ1166">
            <v>7241.57</v>
          </cell>
          <cell r="AK1166">
            <v>7383.91</v>
          </cell>
          <cell r="AL1166">
            <v>0</v>
          </cell>
          <cell r="AM1166">
            <v>3</v>
          </cell>
          <cell r="AN1166" t="str">
            <v/>
          </cell>
          <cell r="AO1166">
            <v>0</v>
          </cell>
          <cell r="AP1166">
            <v>0</v>
          </cell>
          <cell r="AQ1166">
            <v>0</v>
          </cell>
          <cell r="AR1166">
            <v>700</v>
          </cell>
          <cell r="AS1166">
            <v>0</v>
          </cell>
          <cell r="AT1166" t="str">
            <v/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 t="str">
            <v/>
          </cell>
          <cell r="BK1166">
            <v>7000</v>
          </cell>
          <cell r="BL1166" t="str">
            <v>0</v>
          </cell>
          <cell r="BM1166" t="str">
            <v>1</v>
          </cell>
          <cell r="BN1166" t="str">
            <v/>
          </cell>
          <cell r="BO1166" t="str">
            <v/>
          </cell>
        </row>
        <row r="1167">
          <cell r="A1167">
            <v>1</v>
          </cell>
          <cell r="B1167">
            <v>4410091</v>
          </cell>
          <cell r="C1167" t="str">
            <v>FORMATION</v>
          </cell>
          <cell r="D1167" t="str">
            <v>PULPER</v>
          </cell>
          <cell r="E1167" t="str">
            <v>O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1</v>
          </cell>
          <cell r="AN1167" t="str">
            <v/>
          </cell>
          <cell r="AO1167">
            <v>0</v>
          </cell>
          <cell r="AP1167">
            <v>0</v>
          </cell>
          <cell r="AQ1167">
            <v>0</v>
          </cell>
          <cell r="AR1167">
            <v>810</v>
          </cell>
          <cell r="AS1167">
            <v>0</v>
          </cell>
          <cell r="AT1167" t="str">
            <v/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 t="str">
            <v/>
          </cell>
          <cell r="BK1167">
            <v>7000</v>
          </cell>
          <cell r="BL1167" t="str">
            <v>0</v>
          </cell>
          <cell r="BM1167" t="str">
            <v>1</v>
          </cell>
          <cell r="BN1167" t="str">
            <v/>
          </cell>
          <cell r="BO1167" t="str">
            <v/>
          </cell>
        </row>
        <row r="1168">
          <cell r="A1168">
            <v>1</v>
          </cell>
          <cell r="B1168">
            <v>4243301</v>
          </cell>
          <cell r="C1168" t="str">
            <v>ENVIRONNEMENT</v>
          </cell>
          <cell r="D1168" t="str">
            <v>CHIMIQUES - DE AIREX 8059</v>
          </cell>
          <cell r="E1168" t="str">
            <v>O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1</v>
          </cell>
          <cell r="AN1168" t="str">
            <v/>
          </cell>
          <cell r="AO1168">
            <v>0</v>
          </cell>
          <cell r="AP1168">
            <v>0</v>
          </cell>
          <cell r="AQ1168">
            <v>0</v>
          </cell>
          <cell r="AR1168">
            <v>740</v>
          </cell>
          <cell r="AS1168">
            <v>0</v>
          </cell>
          <cell r="AT1168" t="str">
            <v/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 t="str">
            <v/>
          </cell>
          <cell r="BK1168">
            <v>6300</v>
          </cell>
          <cell r="BL1168" t="str">
            <v>0</v>
          </cell>
          <cell r="BM1168" t="str">
            <v>1</v>
          </cell>
          <cell r="BN1168" t="str">
            <v/>
          </cell>
          <cell r="BO1168" t="str">
            <v/>
          </cell>
        </row>
        <row r="1169">
          <cell r="A1169">
            <v>1</v>
          </cell>
          <cell r="B1169">
            <v>4470283</v>
          </cell>
          <cell r="C1169" t="str">
            <v>ENTRETIEN ET REPARATIONS</v>
          </cell>
          <cell r="D1169" t="str">
            <v>SACS - MACH #28</v>
          </cell>
          <cell r="E1169" t="str">
            <v>O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3</v>
          </cell>
          <cell r="AN1169" t="str">
            <v/>
          </cell>
          <cell r="AO1169">
            <v>0</v>
          </cell>
          <cell r="AP1169">
            <v>0</v>
          </cell>
          <cell r="AQ1169">
            <v>0</v>
          </cell>
          <cell r="AR1169">
            <v>720</v>
          </cell>
          <cell r="AS1169">
            <v>0</v>
          </cell>
          <cell r="AT1169" t="str">
            <v/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 t="str">
            <v/>
          </cell>
          <cell r="BK1169">
            <v>7000</v>
          </cell>
          <cell r="BL1169" t="str">
            <v>0</v>
          </cell>
          <cell r="BM1169" t="str">
            <v>1</v>
          </cell>
          <cell r="BN1169" t="str">
            <v/>
          </cell>
          <cell r="BO1169" t="str">
            <v/>
          </cell>
        </row>
        <row r="1170">
          <cell r="A1170">
            <v>1</v>
          </cell>
          <cell r="B1170">
            <v>4470323</v>
          </cell>
          <cell r="C1170" t="str">
            <v>ENTRETIEN ET REPARATIONS</v>
          </cell>
          <cell r="D1170" t="str">
            <v>SACS - MACH #32</v>
          </cell>
          <cell r="E1170" t="str">
            <v>O</v>
          </cell>
          <cell r="F1170">
            <v>0</v>
          </cell>
          <cell r="G1170">
            <v>0</v>
          </cell>
          <cell r="H1170">
            <v>1777.38</v>
          </cell>
          <cell r="I1170">
            <v>1782.31</v>
          </cell>
          <cell r="J1170">
            <v>4.93</v>
          </cell>
          <cell r="K1170">
            <v>0</v>
          </cell>
          <cell r="L1170">
            <v>187.41</v>
          </cell>
          <cell r="M1170">
            <v>124.94</v>
          </cell>
          <cell r="N1170">
            <v>120.55</v>
          </cell>
          <cell r="O1170">
            <v>120.55</v>
          </cell>
          <cell r="P1170">
            <v>120.55</v>
          </cell>
          <cell r="Q1170">
            <v>208.85</v>
          </cell>
          <cell r="R1170">
            <v>267.18</v>
          </cell>
          <cell r="S1170">
            <v>722.97</v>
          </cell>
          <cell r="T1170">
            <v>1227.79</v>
          </cell>
          <cell r="U1170">
            <v>1551.13</v>
          </cell>
          <cell r="V1170">
            <v>1551.13</v>
          </cell>
          <cell r="W1170">
            <v>1591.69</v>
          </cell>
          <cell r="X1170">
            <v>1777.38</v>
          </cell>
          <cell r="Y1170">
            <v>1839.85</v>
          </cell>
          <cell r="Z1170">
            <v>903.39</v>
          </cell>
          <cell r="AA1170">
            <v>983.99</v>
          </cell>
          <cell r="AB1170">
            <v>983.99</v>
          </cell>
          <cell r="AC1170">
            <v>1219.05</v>
          </cell>
          <cell r="AD1170">
            <v>1656.88</v>
          </cell>
          <cell r="AE1170">
            <v>2627.88</v>
          </cell>
          <cell r="AF1170">
            <v>2674.82</v>
          </cell>
          <cell r="AG1170">
            <v>3011.52</v>
          </cell>
          <cell r="AH1170">
            <v>3462.69</v>
          </cell>
          <cell r="AI1170">
            <v>3519.22</v>
          </cell>
          <cell r="AJ1170">
            <v>3612.71</v>
          </cell>
          <cell r="AK1170">
            <v>4102.7299999999996</v>
          </cell>
          <cell r="AL1170">
            <v>0</v>
          </cell>
          <cell r="AM1170">
            <v>3</v>
          </cell>
          <cell r="AN1170" t="str">
            <v/>
          </cell>
          <cell r="AO1170">
            <v>0</v>
          </cell>
          <cell r="AP1170">
            <v>0</v>
          </cell>
          <cell r="AQ1170">
            <v>0</v>
          </cell>
          <cell r="AR1170">
            <v>720</v>
          </cell>
          <cell r="AS1170">
            <v>0</v>
          </cell>
          <cell r="AT1170" t="str">
            <v/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 t="str">
            <v/>
          </cell>
          <cell r="BK1170">
            <v>7000</v>
          </cell>
          <cell r="BL1170" t="str">
            <v>0</v>
          </cell>
          <cell r="BM1170" t="str">
            <v>1</v>
          </cell>
          <cell r="BN1170" t="str">
            <v/>
          </cell>
          <cell r="BO1170" t="str">
            <v/>
          </cell>
        </row>
        <row r="1171">
          <cell r="A1171">
            <v>1</v>
          </cell>
          <cell r="B1171">
            <v>4470273</v>
          </cell>
          <cell r="C1171" t="str">
            <v>ENTRETIEN ET REPARATIONS</v>
          </cell>
          <cell r="D1171" t="str">
            <v>SACS - MACH #27</v>
          </cell>
          <cell r="E1171" t="str">
            <v>O</v>
          </cell>
          <cell r="F1171">
            <v>0</v>
          </cell>
          <cell r="G1171">
            <v>0</v>
          </cell>
          <cell r="H1171">
            <v>2809.65</v>
          </cell>
          <cell r="I1171">
            <v>3208.19</v>
          </cell>
          <cell r="J1171">
            <v>398.54</v>
          </cell>
          <cell r="K1171">
            <v>0</v>
          </cell>
          <cell r="L1171">
            <v>416.37</v>
          </cell>
          <cell r="M1171">
            <v>277.58</v>
          </cell>
          <cell r="N1171">
            <v>15.4</v>
          </cell>
          <cell r="O1171">
            <v>163.15</v>
          </cell>
          <cell r="P1171">
            <v>495.47</v>
          </cell>
          <cell r="Q1171">
            <v>920.02</v>
          </cell>
          <cell r="R1171">
            <v>1332.75</v>
          </cell>
          <cell r="S1171">
            <v>1361.75</v>
          </cell>
          <cell r="T1171">
            <v>1783.34</v>
          </cell>
          <cell r="U1171">
            <v>1956.22</v>
          </cell>
          <cell r="V1171">
            <v>2498.38</v>
          </cell>
          <cell r="W1171">
            <v>2568.48</v>
          </cell>
          <cell r="X1171">
            <v>2809.65</v>
          </cell>
          <cell r="Y1171">
            <v>2948.44</v>
          </cell>
          <cell r="Z1171">
            <v>453.7</v>
          </cell>
          <cell r="AA1171">
            <v>1843.7</v>
          </cell>
          <cell r="AB1171">
            <v>1849.88</v>
          </cell>
          <cell r="AC1171">
            <v>1919.92</v>
          </cell>
          <cell r="AD1171">
            <v>2178.19</v>
          </cell>
          <cell r="AE1171">
            <v>4937.33</v>
          </cell>
          <cell r="AF1171">
            <v>5017.37</v>
          </cell>
          <cell r="AG1171">
            <v>5289.37</v>
          </cell>
          <cell r="AH1171">
            <v>5467.46</v>
          </cell>
          <cell r="AI1171">
            <v>5814.76</v>
          </cell>
          <cell r="AJ1171">
            <v>6169.41</v>
          </cell>
          <cell r="AK1171">
            <v>6352.5</v>
          </cell>
          <cell r="AL1171">
            <v>0</v>
          </cell>
          <cell r="AM1171">
            <v>3</v>
          </cell>
          <cell r="AN1171" t="str">
            <v/>
          </cell>
          <cell r="AO1171">
            <v>0</v>
          </cell>
          <cell r="AP1171">
            <v>0</v>
          </cell>
          <cell r="AQ1171">
            <v>0</v>
          </cell>
          <cell r="AR1171">
            <v>720</v>
          </cell>
          <cell r="AS1171">
            <v>0</v>
          </cell>
          <cell r="AT1171" t="str">
            <v/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 t="str">
            <v/>
          </cell>
          <cell r="BK1171">
            <v>7000</v>
          </cell>
          <cell r="BL1171" t="str">
            <v>0</v>
          </cell>
          <cell r="BM1171" t="str">
            <v>1</v>
          </cell>
          <cell r="BN1171" t="str">
            <v/>
          </cell>
          <cell r="BO1171" t="str">
            <v/>
          </cell>
        </row>
        <row r="1172">
          <cell r="A1172">
            <v>1</v>
          </cell>
          <cell r="B1172">
            <v>4470353</v>
          </cell>
          <cell r="C1172" t="str">
            <v>ENTRETIEN ET REPARATIONS</v>
          </cell>
          <cell r="D1172" t="str">
            <v>SACS - MACH #35</v>
          </cell>
          <cell r="E1172" t="str">
            <v>O</v>
          </cell>
          <cell r="F1172">
            <v>0</v>
          </cell>
          <cell r="G1172">
            <v>0</v>
          </cell>
          <cell r="H1172">
            <v>964.08</v>
          </cell>
          <cell r="I1172">
            <v>964.08</v>
          </cell>
          <cell r="J1172">
            <v>0</v>
          </cell>
          <cell r="K1172">
            <v>0</v>
          </cell>
          <cell r="L1172">
            <v>55.5</v>
          </cell>
          <cell r="M1172">
            <v>37</v>
          </cell>
          <cell r="N1172">
            <v>25.73</v>
          </cell>
          <cell r="O1172">
            <v>25.73</v>
          </cell>
          <cell r="P1172">
            <v>25.73</v>
          </cell>
          <cell r="Q1172">
            <v>36.299999999999997</v>
          </cell>
          <cell r="R1172">
            <v>36.299999999999997</v>
          </cell>
          <cell r="S1172">
            <v>36.299999999999997</v>
          </cell>
          <cell r="T1172">
            <v>168.01</v>
          </cell>
          <cell r="U1172">
            <v>964.08</v>
          </cell>
          <cell r="V1172">
            <v>964.08</v>
          </cell>
          <cell r="W1172">
            <v>964.08</v>
          </cell>
          <cell r="X1172">
            <v>964.08</v>
          </cell>
          <cell r="Y1172">
            <v>982.58</v>
          </cell>
          <cell r="Z1172">
            <v>3.52</v>
          </cell>
          <cell r="AA1172">
            <v>3.52</v>
          </cell>
          <cell r="AB1172">
            <v>573.54</v>
          </cell>
          <cell r="AC1172">
            <v>573.54</v>
          </cell>
          <cell r="AD1172">
            <v>573.54</v>
          </cell>
          <cell r="AE1172">
            <v>573.54</v>
          </cell>
          <cell r="AF1172">
            <v>592.04</v>
          </cell>
          <cell r="AG1172">
            <v>592.04</v>
          </cell>
          <cell r="AH1172">
            <v>592.04</v>
          </cell>
          <cell r="AI1172">
            <v>592.04</v>
          </cell>
          <cell r="AJ1172">
            <v>604.02</v>
          </cell>
          <cell r="AK1172">
            <v>669.98</v>
          </cell>
          <cell r="AL1172">
            <v>0</v>
          </cell>
          <cell r="AM1172">
            <v>3</v>
          </cell>
          <cell r="AN1172" t="str">
            <v/>
          </cell>
          <cell r="AO1172">
            <v>0</v>
          </cell>
          <cell r="AP1172">
            <v>0</v>
          </cell>
          <cell r="AQ1172">
            <v>0</v>
          </cell>
          <cell r="AR1172">
            <v>720</v>
          </cell>
          <cell r="AS1172">
            <v>0</v>
          </cell>
          <cell r="AT1172" t="str">
            <v/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 t="str">
            <v/>
          </cell>
          <cell r="BK1172">
            <v>7000</v>
          </cell>
          <cell r="BL1172" t="str">
            <v>0</v>
          </cell>
          <cell r="BM1172" t="str">
            <v>1</v>
          </cell>
          <cell r="BN1172" t="str">
            <v/>
          </cell>
          <cell r="BO1172" t="str">
            <v/>
          </cell>
        </row>
        <row r="1173">
          <cell r="A1173">
            <v>2</v>
          </cell>
          <cell r="B1173">
            <v>4470433</v>
          </cell>
          <cell r="C1173" t="str">
            <v>ENTRETIEN ET REPARATIONS</v>
          </cell>
          <cell r="D1173" t="str">
            <v>SACS - MACH #43</v>
          </cell>
          <cell r="E1173" t="str">
            <v>O</v>
          </cell>
          <cell r="F1173">
            <v>0</v>
          </cell>
          <cell r="G1173">
            <v>0</v>
          </cell>
          <cell r="H1173">
            <v>0</v>
          </cell>
          <cell r="I1173">
            <v>3712.76</v>
          </cell>
          <cell r="J1173">
            <v>3712.76</v>
          </cell>
          <cell r="K1173">
            <v>0</v>
          </cell>
          <cell r="L1173">
            <v>0</v>
          </cell>
          <cell r="M1173">
            <v>0</v>
          </cell>
          <cell r="N1173">
            <v>3712.76</v>
          </cell>
          <cell r="O1173">
            <v>3712.76</v>
          </cell>
          <cell r="P1173">
            <v>3712.76</v>
          </cell>
          <cell r="Q1173">
            <v>3712.76</v>
          </cell>
          <cell r="R1173">
            <v>3712.76</v>
          </cell>
          <cell r="S1173">
            <v>3712.76</v>
          </cell>
          <cell r="T1173">
            <v>3712.76</v>
          </cell>
          <cell r="U1173">
            <v>3712.76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451.2</v>
          </cell>
          <cell r="AA1173">
            <v>470.79</v>
          </cell>
          <cell r="AB1173">
            <v>470.79</v>
          </cell>
          <cell r="AC1173">
            <v>470.79</v>
          </cell>
          <cell r="AD1173">
            <v>470.79</v>
          </cell>
          <cell r="AE1173">
            <v>470.79</v>
          </cell>
          <cell r="AF1173">
            <v>523.86</v>
          </cell>
          <cell r="AG1173">
            <v>523.86</v>
          </cell>
          <cell r="AH1173">
            <v>523.86</v>
          </cell>
          <cell r="AI1173">
            <v>3323.17</v>
          </cell>
          <cell r="AJ1173">
            <v>3323.17</v>
          </cell>
          <cell r="AK1173">
            <v>3323.17</v>
          </cell>
          <cell r="AL1173">
            <v>0</v>
          </cell>
          <cell r="AM1173">
            <v>3</v>
          </cell>
          <cell r="AN1173" t="str">
            <v/>
          </cell>
          <cell r="AO1173">
            <v>0</v>
          </cell>
          <cell r="AP1173">
            <v>0</v>
          </cell>
          <cell r="AQ1173">
            <v>0</v>
          </cell>
          <cell r="AR1173">
            <v>720</v>
          </cell>
          <cell r="AS1173">
            <v>0</v>
          </cell>
          <cell r="AT1173" t="str">
            <v/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 t="str">
            <v/>
          </cell>
          <cell r="BK1173">
            <v>7000</v>
          </cell>
          <cell r="BL1173" t="str">
            <v>0</v>
          </cell>
          <cell r="BM1173" t="str">
            <v>1</v>
          </cell>
          <cell r="BN1173" t="str">
            <v/>
          </cell>
          <cell r="BO1173" t="str">
            <v/>
          </cell>
        </row>
        <row r="1174">
          <cell r="A1174">
            <v>1</v>
          </cell>
          <cell r="B1174">
            <v>4470463</v>
          </cell>
          <cell r="C1174" t="str">
            <v>ENTRETIEN ET REPARATIONS</v>
          </cell>
          <cell r="D1174" t="str">
            <v>SACS - MACH #46</v>
          </cell>
          <cell r="E1174" t="str">
            <v>O</v>
          </cell>
          <cell r="F1174">
            <v>0</v>
          </cell>
          <cell r="G1174">
            <v>0</v>
          </cell>
          <cell r="H1174">
            <v>16453.5</v>
          </cell>
          <cell r="I1174">
            <v>18754.66</v>
          </cell>
          <cell r="J1174">
            <v>2301.16</v>
          </cell>
          <cell r="K1174">
            <v>0</v>
          </cell>
          <cell r="L1174">
            <v>342.54</v>
          </cell>
          <cell r="M1174">
            <v>228.36</v>
          </cell>
          <cell r="N1174">
            <v>4708.71</v>
          </cell>
          <cell r="O1174">
            <v>6910.07</v>
          </cell>
          <cell r="P1174">
            <v>9091.2199999999993</v>
          </cell>
          <cell r="Q1174">
            <v>10145.32</v>
          </cell>
          <cell r="R1174">
            <v>10939.94</v>
          </cell>
          <cell r="S1174">
            <v>11791.25</v>
          </cell>
          <cell r="T1174">
            <v>14224.61</v>
          </cell>
          <cell r="U1174">
            <v>14720.21</v>
          </cell>
          <cell r="V1174">
            <v>14748.36</v>
          </cell>
          <cell r="W1174">
            <v>14781.28</v>
          </cell>
          <cell r="X1174">
            <v>16453.5</v>
          </cell>
          <cell r="Y1174">
            <v>16567.68</v>
          </cell>
          <cell r="Z1174">
            <v>51.38</v>
          </cell>
          <cell r="AA1174">
            <v>697.1</v>
          </cell>
          <cell r="AB1174">
            <v>3503.01</v>
          </cell>
          <cell r="AC1174">
            <v>4204.04</v>
          </cell>
          <cell r="AD1174">
            <v>5189.29</v>
          </cell>
          <cell r="AE1174">
            <v>5210.49</v>
          </cell>
          <cell r="AF1174">
            <v>7116.6</v>
          </cell>
          <cell r="AG1174">
            <v>7167.77</v>
          </cell>
          <cell r="AH1174">
            <v>9887.57</v>
          </cell>
          <cell r="AI1174">
            <v>13124.52</v>
          </cell>
          <cell r="AJ1174">
            <v>16583</v>
          </cell>
          <cell r="AK1174">
            <v>17501.05</v>
          </cell>
          <cell r="AL1174">
            <v>0</v>
          </cell>
          <cell r="AM1174">
            <v>3</v>
          </cell>
          <cell r="AN1174" t="str">
            <v/>
          </cell>
          <cell r="AO1174">
            <v>0</v>
          </cell>
          <cell r="AP1174">
            <v>0</v>
          </cell>
          <cell r="AQ1174">
            <v>0</v>
          </cell>
          <cell r="AR1174">
            <v>720</v>
          </cell>
          <cell r="AS1174">
            <v>0</v>
          </cell>
          <cell r="AT1174" t="str">
            <v/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 t="str">
            <v/>
          </cell>
          <cell r="BK1174">
            <v>7000</v>
          </cell>
          <cell r="BL1174" t="str">
            <v>0</v>
          </cell>
          <cell r="BM1174" t="str">
            <v>1</v>
          </cell>
          <cell r="BN1174" t="str">
            <v/>
          </cell>
          <cell r="BO1174" t="str">
            <v/>
          </cell>
        </row>
        <row r="1175">
          <cell r="A1175">
            <v>1</v>
          </cell>
          <cell r="B1175">
            <v>4460343</v>
          </cell>
          <cell r="C1175" t="str">
            <v>MECANICIENS     ENTRETIEN</v>
          </cell>
          <cell r="D1175" t="str">
            <v>SACS - MACHINE 34</v>
          </cell>
          <cell r="E1175" t="str">
            <v>O</v>
          </cell>
          <cell r="F1175">
            <v>0</v>
          </cell>
          <cell r="G1175">
            <v>0</v>
          </cell>
          <cell r="H1175">
            <v>2371.42</v>
          </cell>
          <cell r="I1175">
            <v>2684.55</v>
          </cell>
          <cell r="J1175">
            <v>313.13</v>
          </cell>
          <cell r="K1175">
            <v>0</v>
          </cell>
          <cell r="L1175">
            <v>159.22</v>
          </cell>
          <cell r="M1175">
            <v>102.22</v>
          </cell>
          <cell r="N1175">
            <v>21.22</v>
          </cell>
          <cell r="O1175">
            <v>152.47999999999999</v>
          </cell>
          <cell r="P1175">
            <v>200.05</v>
          </cell>
          <cell r="Q1175">
            <v>273.26</v>
          </cell>
          <cell r="R1175">
            <v>278.5</v>
          </cell>
          <cell r="S1175">
            <v>278.5</v>
          </cell>
          <cell r="T1175">
            <v>278.5</v>
          </cell>
          <cell r="U1175">
            <v>835.94</v>
          </cell>
          <cell r="V1175">
            <v>1659.04</v>
          </cell>
          <cell r="W1175">
            <v>2269.1999999999998</v>
          </cell>
          <cell r="X1175">
            <v>2371.42</v>
          </cell>
          <cell r="Y1175">
            <v>2428.42</v>
          </cell>
          <cell r="Z1175">
            <v>382.43</v>
          </cell>
          <cell r="AA1175">
            <v>405.61</v>
          </cell>
          <cell r="AB1175">
            <v>425.5</v>
          </cell>
          <cell r="AC1175">
            <v>612.87</v>
          </cell>
          <cell r="AD1175">
            <v>634.96</v>
          </cell>
          <cell r="AE1175">
            <v>792.67</v>
          </cell>
          <cell r="AF1175">
            <v>936.81</v>
          </cell>
          <cell r="AG1175">
            <v>1067.74</v>
          </cell>
          <cell r="AH1175">
            <v>1118.94</v>
          </cell>
          <cell r="AI1175">
            <v>1125.8599999999999</v>
          </cell>
          <cell r="AJ1175">
            <v>1517.85</v>
          </cell>
          <cell r="AK1175">
            <v>1504.36</v>
          </cell>
          <cell r="AL1175">
            <v>0</v>
          </cell>
          <cell r="AM1175">
            <v>3</v>
          </cell>
          <cell r="AN1175" t="str">
            <v/>
          </cell>
          <cell r="AO1175">
            <v>0</v>
          </cell>
          <cell r="AP1175">
            <v>0</v>
          </cell>
          <cell r="AQ1175">
            <v>0</v>
          </cell>
          <cell r="AR1175">
            <v>700</v>
          </cell>
          <cell r="AS1175">
            <v>0</v>
          </cell>
          <cell r="AT1175" t="str">
            <v/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 t="str">
            <v/>
          </cell>
          <cell r="BK1175">
            <v>7000</v>
          </cell>
          <cell r="BL1175" t="str">
            <v>0</v>
          </cell>
          <cell r="BM1175" t="str">
            <v>1</v>
          </cell>
          <cell r="BN1175" t="str">
            <v/>
          </cell>
          <cell r="BO1175" t="str">
            <v/>
          </cell>
        </row>
        <row r="1176">
          <cell r="A1176">
            <v>1</v>
          </cell>
          <cell r="B1176">
            <v>4460353</v>
          </cell>
          <cell r="C1176" t="str">
            <v>MECANICIENS     ENTRETIEN</v>
          </cell>
          <cell r="D1176" t="str">
            <v>SACS - MACHINE 35</v>
          </cell>
          <cell r="E1176" t="str">
            <v>O</v>
          </cell>
          <cell r="F1176">
            <v>0</v>
          </cell>
          <cell r="G1176">
            <v>0</v>
          </cell>
          <cell r="H1176">
            <v>1986.5</v>
          </cell>
          <cell r="I1176">
            <v>2072.0300000000002</v>
          </cell>
          <cell r="J1176">
            <v>85.53</v>
          </cell>
          <cell r="K1176">
            <v>0</v>
          </cell>
          <cell r="L1176">
            <v>50.2</v>
          </cell>
          <cell r="M1176">
            <v>0</v>
          </cell>
          <cell r="N1176">
            <v>0</v>
          </cell>
          <cell r="O1176">
            <v>55.94</v>
          </cell>
          <cell r="P1176">
            <v>149.22</v>
          </cell>
          <cell r="Q1176">
            <v>158.15</v>
          </cell>
          <cell r="R1176">
            <v>187.39</v>
          </cell>
          <cell r="S1176">
            <v>280</v>
          </cell>
          <cell r="T1176">
            <v>1894.14</v>
          </cell>
          <cell r="U1176">
            <v>1969.58</v>
          </cell>
          <cell r="V1176">
            <v>1986.36</v>
          </cell>
          <cell r="W1176">
            <v>1986.5</v>
          </cell>
          <cell r="X1176">
            <v>1986.5</v>
          </cell>
          <cell r="Y1176">
            <v>2036.7</v>
          </cell>
          <cell r="Z1176">
            <v>138.22</v>
          </cell>
          <cell r="AA1176">
            <v>146.6</v>
          </cell>
          <cell r="AB1176">
            <v>652.67999999999995</v>
          </cell>
          <cell r="AC1176">
            <v>737.03</v>
          </cell>
          <cell r="AD1176">
            <v>737.03</v>
          </cell>
          <cell r="AE1176">
            <v>763.26</v>
          </cell>
          <cell r="AF1176">
            <v>763.89</v>
          </cell>
          <cell r="AG1176">
            <v>762.63</v>
          </cell>
          <cell r="AH1176">
            <v>762.63</v>
          </cell>
          <cell r="AI1176">
            <v>1078.49</v>
          </cell>
          <cell r="AJ1176">
            <v>1150.56</v>
          </cell>
          <cell r="AK1176">
            <v>1148.73</v>
          </cell>
          <cell r="AL1176">
            <v>0</v>
          </cell>
          <cell r="AM1176">
            <v>3</v>
          </cell>
          <cell r="AN1176" t="str">
            <v/>
          </cell>
          <cell r="AO1176">
            <v>0</v>
          </cell>
          <cell r="AP1176">
            <v>0</v>
          </cell>
          <cell r="AQ1176">
            <v>0</v>
          </cell>
          <cell r="AR1176">
            <v>700</v>
          </cell>
          <cell r="AS1176">
            <v>0</v>
          </cell>
          <cell r="AT1176" t="str">
            <v/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 t="str">
            <v/>
          </cell>
          <cell r="BK1176">
            <v>7000</v>
          </cell>
          <cell r="BL1176" t="str">
            <v>0</v>
          </cell>
          <cell r="BM1176" t="str">
            <v>1</v>
          </cell>
          <cell r="BN1176" t="str">
            <v/>
          </cell>
          <cell r="BO1176" t="str">
            <v/>
          </cell>
        </row>
        <row r="1177">
          <cell r="A1177">
            <v>1</v>
          </cell>
          <cell r="B1177">
            <v>4410142</v>
          </cell>
          <cell r="C1177" t="str">
            <v>FORMATION</v>
          </cell>
          <cell r="D1177" t="str">
            <v>MACH #14</v>
          </cell>
          <cell r="E1177" t="str">
            <v>O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2</v>
          </cell>
          <cell r="AN1177" t="str">
            <v/>
          </cell>
          <cell r="AO1177">
            <v>0</v>
          </cell>
          <cell r="AP1177">
            <v>0</v>
          </cell>
          <cell r="AQ1177">
            <v>0</v>
          </cell>
          <cell r="AR1177">
            <v>810</v>
          </cell>
          <cell r="AS1177">
            <v>0</v>
          </cell>
          <cell r="AT1177" t="str">
            <v/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 t="str">
            <v/>
          </cell>
          <cell r="BK1177">
            <v>7000</v>
          </cell>
          <cell r="BL1177" t="str">
            <v>0</v>
          </cell>
          <cell r="BM1177" t="str">
            <v>1</v>
          </cell>
          <cell r="BN1177" t="str">
            <v/>
          </cell>
          <cell r="BO1177" t="str">
            <v/>
          </cell>
        </row>
        <row r="1178">
          <cell r="A1178">
            <v>1</v>
          </cell>
          <cell r="B1178">
            <v>4410222</v>
          </cell>
          <cell r="C1178" t="str">
            <v>FORMATION</v>
          </cell>
          <cell r="D1178" t="str">
            <v>MACH #22</v>
          </cell>
          <cell r="E1178" t="str">
            <v>O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2</v>
          </cell>
          <cell r="AN1178" t="str">
            <v/>
          </cell>
          <cell r="AO1178">
            <v>0</v>
          </cell>
          <cell r="AP1178">
            <v>0</v>
          </cell>
          <cell r="AQ1178">
            <v>0</v>
          </cell>
          <cell r="AR1178">
            <v>810</v>
          </cell>
          <cell r="AS1178">
            <v>0</v>
          </cell>
          <cell r="AT1178" t="str">
            <v/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 t="str">
            <v/>
          </cell>
          <cell r="BK1178">
            <v>7000</v>
          </cell>
          <cell r="BL1178" t="str">
            <v>0</v>
          </cell>
          <cell r="BM1178" t="str">
            <v>1</v>
          </cell>
          <cell r="BN1178" t="str">
            <v/>
          </cell>
          <cell r="BO1178" t="str">
            <v/>
          </cell>
        </row>
        <row r="1179">
          <cell r="A1179">
            <v>1</v>
          </cell>
          <cell r="B1179">
            <v>4410303</v>
          </cell>
          <cell r="C1179" t="str">
            <v>FORMATION</v>
          </cell>
          <cell r="D1179" t="str">
            <v>MACH #30</v>
          </cell>
          <cell r="E1179" t="str">
            <v>O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3</v>
          </cell>
          <cell r="AN1179" t="str">
            <v/>
          </cell>
          <cell r="AO1179">
            <v>0</v>
          </cell>
          <cell r="AP1179">
            <v>0</v>
          </cell>
          <cell r="AQ1179">
            <v>0</v>
          </cell>
          <cell r="AR1179">
            <v>810</v>
          </cell>
          <cell r="AS1179">
            <v>0</v>
          </cell>
          <cell r="AT1179" t="str">
            <v/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 t="str">
            <v/>
          </cell>
          <cell r="BK1179">
            <v>7000</v>
          </cell>
          <cell r="BL1179" t="str">
            <v>0</v>
          </cell>
          <cell r="BM1179" t="str">
            <v>1</v>
          </cell>
          <cell r="BN1179" t="str">
            <v/>
          </cell>
          <cell r="BO1179" t="str">
            <v/>
          </cell>
        </row>
        <row r="1180">
          <cell r="A1180">
            <v>1</v>
          </cell>
          <cell r="B1180">
            <v>4411001</v>
          </cell>
          <cell r="C1180" t="str">
            <v>FORMATION</v>
          </cell>
          <cell r="D1180" t="str">
            <v>MOD - DEPT. MC PAPIER</v>
          </cell>
          <cell r="E1180" t="str">
            <v>O</v>
          </cell>
          <cell r="F1180">
            <v>0</v>
          </cell>
          <cell r="G1180">
            <v>0</v>
          </cell>
          <cell r="H1180">
            <v>53955.33</v>
          </cell>
          <cell r="I1180">
            <v>58751.59</v>
          </cell>
          <cell r="J1180">
            <v>4796.26</v>
          </cell>
          <cell r="K1180">
            <v>0</v>
          </cell>
          <cell r="L1180">
            <v>8263.7900000000009</v>
          </cell>
          <cell r="M1180">
            <v>4796.26</v>
          </cell>
          <cell r="N1180">
            <v>557.29</v>
          </cell>
          <cell r="O1180">
            <v>9893.92</v>
          </cell>
          <cell r="P1180">
            <v>30429.54</v>
          </cell>
          <cell r="Q1180">
            <v>31361.03</v>
          </cell>
          <cell r="R1180">
            <v>33703.660000000003</v>
          </cell>
          <cell r="S1180">
            <v>36043.839999999997</v>
          </cell>
          <cell r="T1180">
            <v>36043.839999999997</v>
          </cell>
          <cell r="U1180">
            <v>37379.760000000002</v>
          </cell>
          <cell r="V1180">
            <v>44227.51</v>
          </cell>
          <cell r="W1180">
            <v>49159.07</v>
          </cell>
          <cell r="X1180">
            <v>53955.33</v>
          </cell>
          <cell r="Y1180">
            <v>57422.86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500.61</v>
          </cell>
          <cell r="AE1180">
            <v>2128.88</v>
          </cell>
          <cell r="AF1180">
            <v>5192.49</v>
          </cell>
          <cell r="AG1180">
            <v>5759.44</v>
          </cell>
          <cell r="AH1180">
            <v>7796.87</v>
          </cell>
          <cell r="AI1180">
            <v>10310.4</v>
          </cell>
          <cell r="AJ1180">
            <v>18778.849999999999</v>
          </cell>
          <cell r="AK1180">
            <v>22028.44</v>
          </cell>
          <cell r="AL1180">
            <v>0</v>
          </cell>
          <cell r="AM1180">
            <v>1</v>
          </cell>
          <cell r="AN1180" t="str">
            <v/>
          </cell>
          <cell r="AO1180">
            <v>0</v>
          </cell>
          <cell r="AP1180">
            <v>0</v>
          </cell>
          <cell r="AQ1180">
            <v>0</v>
          </cell>
          <cell r="AR1180">
            <v>810</v>
          </cell>
          <cell r="AS1180">
            <v>0</v>
          </cell>
          <cell r="AT1180" t="str">
            <v/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 t="str">
            <v/>
          </cell>
          <cell r="BK1180">
            <v>7000</v>
          </cell>
          <cell r="BL1180" t="str">
            <v>0</v>
          </cell>
          <cell r="BM1180" t="str">
            <v>1</v>
          </cell>
          <cell r="BN1180" t="str">
            <v/>
          </cell>
          <cell r="BO1180" t="str">
            <v/>
          </cell>
        </row>
        <row r="1181">
          <cell r="A1181">
            <v>1</v>
          </cell>
          <cell r="B1181">
            <v>4411002</v>
          </cell>
          <cell r="C1181" t="str">
            <v>FORMATION</v>
          </cell>
          <cell r="D1181" t="str">
            <v>MOD - DEPT. SERVIETTE</v>
          </cell>
          <cell r="E1181" t="str">
            <v>O</v>
          </cell>
          <cell r="F1181">
            <v>0</v>
          </cell>
          <cell r="G1181">
            <v>0</v>
          </cell>
          <cell r="H1181">
            <v>9508.5499999999993</v>
          </cell>
          <cell r="I1181">
            <v>9508.5499999999993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952.65</v>
          </cell>
          <cell r="O1181">
            <v>3970.23</v>
          </cell>
          <cell r="P1181">
            <v>6869.49</v>
          </cell>
          <cell r="Q1181">
            <v>6869.49</v>
          </cell>
          <cell r="R1181">
            <v>8722.2099999999991</v>
          </cell>
          <cell r="S1181">
            <v>9508.5499999999993</v>
          </cell>
          <cell r="T1181">
            <v>9508.5499999999993</v>
          </cell>
          <cell r="U1181">
            <v>9508.5499999999993</v>
          </cell>
          <cell r="V1181">
            <v>9508.5499999999993</v>
          </cell>
          <cell r="W1181">
            <v>9508.5499999999993</v>
          </cell>
          <cell r="X1181">
            <v>9508.5499999999993</v>
          </cell>
          <cell r="Y1181">
            <v>9508.5499999999993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1616.82</v>
          </cell>
          <cell r="AE1181">
            <v>4468.5200000000004</v>
          </cell>
          <cell r="AF1181">
            <v>7017.03</v>
          </cell>
          <cell r="AG1181">
            <v>7171.49</v>
          </cell>
          <cell r="AH1181">
            <v>7459.44</v>
          </cell>
          <cell r="AI1181">
            <v>7431.57</v>
          </cell>
          <cell r="AJ1181">
            <v>8690.26</v>
          </cell>
          <cell r="AK1181">
            <v>9539.0499999999993</v>
          </cell>
          <cell r="AL1181">
            <v>0</v>
          </cell>
          <cell r="AM1181">
            <v>2</v>
          </cell>
          <cell r="AN1181" t="str">
            <v/>
          </cell>
          <cell r="AO1181">
            <v>0</v>
          </cell>
          <cell r="AP1181">
            <v>0</v>
          </cell>
          <cell r="AQ1181">
            <v>0</v>
          </cell>
          <cell r="AR1181">
            <v>810</v>
          </cell>
          <cell r="AS1181">
            <v>0</v>
          </cell>
          <cell r="AT1181" t="str">
            <v/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 t="str">
            <v/>
          </cell>
          <cell r="BK1181">
            <v>7000</v>
          </cell>
          <cell r="BL1181" t="str">
            <v>0</v>
          </cell>
          <cell r="BM1181" t="str">
            <v>1</v>
          </cell>
          <cell r="BN1181" t="str">
            <v/>
          </cell>
          <cell r="BO1181" t="str">
            <v/>
          </cell>
        </row>
        <row r="1182">
          <cell r="A1182">
            <v>1</v>
          </cell>
          <cell r="B1182">
            <v>4411003</v>
          </cell>
          <cell r="C1182" t="str">
            <v>FORMATION</v>
          </cell>
          <cell r="D1182" t="str">
            <v>MOD - DEPT. SACS</v>
          </cell>
          <cell r="E1182" t="str">
            <v>O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3</v>
          </cell>
          <cell r="AN1182" t="str">
            <v/>
          </cell>
          <cell r="AO1182">
            <v>0</v>
          </cell>
          <cell r="AP1182">
            <v>0</v>
          </cell>
          <cell r="AQ1182">
            <v>0</v>
          </cell>
          <cell r="AR1182">
            <v>810</v>
          </cell>
          <cell r="AS1182">
            <v>0</v>
          </cell>
          <cell r="AT1182" t="str">
            <v/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 t="str">
            <v/>
          </cell>
          <cell r="BK1182">
            <v>7000</v>
          </cell>
          <cell r="BL1182" t="str">
            <v>0</v>
          </cell>
          <cell r="BM1182" t="str">
            <v>1</v>
          </cell>
          <cell r="BN1182" t="str">
            <v/>
          </cell>
          <cell r="BO1182" t="str">
            <v/>
          </cell>
        </row>
        <row r="1183">
          <cell r="A1183">
            <v>1</v>
          </cell>
          <cell r="B1183">
            <v>4470011</v>
          </cell>
          <cell r="C1183" t="str">
            <v>ENTRETIEN ET REPARATIONS</v>
          </cell>
          <cell r="D1183" t="str">
            <v>PIECES ELECTRIQUES</v>
          </cell>
          <cell r="E1183" t="str">
            <v>O</v>
          </cell>
          <cell r="F1183">
            <v>0</v>
          </cell>
          <cell r="G1183">
            <v>0</v>
          </cell>
          <cell r="H1183">
            <v>6387.93</v>
          </cell>
          <cell r="I1183">
            <v>7956.93</v>
          </cell>
          <cell r="J1183">
            <v>1569</v>
          </cell>
          <cell r="K1183">
            <v>0</v>
          </cell>
          <cell r="L1183">
            <v>598.24</v>
          </cell>
          <cell r="M1183">
            <v>0</v>
          </cell>
          <cell r="N1183">
            <v>1773.55</v>
          </cell>
          <cell r="O1183">
            <v>2935.07</v>
          </cell>
          <cell r="P1183">
            <v>3586.51</v>
          </cell>
          <cell r="Q1183">
            <v>4037.6</v>
          </cell>
          <cell r="R1183">
            <v>4264.55</v>
          </cell>
          <cell r="S1183">
            <v>5307.55</v>
          </cell>
          <cell r="T1183">
            <v>5699.05</v>
          </cell>
          <cell r="U1183">
            <v>5900.74</v>
          </cell>
          <cell r="V1183">
            <v>6129.27</v>
          </cell>
          <cell r="W1183">
            <v>6315.25</v>
          </cell>
          <cell r="X1183">
            <v>6387.93</v>
          </cell>
          <cell r="Y1183">
            <v>6986.17</v>
          </cell>
          <cell r="Z1183">
            <v>12745.32</v>
          </cell>
          <cell r="AA1183">
            <v>17845.240000000002</v>
          </cell>
          <cell r="AB1183">
            <v>21143.88</v>
          </cell>
          <cell r="AC1183">
            <v>22156.16</v>
          </cell>
          <cell r="AD1183">
            <v>26350.13</v>
          </cell>
          <cell r="AE1183">
            <v>24872.14</v>
          </cell>
          <cell r="AF1183">
            <v>24974.3</v>
          </cell>
          <cell r="AG1183">
            <v>26689.26</v>
          </cell>
          <cell r="AH1183">
            <v>27062.6</v>
          </cell>
          <cell r="AI1183">
            <v>29717.279999999999</v>
          </cell>
          <cell r="AJ1183">
            <v>30364.26</v>
          </cell>
          <cell r="AK1183">
            <v>31502.639999999999</v>
          </cell>
          <cell r="AL1183">
            <v>0</v>
          </cell>
          <cell r="AM1183">
            <v>1</v>
          </cell>
          <cell r="AN1183" t="str">
            <v/>
          </cell>
          <cell r="AO1183">
            <v>0</v>
          </cell>
          <cell r="AP1183">
            <v>0</v>
          </cell>
          <cell r="AQ1183">
            <v>0</v>
          </cell>
          <cell r="AR1183">
            <v>720</v>
          </cell>
          <cell r="AS1183">
            <v>0</v>
          </cell>
          <cell r="AT1183" t="str">
            <v/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 t="str">
            <v/>
          </cell>
          <cell r="BK1183">
            <v>7000</v>
          </cell>
          <cell r="BL1183" t="str">
            <v>0</v>
          </cell>
          <cell r="BM1183" t="str">
            <v>1</v>
          </cell>
          <cell r="BN1183" t="str">
            <v/>
          </cell>
          <cell r="BO1183" t="str">
            <v/>
          </cell>
        </row>
        <row r="1184">
          <cell r="A1184">
            <v>1</v>
          </cell>
          <cell r="B1184">
            <v>4470031</v>
          </cell>
          <cell r="C1184" t="str">
            <v>ENTRETIEN ET REPARATIONS</v>
          </cell>
          <cell r="D1184" t="str">
            <v>MESEUREX</v>
          </cell>
          <cell r="E1184" t="str">
            <v>O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1</v>
          </cell>
          <cell r="AN1184" t="str">
            <v/>
          </cell>
          <cell r="AO1184">
            <v>0</v>
          </cell>
          <cell r="AP1184">
            <v>0</v>
          </cell>
          <cell r="AQ1184">
            <v>0</v>
          </cell>
          <cell r="AR1184">
            <v>720</v>
          </cell>
          <cell r="AS1184">
            <v>0</v>
          </cell>
          <cell r="AT1184" t="str">
            <v/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 t="str">
            <v/>
          </cell>
          <cell r="BK1184">
            <v>7000</v>
          </cell>
          <cell r="BL1184" t="str">
            <v>0</v>
          </cell>
          <cell r="BM1184" t="str">
            <v>1</v>
          </cell>
          <cell r="BN1184" t="str">
            <v/>
          </cell>
          <cell r="BO1184" t="str">
            <v/>
          </cell>
        </row>
        <row r="1185">
          <cell r="A1185">
            <v>1</v>
          </cell>
          <cell r="B1185">
            <v>5008001</v>
          </cell>
          <cell r="C1185" t="str">
            <v>SALAIRE ADM</v>
          </cell>
          <cell r="D1185" t="str">
            <v>RÉCOMPENSE</v>
          </cell>
          <cell r="E1185" t="str">
            <v>O</v>
          </cell>
          <cell r="F1185">
            <v>0</v>
          </cell>
          <cell r="G1185">
            <v>0</v>
          </cell>
          <cell r="H1185">
            <v>4760.67</v>
          </cell>
          <cell r="I1185">
            <v>36008.67</v>
          </cell>
          <cell r="J1185">
            <v>31248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1370.47</v>
          </cell>
          <cell r="P1185">
            <v>1370.47</v>
          </cell>
          <cell r="Q1185">
            <v>11370.47</v>
          </cell>
          <cell r="R1185">
            <v>21387.07</v>
          </cell>
          <cell r="S1185">
            <v>1387.07</v>
          </cell>
          <cell r="T1185">
            <v>1387.07</v>
          </cell>
          <cell r="U1185">
            <v>3330.67</v>
          </cell>
          <cell r="V1185">
            <v>5358.67</v>
          </cell>
          <cell r="W1185">
            <v>4760.67</v>
          </cell>
          <cell r="X1185">
            <v>4760.67</v>
          </cell>
          <cell r="Y1185">
            <v>4760.67</v>
          </cell>
          <cell r="Z1185">
            <v>630.20000000000005</v>
          </cell>
          <cell r="AA1185">
            <v>630.20000000000005</v>
          </cell>
          <cell r="AB1185">
            <v>630.20000000000005</v>
          </cell>
          <cell r="AC1185">
            <v>630.20000000000005</v>
          </cell>
          <cell r="AD1185">
            <v>630.20000000000005</v>
          </cell>
          <cell r="AE1185">
            <v>3689.75</v>
          </cell>
          <cell r="AF1185">
            <v>4250.1499999999996</v>
          </cell>
          <cell r="AG1185">
            <v>9127.57</v>
          </cell>
          <cell r="AH1185">
            <v>9853.7800000000007</v>
          </cell>
          <cell r="AI1185">
            <v>10974.61</v>
          </cell>
          <cell r="AJ1185">
            <v>10724.61</v>
          </cell>
          <cell r="AK1185">
            <v>14328.36</v>
          </cell>
          <cell r="AL1185">
            <v>0</v>
          </cell>
          <cell r="AM1185">
            <v>1</v>
          </cell>
          <cell r="AN1185" t="str">
            <v/>
          </cell>
          <cell r="AO1185">
            <v>0</v>
          </cell>
          <cell r="AP1185">
            <v>0</v>
          </cell>
          <cell r="AQ1185">
            <v>0</v>
          </cell>
          <cell r="AR1185">
            <v>810</v>
          </cell>
          <cell r="AS1185">
            <v>0</v>
          </cell>
          <cell r="AT1185" t="str">
            <v/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 t="str">
            <v/>
          </cell>
          <cell r="BK1185">
            <v>7200</v>
          </cell>
          <cell r="BL1185" t="str">
            <v>0</v>
          </cell>
          <cell r="BM1185" t="str">
            <v>1</v>
          </cell>
          <cell r="BN1185" t="str">
            <v/>
          </cell>
          <cell r="BO1185" t="str">
            <v/>
          </cell>
        </row>
        <row r="1186">
          <cell r="A1186">
            <v>1</v>
          </cell>
          <cell r="B1186">
            <v>4619991</v>
          </cell>
          <cell r="C1186" t="str">
            <v>TAXES MAP</v>
          </cell>
          <cell r="D1186" t="str">
            <v>TAXES MAP</v>
          </cell>
          <cell r="E1186" t="str">
            <v>O</v>
          </cell>
          <cell r="F1186">
            <v>0</v>
          </cell>
          <cell r="G1186">
            <v>0</v>
          </cell>
          <cell r="H1186">
            <v>-123507</v>
          </cell>
          <cell r="I1186">
            <v>11588</v>
          </cell>
          <cell r="J1186">
            <v>135095</v>
          </cell>
          <cell r="K1186">
            <v>0</v>
          </cell>
          <cell r="L1186">
            <v>0</v>
          </cell>
          <cell r="M1186">
            <v>11133</v>
          </cell>
          <cell r="N1186">
            <v>-11302</v>
          </cell>
          <cell r="O1186">
            <v>-22604</v>
          </cell>
          <cell r="P1186">
            <v>-34763</v>
          </cell>
          <cell r="Q1186">
            <v>-46351</v>
          </cell>
          <cell r="R1186">
            <v>-57653</v>
          </cell>
          <cell r="S1186">
            <v>-68153</v>
          </cell>
          <cell r="T1186">
            <v>-78653</v>
          </cell>
          <cell r="U1186">
            <v>-89153</v>
          </cell>
          <cell r="V1186">
            <v>-101239</v>
          </cell>
          <cell r="W1186">
            <v>-112373</v>
          </cell>
          <cell r="X1186">
            <v>-123507</v>
          </cell>
          <cell r="Y1186">
            <v>-134640</v>
          </cell>
          <cell r="Z1186">
            <v>-15358.55</v>
          </cell>
          <cell r="AA1186">
            <v>-30756.94</v>
          </cell>
          <cell r="AB1186">
            <v>-46155.33</v>
          </cell>
          <cell r="AC1186">
            <v>-61553.72</v>
          </cell>
          <cell r="AD1186">
            <v>-76952.11</v>
          </cell>
          <cell r="AE1186">
            <v>-92350.5</v>
          </cell>
          <cell r="AF1186">
            <v>-102272.1</v>
          </cell>
          <cell r="AG1186">
            <v>-122124.35</v>
          </cell>
          <cell r="AH1186">
            <v>-141954.03</v>
          </cell>
          <cell r="AI1186">
            <v>-157568.03</v>
          </cell>
          <cell r="AJ1186">
            <v>-173182.03</v>
          </cell>
          <cell r="AK1186">
            <v>-169817.03</v>
          </cell>
          <cell r="AL1186">
            <v>0</v>
          </cell>
          <cell r="AM1186">
            <v>1</v>
          </cell>
          <cell r="AN1186" t="str">
            <v/>
          </cell>
          <cell r="AO1186">
            <v>0</v>
          </cell>
          <cell r="AP1186">
            <v>0</v>
          </cell>
          <cell r="AQ1186">
            <v>0</v>
          </cell>
          <cell r="AR1186">
            <v>760</v>
          </cell>
          <cell r="AS1186">
            <v>0</v>
          </cell>
          <cell r="AT1186" t="str">
            <v/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 t="str">
            <v/>
          </cell>
          <cell r="BK1186">
            <v>7000</v>
          </cell>
          <cell r="BL1186" t="str">
            <v>0</v>
          </cell>
          <cell r="BM1186" t="str">
            <v>1</v>
          </cell>
          <cell r="BN1186" t="str">
            <v/>
          </cell>
          <cell r="BO1186" t="str">
            <v/>
          </cell>
        </row>
        <row r="1187">
          <cell r="A1187">
            <v>1</v>
          </cell>
          <cell r="B1187">
            <v>5029991</v>
          </cell>
          <cell r="C1187" t="str">
            <v>DIVERS</v>
          </cell>
          <cell r="D1187" t="str">
            <v>DIVERS</v>
          </cell>
          <cell r="E1187" t="str">
            <v>O</v>
          </cell>
          <cell r="F1187">
            <v>0</v>
          </cell>
          <cell r="G1187">
            <v>0</v>
          </cell>
          <cell r="H1187">
            <v>-68322</v>
          </cell>
          <cell r="I1187">
            <v>15458</v>
          </cell>
          <cell r="J1187">
            <v>83780</v>
          </cell>
          <cell r="K1187">
            <v>0</v>
          </cell>
          <cell r="L1187">
            <v>0</v>
          </cell>
          <cell r="M1187">
            <v>6137</v>
          </cell>
          <cell r="N1187">
            <v>-6697</v>
          </cell>
          <cell r="O1187">
            <v>-12303</v>
          </cell>
          <cell r="P1187">
            <v>-19966</v>
          </cell>
          <cell r="Q1187">
            <v>-35424</v>
          </cell>
          <cell r="R1187">
            <v>-30401</v>
          </cell>
          <cell r="S1187">
            <v>-36843</v>
          </cell>
          <cell r="T1187">
            <v>-40513</v>
          </cell>
          <cell r="U1187">
            <v>-44786</v>
          </cell>
          <cell r="V1187">
            <v>-53516</v>
          </cell>
          <cell r="W1187">
            <v>-62516</v>
          </cell>
          <cell r="X1187">
            <v>-68322</v>
          </cell>
          <cell r="Y1187">
            <v>-74459</v>
          </cell>
          <cell r="Z1187">
            <v>-6988.88</v>
          </cell>
          <cell r="AA1187">
            <v>-16686.16</v>
          </cell>
          <cell r="AB1187">
            <v>-33079.78</v>
          </cell>
          <cell r="AC1187">
            <v>-38400.18</v>
          </cell>
          <cell r="AD1187">
            <v>-45802.69</v>
          </cell>
          <cell r="AE1187">
            <v>-59500.4</v>
          </cell>
          <cell r="AF1187">
            <v>-65947.240000000005</v>
          </cell>
          <cell r="AG1187">
            <v>-73615.19</v>
          </cell>
          <cell r="AH1187">
            <v>-88620.26</v>
          </cell>
          <cell r="AI1187">
            <v>-94307.26</v>
          </cell>
          <cell r="AJ1187">
            <v>-100244.26</v>
          </cell>
          <cell r="AK1187">
            <v>-108711.26</v>
          </cell>
          <cell r="AL1187">
            <v>0</v>
          </cell>
          <cell r="AM1187">
            <v>1</v>
          </cell>
          <cell r="AN1187" t="str">
            <v/>
          </cell>
          <cell r="AO1187">
            <v>0</v>
          </cell>
          <cell r="AP1187">
            <v>0</v>
          </cell>
          <cell r="AQ1187">
            <v>0</v>
          </cell>
          <cell r="AR1187">
            <v>810</v>
          </cell>
          <cell r="AS1187">
            <v>0</v>
          </cell>
          <cell r="AT1187" t="str">
            <v/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 t="str">
            <v/>
          </cell>
          <cell r="BK1187">
            <v>7200</v>
          </cell>
          <cell r="BL1187" t="str">
            <v>0</v>
          </cell>
          <cell r="BM1187" t="str">
            <v>1</v>
          </cell>
          <cell r="BN1187" t="str">
            <v/>
          </cell>
          <cell r="BO1187" t="str">
            <v/>
          </cell>
        </row>
        <row r="1188">
          <cell r="A1188">
            <v>1</v>
          </cell>
          <cell r="B1188">
            <v>4301043</v>
          </cell>
          <cell r="C1188" t="str">
            <v>FOURNITURES DE PROD.</v>
          </cell>
          <cell r="D1188" t="str">
            <v>ENCRES</v>
          </cell>
          <cell r="E1188" t="str">
            <v>O</v>
          </cell>
          <cell r="F1188">
            <v>0</v>
          </cell>
          <cell r="G1188">
            <v>0</v>
          </cell>
          <cell r="H1188">
            <v>209083.84</v>
          </cell>
          <cell r="I1188">
            <v>475993.39</v>
          </cell>
          <cell r="J1188">
            <v>266909.55</v>
          </cell>
          <cell r="K1188">
            <v>0</v>
          </cell>
          <cell r="L1188">
            <v>36882.49</v>
          </cell>
          <cell r="M1188">
            <v>17012.189999999999</v>
          </cell>
          <cell r="N1188">
            <v>25527.64</v>
          </cell>
          <cell r="O1188">
            <v>37406.17</v>
          </cell>
          <cell r="P1188">
            <v>52219.44</v>
          </cell>
          <cell r="Q1188">
            <v>66494.649999999994</v>
          </cell>
          <cell r="R1188">
            <v>88573.24</v>
          </cell>
          <cell r="S1188">
            <v>102732.82</v>
          </cell>
          <cell r="T1188">
            <v>121492.02</v>
          </cell>
          <cell r="U1188">
            <v>139816.5</v>
          </cell>
          <cell r="V1188">
            <v>158121.74</v>
          </cell>
          <cell r="W1188">
            <v>165731.09</v>
          </cell>
          <cell r="X1188">
            <v>209083.84</v>
          </cell>
          <cell r="Y1188">
            <v>228954.14</v>
          </cell>
          <cell r="Z1188">
            <v>27886</v>
          </cell>
          <cell r="AA1188">
            <v>43164.35</v>
          </cell>
          <cell r="AB1188">
            <v>64321.599999999999</v>
          </cell>
          <cell r="AC1188">
            <v>76218.78</v>
          </cell>
          <cell r="AD1188">
            <v>90708.38</v>
          </cell>
          <cell r="AE1188">
            <v>116694.01</v>
          </cell>
          <cell r="AF1188">
            <v>150369.35999999999</v>
          </cell>
          <cell r="AG1188">
            <v>171343.71</v>
          </cell>
          <cell r="AH1188">
            <v>191029.2</v>
          </cell>
          <cell r="AI1188">
            <v>214803.55</v>
          </cell>
          <cell r="AJ1188">
            <v>242541.76</v>
          </cell>
          <cell r="AK1188">
            <v>257052.58</v>
          </cell>
          <cell r="AL1188">
            <v>0</v>
          </cell>
          <cell r="AM1188">
            <v>3</v>
          </cell>
          <cell r="AN1188" t="str">
            <v/>
          </cell>
          <cell r="AO1188">
            <v>0</v>
          </cell>
          <cell r="AP1188">
            <v>0</v>
          </cell>
          <cell r="AQ1188">
            <v>0</v>
          </cell>
          <cell r="AR1188">
            <v>740</v>
          </cell>
          <cell r="AS1188">
            <v>0</v>
          </cell>
          <cell r="AT1188" t="str">
            <v/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 t="str">
            <v/>
          </cell>
          <cell r="BK1188">
            <v>6300</v>
          </cell>
          <cell r="BL1188" t="str">
            <v>0</v>
          </cell>
          <cell r="BM1188" t="str">
            <v>1</v>
          </cell>
          <cell r="BN1188" t="str">
            <v/>
          </cell>
          <cell r="BO1188" t="str">
            <v/>
          </cell>
        </row>
        <row r="1189">
          <cell r="A1189">
            <v>1</v>
          </cell>
          <cell r="B1189">
            <v>1165030</v>
          </cell>
          <cell r="C1189" t="str">
            <v>INV PIECES DE RECHANGES</v>
          </cell>
          <cell r="D1189" t="str">
            <v>INV AUTRES - ENCRE SACS</v>
          </cell>
          <cell r="E1189" t="str">
            <v>O</v>
          </cell>
          <cell r="F1189">
            <v>0</v>
          </cell>
          <cell r="G1189">
            <v>0</v>
          </cell>
          <cell r="H1189">
            <v>15515.59</v>
          </cell>
          <cell r="I1189">
            <v>188687.82</v>
          </cell>
          <cell r="J1189">
            <v>200148.23</v>
          </cell>
          <cell r="K1189">
            <v>0</v>
          </cell>
          <cell r="L1189">
            <v>14744.1</v>
          </cell>
          <cell r="M1189">
            <v>15515.59</v>
          </cell>
          <cell r="N1189">
            <v>19240</v>
          </cell>
          <cell r="O1189">
            <v>13751</v>
          </cell>
          <cell r="P1189">
            <v>11605</v>
          </cell>
          <cell r="Q1189">
            <v>11479</v>
          </cell>
          <cell r="R1189">
            <v>14860</v>
          </cell>
          <cell r="S1189">
            <v>17350</v>
          </cell>
          <cell r="T1189">
            <v>17084</v>
          </cell>
          <cell r="U1189">
            <v>12040</v>
          </cell>
          <cell r="V1189">
            <v>14201.23</v>
          </cell>
          <cell r="W1189">
            <v>14060</v>
          </cell>
          <cell r="X1189">
            <v>15515.59</v>
          </cell>
          <cell r="Y1189">
            <v>14744.1</v>
          </cell>
          <cell r="Z1189">
            <v>11519</v>
          </cell>
          <cell r="AA1189">
            <v>12024</v>
          </cell>
          <cell r="AB1189">
            <v>11578</v>
          </cell>
          <cell r="AC1189">
            <v>11116</v>
          </cell>
          <cell r="AD1189">
            <v>9310</v>
          </cell>
          <cell r="AE1189">
            <v>15519</v>
          </cell>
          <cell r="AF1189">
            <v>12123</v>
          </cell>
          <cell r="AG1189">
            <v>10225</v>
          </cell>
          <cell r="AH1189">
            <v>10889</v>
          </cell>
          <cell r="AI1189">
            <v>17892</v>
          </cell>
          <cell r="AJ1189">
            <v>7775</v>
          </cell>
          <cell r="AK1189">
            <v>26976</v>
          </cell>
          <cell r="AL1189">
            <v>0</v>
          </cell>
          <cell r="AM1189">
            <v>0</v>
          </cell>
          <cell r="AN1189" t="str">
            <v/>
          </cell>
          <cell r="AO1189">
            <v>0</v>
          </cell>
          <cell r="AP1189">
            <v>0</v>
          </cell>
          <cell r="AQ1189">
            <v>0</v>
          </cell>
          <cell r="AR1189">
            <v>100</v>
          </cell>
          <cell r="AS1189">
            <v>0</v>
          </cell>
          <cell r="AT1189" t="str">
            <v/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 t="str">
            <v/>
          </cell>
          <cell r="BK1189">
            <v>1600</v>
          </cell>
          <cell r="BL1189" t="str">
            <v>0</v>
          </cell>
          <cell r="BM1189" t="str">
            <v>1</v>
          </cell>
          <cell r="BN1189" t="str">
            <v/>
          </cell>
          <cell r="BO1189" t="str">
            <v/>
          </cell>
        </row>
        <row r="1190">
          <cell r="A1190">
            <v>1</v>
          </cell>
          <cell r="B1190">
            <v>4242521</v>
          </cell>
          <cell r="C1190" t="str">
            <v>ENVIRONNEMENT</v>
          </cell>
          <cell r="D1190" t="str">
            <v>PROSWEET OC2522 DEARBORN</v>
          </cell>
          <cell r="E1190" t="str">
            <v>O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1</v>
          </cell>
          <cell r="AN1190" t="str">
            <v/>
          </cell>
          <cell r="AO1190">
            <v>0</v>
          </cell>
          <cell r="AP1190">
            <v>0</v>
          </cell>
          <cell r="AQ1190">
            <v>0</v>
          </cell>
          <cell r="AR1190">
            <v>740</v>
          </cell>
          <cell r="AS1190">
            <v>0</v>
          </cell>
          <cell r="AT1190" t="str">
            <v/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 t="str">
            <v/>
          </cell>
          <cell r="BK1190">
            <v>6300</v>
          </cell>
          <cell r="BL1190" t="str">
            <v>0</v>
          </cell>
          <cell r="BM1190" t="str">
            <v>1</v>
          </cell>
          <cell r="BN1190" t="str">
            <v/>
          </cell>
          <cell r="BO1190" t="str">
            <v/>
          </cell>
        </row>
        <row r="1191">
          <cell r="A1191">
            <v>1</v>
          </cell>
          <cell r="B1191">
            <v>4802021</v>
          </cell>
          <cell r="C1191" t="str">
            <v>EXPÉDITIONS</v>
          </cell>
          <cell r="D1191" t="str">
            <v>REPACK235 MOD ET TR LEGER</v>
          </cell>
          <cell r="E1191" t="str">
            <v>O</v>
          </cell>
          <cell r="F1191">
            <v>0</v>
          </cell>
          <cell r="G1191">
            <v>0</v>
          </cell>
          <cell r="H1191">
            <v>2283.19</v>
          </cell>
          <cell r="I1191">
            <v>2283.19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856.37</v>
          </cell>
          <cell r="W1191">
            <v>2283.19</v>
          </cell>
          <cell r="X1191">
            <v>2283.19</v>
          </cell>
          <cell r="Y1191">
            <v>2283.19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1</v>
          </cell>
          <cell r="AN1191" t="str">
            <v/>
          </cell>
          <cell r="AO1191">
            <v>0</v>
          </cell>
          <cell r="AP1191">
            <v>0</v>
          </cell>
          <cell r="AQ1191">
            <v>0</v>
          </cell>
          <cell r="AR1191">
            <v>800</v>
          </cell>
          <cell r="AS1191">
            <v>0</v>
          </cell>
          <cell r="AT1191" t="str">
            <v/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 t="str">
            <v/>
          </cell>
          <cell r="BK1191">
            <v>7100</v>
          </cell>
          <cell r="BL1191" t="str">
            <v>0</v>
          </cell>
          <cell r="BM1191" t="str">
            <v>1</v>
          </cell>
          <cell r="BN1191" t="str">
            <v/>
          </cell>
          <cell r="BO1191" t="str">
            <v/>
          </cell>
        </row>
        <row r="1192">
          <cell r="A1192">
            <v>2</v>
          </cell>
          <cell r="B1192">
            <v>1331101</v>
          </cell>
          <cell r="C1192" t="str">
            <v>WET ENT</v>
          </cell>
          <cell r="D1192" t="str">
            <v>ENVIRONNEMENT</v>
          </cell>
          <cell r="E1192" t="str">
            <v>O</v>
          </cell>
          <cell r="F1192">
            <v>0</v>
          </cell>
          <cell r="G1192">
            <v>145000</v>
          </cell>
          <cell r="H1192">
            <v>403533.16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403533.16</v>
          </cell>
          <cell r="O1192">
            <v>403533.16</v>
          </cell>
          <cell r="P1192">
            <v>403533.16</v>
          </cell>
          <cell r="Q1192">
            <v>403533.16</v>
          </cell>
          <cell r="R1192">
            <v>403533.16</v>
          </cell>
          <cell r="S1192">
            <v>403533.16</v>
          </cell>
          <cell r="T1192">
            <v>403533.16</v>
          </cell>
          <cell r="U1192">
            <v>403533.16</v>
          </cell>
          <cell r="V1192">
            <v>403533.16</v>
          </cell>
          <cell r="W1192">
            <v>403533.16</v>
          </cell>
          <cell r="X1192">
            <v>403533.16</v>
          </cell>
          <cell r="Y1192">
            <v>403533.16</v>
          </cell>
          <cell r="Z1192">
            <v>403533.16</v>
          </cell>
          <cell r="AA1192">
            <v>403533.16</v>
          </cell>
          <cell r="AB1192">
            <v>403533.16</v>
          </cell>
          <cell r="AC1192">
            <v>403533.16</v>
          </cell>
          <cell r="AD1192">
            <v>403533.16</v>
          </cell>
          <cell r="AE1192">
            <v>403533.16</v>
          </cell>
          <cell r="AF1192">
            <v>403533.16</v>
          </cell>
          <cell r="AG1192">
            <v>403533.16</v>
          </cell>
          <cell r="AH1192">
            <v>403533.16</v>
          </cell>
          <cell r="AI1192">
            <v>403533.16</v>
          </cell>
          <cell r="AJ1192">
            <v>403533.16</v>
          </cell>
          <cell r="AK1192">
            <v>403533.16</v>
          </cell>
          <cell r="AL1192">
            <v>0</v>
          </cell>
          <cell r="AM1192">
            <v>1</v>
          </cell>
          <cell r="AN1192" t="str">
            <v/>
          </cell>
          <cell r="AO1192">
            <v>0</v>
          </cell>
          <cell r="AP1192">
            <v>0</v>
          </cell>
          <cell r="AQ1192">
            <v>0</v>
          </cell>
          <cell r="AR1192">
            <v>290</v>
          </cell>
          <cell r="AS1192">
            <v>0</v>
          </cell>
          <cell r="AT1192" t="str">
            <v/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240</v>
          </cell>
          <cell r="BJ1192" t="str">
            <v/>
          </cell>
          <cell r="BK1192">
            <v>1700</v>
          </cell>
          <cell r="BL1192" t="str">
            <v>1</v>
          </cell>
          <cell r="BM1192" t="str">
            <v>1</v>
          </cell>
          <cell r="BN1192" t="str">
            <v/>
          </cell>
          <cell r="BO1192" t="str">
            <v/>
          </cell>
        </row>
        <row r="1193">
          <cell r="A1193">
            <v>2</v>
          </cell>
          <cell r="B1193">
            <v>1331111</v>
          </cell>
          <cell r="C1193" t="str">
            <v>WET END</v>
          </cell>
          <cell r="D1193" t="str">
            <v>BOBINOIR/WATER JET</v>
          </cell>
          <cell r="E1193" t="str">
            <v>O</v>
          </cell>
          <cell r="F1193">
            <v>0</v>
          </cell>
          <cell r="G1193">
            <v>775000</v>
          </cell>
          <cell r="H1193">
            <v>648571.57999999996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648571.57999999996</v>
          </cell>
          <cell r="O1193">
            <v>648571.57999999996</v>
          </cell>
          <cell r="P1193">
            <v>648571.57999999996</v>
          </cell>
          <cell r="Q1193">
            <v>648571.57999999996</v>
          </cell>
          <cell r="R1193">
            <v>648571.57999999996</v>
          </cell>
          <cell r="S1193">
            <v>648571.57999999996</v>
          </cell>
          <cell r="T1193">
            <v>648571.57999999996</v>
          </cell>
          <cell r="U1193">
            <v>648571.57999999996</v>
          </cell>
          <cell r="V1193">
            <v>648571.57999999996</v>
          </cell>
          <cell r="W1193">
            <v>648571.57999999996</v>
          </cell>
          <cell r="X1193">
            <v>648571.57999999996</v>
          </cell>
          <cell r="Y1193">
            <v>648571.57999999996</v>
          </cell>
          <cell r="Z1193">
            <v>620936.46</v>
          </cell>
          <cell r="AA1193">
            <v>623121.53</v>
          </cell>
          <cell r="AB1193">
            <v>639218.44999999995</v>
          </cell>
          <cell r="AC1193">
            <v>638859.57999999996</v>
          </cell>
          <cell r="AD1193">
            <v>641009.57999999996</v>
          </cell>
          <cell r="AE1193">
            <v>648571.57999999996</v>
          </cell>
          <cell r="AF1193">
            <v>648571.57999999996</v>
          </cell>
          <cell r="AG1193">
            <v>648571.57999999996</v>
          </cell>
          <cell r="AH1193">
            <v>648571.57999999996</v>
          </cell>
          <cell r="AI1193">
            <v>648571.57999999996</v>
          </cell>
          <cell r="AJ1193">
            <v>648571.57999999996</v>
          </cell>
          <cell r="AK1193">
            <v>648571.57999999996</v>
          </cell>
          <cell r="AL1193">
            <v>0</v>
          </cell>
          <cell r="AM1193">
            <v>1</v>
          </cell>
          <cell r="AN1193" t="str">
            <v/>
          </cell>
          <cell r="AO1193">
            <v>0</v>
          </cell>
          <cell r="AP1193">
            <v>0</v>
          </cell>
          <cell r="AQ1193">
            <v>0</v>
          </cell>
          <cell r="AR1193">
            <v>290</v>
          </cell>
          <cell r="AS1193">
            <v>0</v>
          </cell>
          <cell r="AT1193" t="str">
            <v/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240</v>
          </cell>
          <cell r="BJ1193" t="str">
            <v/>
          </cell>
          <cell r="BK1193">
            <v>1700</v>
          </cell>
          <cell r="BL1193" t="str">
            <v>1</v>
          </cell>
          <cell r="BM1193" t="str">
            <v>1</v>
          </cell>
          <cell r="BN1193" t="str">
            <v/>
          </cell>
          <cell r="BO1193" t="str">
            <v/>
          </cell>
        </row>
        <row r="1194">
          <cell r="A1194">
            <v>1</v>
          </cell>
          <cell r="B1194">
            <v>2112060</v>
          </cell>
          <cell r="C1194" t="str">
            <v>C.A.P.</v>
          </cell>
          <cell r="D1194" t="str">
            <v>ESCOMPTES DE CAISSE</v>
          </cell>
          <cell r="E1194" t="str">
            <v>O</v>
          </cell>
          <cell r="F1194">
            <v>0</v>
          </cell>
          <cell r="G1194">
            <v>0</v>
          </cell>
          <cell r="H1194">
            <v>-6787.25</v>
          </cell>
          <cell r="I1194">
            <v>1034669.84</v>
          </cell>
          <cell r="J1194">
            <v>1059814.42</v>
          </cell>
          <cell r="K1194">
            <v>0</v>
          </cell>
          <cell r="L1194">
            <v>111281.93</v>
          </cell>
          <cell r="M1194">
            <v>118069.18</v>
          </cell>
          <cell r="N1194">
            <v>-69687.91</v>
          </cell>
          <cell r="O1194">
            <v>-68263.039999999994</v>
          </cell>
          <cell r="P1194">
            <v>-66742.5</v>
          </cell>
          <cell r="Q1194">
            <v>-76176.05</v>
          </cell>
          <cell r="R1194">
            <v>-44293.42</v>
          </cell>
          <cell r="S1194">
            <v>-34740.99</v>
          </cell>
          <cell r="T1194">
            <v>-37281.15</v>
          </cell>
          <cell r="U1194">
            <v>-12280.12</v>
          </cell>
          <cell r="V1194">
            <v>-27650.09</v>
          </cell>
          <cell r="W1194">
            <v>-24686.33</v>
          </cell>
          <cell r="X1194">
            <v>-6787.25</v>
          </cell>
          <cell r="Y1194">
            <v>0</v>
          </cell>
          <cell r="Z1194">
            <v>-0.67</v>
          </cell>
          <cell r="AA1194">
            <v>-0.88</v>
          </cell>
          <cell r="AB1194">
            <v>-0.88</v>
          </cell>
          <cell r="AC1194">
            <v>0</v>
          </cell>
          <cell r="AD1194">
            <v>29446.15</v>
          </cell>
          <cell r="AE1194">
            <v>-16117.48</v>
          </cell>
          <cell r="AF1194">
            <v>-29099.3</v>
          </cell>
          <cell r="AG1194">
            <v>-23978.45</v>
          </cell>
          <cell r="AH1194">
            <v>-44272.02</v>
          </cell>
          <cell r="AI1194">
            <v>-22292.53</v>
          </cell>
          <cell r="AJ1194">
            <v>-21858.89</v>
          </cell>
          <cell r="AK1194">
            <v>-31931.83</v>
          </cell>
          <cell r="AL1194">
            <v>0</v>
          </cell>
          <cell r="AM1194">
            <v>0</v>
          </cell>
          <cell r="AN1194" t="str">
            <v/>
          </cell>
          <cell r="AO1194">
            <v>0</v>
          </cell>
          <cell r="AP1194">
            <v>0</v>
          </cell>
          <cell r="AQ1194">
            <v>0</v>
          </cell>
          <cell r="AR1194">
            <v>420</v>
          </cell>
          <cell r="AS1194">
            <v>0</v>
          </cell>
          <cell r="AT1194" t="str">
            <v/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 t="str">
            <v/>
          </cell>
          <cell r="BK1194">
            <v>2100</v>
          </cell>
          <cell r="BL1194" t="str">
            <v>0</v>
          </cell>
          <cell r="BM1194" t="str">
            <v>1</v>
          </cell>
          <cell r="BN1194" t="str">
            <v/>
          </cell>
          <cell r="BO1194" t="str">
            <v/>
          </cell>
        </row>
        <row r="1195">
          <cell r="A1195">
            <v>1</v>
          </cell>
          <cell r="B1195">
            <v>5209991</v>
          </cell>
          <cell r="C1195" t="str">
            <v>SPLIT ENTRE DÉPARTEMENT</v>
          </cell>
          <cell r="D1195" t="str">
            <v/>
          </cell>
          <cell r="E1195" t="str">
            <v>O</v>
          </cell>
          <cell r="F1195">
            <v>0</v>
          </cell>
          <cell r="G1195">
            <v>0</v>
          </cell>
          <cell r="H1195">
            <v>-200837.46</v>
          </cell>
          <cell r="I1195">
            <v>974673.82</v>
          </cell>
          <cell r="J1195">
            <v>773836.36</v>
          </cell>
          <cell r="K1195">
            <v>0</v>
          </cell>
          <cell r="L1195">
            <v>0</v>
          </cell>
          <cell r="M1195">
            <v>118967.41</v>
          </cell>
          <cell r="N1195">
            <v>17402</v>
          </cell>
          <cell r="O1195">
            <v>19681</v>
          </cell>
          <cell r="P1195">
            <v>-4022.82</v>
          </cell>
          <cell r="Q1195">
            <v>-74921.820000000007</v>
          </cell>
          <cell r="R1195">
            <v>-99703.82</v>
          </cell>
          <cell r="S1195">
            <v>-24764.82</v>
          </cell>
          <cell r="T1195">
            <v>-81659.820000000007</v>
          </cell>
          <cell r="U1195">
            <v>-131985.82</v>
          </cell>
          <cell r="V1195">
            <v>-159285.82</v>
          </cell>
          <cell r="W1195">
            <v>-200837.82</v>
          </cell>
          <cell r="X1195">
            <v>-200837.46</v>
          </cell>
          <cell r="Y1195">
            <v>-81870.05</v>
          </cell>
          <cell r="Z1195">
            <v>22667</v>
          </cell>
          <cell r="AA1195">
            <v>-46081</v>
          </cell>
          <cell r="AB1195">
            <v>-50716</v>
          </cell>
          <cell r="AC1195">
            <v>82775</v>
          </cell>
          <cell r="AD1195">
            <v>-7914</v>
          </cell>
          <cell r="AE1195">
            <v>19178</v>
          </cell>
          <cell r="AF1195">
            <v>-111227</v>
          </cell>
          <cell r="AG1195">
            <v>-47664</v>
          </cell>
          <cell r="AH1195">
            <v>22780</v>
          </cell>
          <cell r="AI1195">
            <v>-36063.120000000003</v>
          </cell>
          <cell r="AJ1195">
            <v>-36063.120000000003</v>
          </cell>
          <cell r="AK1195">
            <v>-23973.119999999999</v>
          </cell>
          <cell r="AL1195">
            <v>0</v>
          </cell>
          <cell r="AM1195">
            <v>1</v>
          </cell>
          <cell r="AN1195" t="str">
            <v/>
          </cell>
          <cell r="AO1195">
            <v>0</v>
          </cell>
          <cell r="AP1195">
            <v>0</v>
          </cell>
          <cell r="AQ1195">
            <v>0</v>
          </cell>
          <cell r="AR1195">
            <v>840</v>
          </cell>
          <cell r="AS1195">
            <v>0</v>
          </cell>
          <cell r="AT1195" t="str">
            <v/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 t="str">
            <v/>
          </cell>
          <cell r="BK1195">
            <v>7300</v>
          </cell>
          <cell r="BL1195" t="str">
            <v>0</v>
          </cell>
          <cell r="BM1195" t="str">
            <v>1</v>
          </cell>
          <cell r="BN1195" t="str">
            <v/>
          </cell>
          <cell r="BO1195" t="str">
            <v/>
          </cell>
        </row>
        <row r="1196">
          <cell r="A1196">
            <v>1</v>
          </cell>
          <cell r="B1196">
            <v>5209992</v>
          </cell>
          <cell r="C1196" t="str">
            <v>ELEMENTS ECEPTIONNEL</v>
          </cell>
          <cell r="D1196" t="str">
            <v>TEMPETES VERGLAS</v>
          </cell>
          <cell r="E1196" t="str">
            <v>O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-4533.3999999999996</v>
          </cell>
          <cell r="AB1196">
            <v>-11954.29</v>
          </cell>
          <cell r="AC1196">
            <v>-11954.29</v>
          </cell>
          <cell r="AD1196">
            <v>-11954.29</v>
          </cell>
          <cell r="AE1196">
            <v>-11955</v>
          </cell>
          <cell r="AF1196">
            <v>-11955</v>
          </cell>
          <cell r="AG1196">
            <v>-11955</v>
          </cell>
          <cell r="AH1196">
            <v>-11955</v>
          </cell>
          <cell r="AI1196">
            <v>-11955</v>
          </cell>
          <cell r="AJ1196">
            <v>-11955</v>
          </cell>
          <cell r="AK1196">
            <v>-11955</v>
          </cell>
          <cell r="AL1196">
            <v>0</v>
          </cell>
          <cell r="AM1196">
            <v>2</v>
          </cell>
          <cell r="AN1196" t="str">
            <v/>
          </cell>
          <cell r="AO1196">
            <v>0</v>
          </cell>
          <cell r="AP1196">
            <v>0</v>
          </cell>
          <cell r="AQ1196">
            <v>0</v>
          </cell>
          <cell r="AR1196">
            <v>600</v>
          </cell>
          <cell r="AS1196">
            <v>0</v>
          </cell>
          <cell r="AT1196" t="str">
            <v/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 t="str">
            <v/>
          </cell>
          <cell r="BK1196">
            <v>7300</v>
          </cell>
          <cell r="BL1196" t="str">
            <v>0</v>
          </cell>
          <cell r="BM1196" t="str">
            <v>1</v>
          </cell>
          <cell r="BN1196" t="str">
            <v/>
          </cell>
          <cell r="BO1196" t="str">
            <v/>
          </cell>
        </row>
        <row r="1197">
          <cell r="A1197">
            <v>1</v>
          </cell>
          <cell r="B1197">
            <v>4419991</v>
          </cell>
          <cell r="C1197" t="str">
            <v>COMPTE DE TRANSFERT</v>
          </cell>
          <cell r="D1197" t="str">
            <v>TRANSFERT ENTRE DIVISION</v>
          </cell>
          <cell r="E1197" t="str">
            <v>O</v>
          </cell>
          <cell r="F1197">
            <v>0</v>
          </cell>
          <cell r="G1197">
            <v>0</v>
          </cell>
          <cell r="H1197">
            <v>-5199</v>
          </cell>
          <cell r="I1197">
            <v>0</v>
          </cell>
          <cell r="J1197">
            <v>5199</v>
          </cell>
          <cell r="K1197">
            <v>0</v>
          </cell>
          <cell r="L1197">
            <v>0</v>
          </cell>
          <cell r="M1197">
            <v>3667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-196</v>
          </cell>
          <cell r="S1197">
            <v>-3207</v>
          </cell>
          <cell r="T1197">
            <v>-3425</v>
          </cell>
          <cell r="U1197">
            <v>-3432</v>
          </cell>
          <cell r="V1197">
            <v>-4879</v>
          </cell>
          <cell r="W1197">
            <v>-4946</v>
          </cell>
          <cell r="X1197">
            <v>-5199</v>
          </cell>
          <cell r="Y1197">
            <v>-8866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-2474</v>
          </cell>
          <cell r="AE1197">
            <v>-4918</v>
          </cell>
          <cell r="AF1197">
            <v>-4918</v>
          </cell>
          <cell r="AG1197">
            <v>-4962</v>
          </cell>
          <cell r="AH1197">
            <v>-5465</v>
          </cell>
          <cell r="AI1197">
            <v>-5465</v>
          </cell>
          <cell r="AJ1197">
            <v>-5465</v>
          </cell>
          <cell r="AK1197">
            <v>-9003</v>
          </cell>
          <cell r="AL1197">
            <v>0</v>
          </cell>
          <cell r="AM1197">
            <v>1</v>
          </cell>
          <cell r="AN1197" t="str">
            <v/>
          </cell>
          <cell r="AO1197">
            <v>0</v>
          </cell>
          <cell r="AP1197">
            <v>0</v>
          </cell>
          <cell r="AQ1197">
            <v>0</v>
          </cell>
          <cell r="AR1197">
            <v>810</v>
          </cell>
          <cell r="AS1197">
            <v>0</v>
          </cell>
          <cell r="AT1197" t="str">
            <v/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 t="str">
            <v/>
          </cell>
          <cell r="BK1197">
            <v>7000</v>
          </cell>
          <cell r="BL1197" t="str">
            <v>0</v>
          </cell>
          <cell r="BM1197" t="str">
            <v>1</v>
          </cell>
          <cell r="BN1197" t="str">
            <v/>
          </cell>
          <cell r="BO1197" t="str">
            <v/>
          </cell>
        </row>
        <row r="1198">
          <cell r="A1198">
            <v>1</v>
          </cell>
          <cell r="B1198">
            <v>4419992</v>
          </cell>
          <cell r="C1198" t="str">
            <v>COMPTE DE TRANSFERT</v>
          </cell>
          <cell r="D1198" t="str">
            <v>TRANSFERT ENTRE DIVISION</v>
          </cell>
          <cell r="E1198" t="str">
            <v>O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2</v>
          </cell>
          <cell r="AN1198" t="str">
            <v/>
          </cell>
          <cell r="AO1198">
            <v>0</v>
          </cell>
          <cell r="AP1198">
            <v>0</v>
          </cell>
          <cell r="AQ1198">
            <v>0</v>
          </cell>
          <cell r="AR1198">
            <v>810</v>
          </cell>
          <cell r="AS1198">
            <v>0</v>
          </cell>
          <cell r="AT1198" t="str">
            <v/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 t="str">
            <v/>
          </cell>
          <cell r="BK1198">
            <v>7000</v>
          </cell>
          <cell r="BL1198" t="str">
            <v>0</v>
          </cell>
          <cell r="BM1198" t="str">
            <v>1</v>
          </cell>
          <cell r="BN1198" t="str">
            <v/>
          </cell>
          <cell r="BO1198" t="str">
            <v/>
          </cell>
        </row>
        <row r="1199">
          <cell r="A1199">
            <v>1</v>
          </cell>
          <cell r="B1199">
            <v>4419993</v>
          </cell>
          <cell r="C1199" t="str">
            <v>COMPTE DE TRANSFERT</v>
          </cell>
          <cell r="D1199" t="str">
            <v>TRANSFERT ENTRE DIVISION</v>
          </cell>
          <cell r="E1199" t="str">
            <v>O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3</v>
          </cell>
          <cell r="AN1199" t="str">
            <v/>
          </cell>
          <cell r="AO1199">
            <v>0</v>
          </cell>
          <cell r="AP1199">
            <v>0</v>
          </cell>
          <cell r="AQ1199">
            <v>0</v>
          </cell>
          <cell r="AR1199">
            <v>810</v>
          </cell>
          <cell r="AS1199">
            <v>0</v>
          </cell>
          <cell r="AT1199" t="str">
            <v/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 t="str">
            <v/>
          </cell>
          <cell r="BK1199">
            <v>7000</v>
          </cell>
          <cell r="BL1199" t="str">
            <v>0</v>
          </cell>
          <cell r="BM1199" t="str">
            <v>1</v>
          </cell>
          <cell r="BN1199" t="str">
            <v/>
          </cell>
          <cell r="BO1199" t="str">
            <v/>
          </cell>
        </row>
        <row r="1200">
          <cell r="A1200">
            <v>1</v>
          </cell>
          <cell r="B1200">
            <v>4419994</v>
          </cell>
          <cell r="C1200" t="str">
            <v>COMPTE DE TRANSFERT</v>
          </cell>
          <cell r="D1200" t="str">
            <v>TRANSFERT ENTRE DIVISION</v>
          </cell>
          <cell r="E1200" t="str">
            <v>O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4</v>
          </cell>
          <cell r="AN1200" t="str">
            <v/>
          </cell>
          <cell r="AO1200">
            <v>0</v>
          </cell>
          <cell r="AP1200">
            <v>0</v>
          </cell>
          <cell r="AQ1200">
            <v>0</v>
          </cell>
          <cell r="AR1200">
            <v>810</v>
          </cell>
          <cell r="AS1200">
            <v>0</v>
          </cell>
          <cell r="AT1200" t="str">
            <v/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 t="str">
            <v/>
          </cell>
          <cell r="BK1200">
            <v>7000</v>
          </cell>
          <cell r="BL1200" t="str">
            <v>0</v>
          </cell>
          <cell r="BM1200" t="str">
            <v>1</v>
          </cell>
          <cell r="BN1200" t="str">
            <v/>
          </cell>
          <cell r="BO1200" t="str">
            <v/>
          </cell>
        </row>
        <row r="1201">
          <cell r="A1201">
            <v>1</v>
          </cell>
          <cell r="B1201">
            <v>4439991</v>
          </cell>
          <cell r="C1201" t="str">
            <v>COMPTE DE TRANSFERT</v>
          </cell>
          <cell r="D1201" t="str">
            <v>TRANSFERT ENTRE DIVISION</v>
          </cell>
          <cell r="E1201" t="str">
            <v>O</v>
          </cell>
          <cell r="F1201">
            <v>0</v>
          </cell>
          <cell r="G1201">
            <v>0</v>
          </cell>
          <cell r="H1201">
            <v>-49271</v>
          </cell>
          <cell r="I1201">
            <v>0</v>
          </cell>
          <cell r="J1201">
            <v>49271</v>
          </cell>
          <cell r="K1201">
            <v>0</v>
          </cell>
          <cell r="L1201">
            <v>0</v>
          </cell>
          <cell r="M1201">
            <v>3630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-10185</v>
          </cell>
          <cell r="S1201">
            <v>-17988</v>
          </cell>
          <cell r="T1201">
            <v>-22100</v>
          </cell>
          <cell r="U1201">
            <v>-28685</v>
          </cell>
          <cell r="V1201">
            <v>-41052</v>
          </cell>
          <cell r="W1201">
            <v>-45551</v>
          </cell>
          <cell r="X1201">
            <v>-49271</v>
          </cell>
          <cell r="Y1201">
            <v>-52901</v>
          </cell>
          <cell r="Z1201">
            <v>-1982</v>
          </cell>
          <cell r="AA1201">
            <v>-3583</v>
          </cell>
          <cell r="AB1201">
            <v>-3583</v>
          </cell>
          <cell r="AC1201">
            <v>-2891</v>
          </cell>
          <cell r="AD1201">
            <v>-2907</v>
          </cell>
          <cell r="AE1201">
            <v>-6436</v>
          </cell>
          <cell r="AF1201">
            <v>-6436</v>
          </cell>
          <cell r="AG1201">
            <v>-6958</v>
          </cell>
          <cell r="AH1201">
            <v>-6958</v>
          </cell>
          <cell r="AI1201">
            <v>-8473</v>
          </cell>
          <cell r="AJ1201">
            <v>-8473</v>
          </cell>
          <cell r="AK1201">
            <v>-8473</v>
          </cell>
          <cell r="AL1201">
            <v>0</v>
          </cell>
          <cell r="AM1201">
            <v>1</v>
          </cell>
          <cell r="AN1201" t="str">
            <v/>
          </cell>
          <cell r="AO1201">
            <v>0</v>
          </cell>
          <cell r="AP1201">
            <v>0</v>
          </cell>
          <cell r="AQ1201">
            <v>0</v>
          </cell>
          <cell r="AR1201">
            <v>720</v>
          </cell>
          <cell r="AS1201">
            <v>0</v>
          </cell>
          <cell r="AT1201" t="str">
            <v/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 t="str">
            <v/>
          </cell>
          <cell r="BK1201">
            <v>7000</v>
          </cell>
          <cell r="BL1201" t="str">
            <v>0</v>
          </cell>
          <cell r="BM1201" t="str">
            <v>1</v>
          </cell>
          <cell r="BN1201" t="str">
            <v/>
          </cell>
          <cell r="BO1201" t="str">
            <v/>
          </cell>
        </row>
        <row r="1202">
          <cell r="A1202">
            <v>1</v>
          </cell>
          <cell r="B1202">
            <v>4559991</v>
          </cell>
          <cell r="C1202" t="str">
            <v>COMPTE DE TRANSFERT</v>
          </cell>
          <cell r="D1202" t="str">
            <v>TRANSFERT ENTRE DIVISION</v>
          </cell>
          <cell r="E1202" t="str">
            <v>O</v>
          </cell>
          <cell r="F1202">
            <v>0</v>
          </cell>
          <cell r="G1202">
            <v>0</v>
          </cell>
          <cell r="H1202">
            <v>-170508</v>
          </cell>
          <cell r="I1202">
            <v>6721</v>
          </cell>
          <cell r="J1202">
            <v>177229</v>
          </cell>
          <cell r="K1202">
            <v>0</v>
          </cell>
          <cell r="L1202">
            <v>0</v>
          </cell>
          <cell r="M1202">
            <v>34198</v>
          </cell>
          <cell r="N1202">
            <v>-15044</v>
          </cell>
          <cell r="O1202">
            <v>-34757</v>
          </cell>
          <cell r="P1202">
            <v>-48370</v>
          </cell>
          <cell r="Q1202">
            <v>-55091</v>
          </cell>
          <cell r="R1202">
            <v>-66958</v>
          </cell>
          <cell r="S1202">
            <v>-77005</v>
          </cell>
          <cell r="T1202">
            <v>-93741</v>
          </cell>
          <cell r="U1202">
            <v>-109985</v>
          </cell>
          <cell r="V1202">
            <v>-127818</v>
          </cell>
          <cell r="W1202">
            <v>-152152</v>
          </cell>
          <cell r="X1202">
            <v>-170508</v>
          </cell>
          <cell r="Y1202">
            <v>-204706</v>
          </cell>
          <cell r="Z1202">
            <v>-19919.41</v>
          </cell>
          <cell r="AA1202">
            <v>-35984.47</v>
          </cell>
          <cell r="AB1202">
            <v>-50429.32</v>
          </cell>
          <cell r="AC1202">
            <v>-61510.22</v>
          </cell>
          <cell r="AD1202">
            <v>-74177.119999999995</v>
          </cell>
          <cell r="AE1202">
            <v>-96675.58</v>
          </cell>
          <cell r="AF1202">
            <v>-134272.98000000001</v>
          </cell>
          <cell r="AG1202">
            <v>-139762.23000000001</v>
          </cell>
          <cell r="AH1202">
            <v>-152390.91</v>
          </cell>
          <cell r="AI1202">
            <v>-176540.91</v>
          </cell>
          <cell r="AJ1202">
            <v>-211696.91</v>
          </cell>
          <cell r="AK1202">
            <v>-240909.91</v>
          </cell>
          <cell r="AL1202">
            <v>0</v>
          </cell>
          <cell r="AM1202">
            <v>1</v>
          </cell>
          <cell r="AN1202" t="str">
            <v/>
          </cell>
          <cell r="AO1202">
            <v>0</v>
          </cell>
          <cell r="AP1202">
            <v>0</v>
          </cell>
          <cell r="AQ1202">
            <v>0</v>
          </cell>
          <cell r="AR1202">
            <v>750</v>
          </cell>
          <cell r="AS1202">
            <v>0</v>
          </cell>
          <cell r="AT1202" t="str">
            <v/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 t="str">
            <v/>
          </cell>
          <cell r="BK1202">
            <v>7000</v>
          </cell>
          <cell r="BL1202" t="str">
            <v>0</v>
          </cell>
          <cell r="BM1202" t="str">
            <v>1</v>
          </cell>
          <cell r="BN1202" t="str">
            <v/>
          </cell>
          <cell r="BO1202" t="str">
            <v/>
          </cell>
        </row>
        <row r="1203">
          <cell r="A1203">
            <v>1</v>
          </cell>
          <cell r="B1203">
            <v>4599991</v>
          </cell>
          <cell r="C1203" t="str">
            <v>COMPTE DE TRANSFERT</v>
          </cell>
          <cell r="D1203" t="str">
            <v>TRANSFERT ENTRE DIVISION</v>
          </cell>
          <cell r="E1203" t="str">
            <v>O</v>
          </cell>
          <cell r="F1203">
            <v>0</v>
          </cell>
          <cell r="G1203">
            <v>0</v>
          </cell>
          <cell r="H1203">
            <v>-563630</v>
          </cell>
          <cell r="I1203">
            <v>69978</v>
          </cell>
          <cell r="J1203">
            <v>633608</v>
          </cell>
          <cell r="K1203">
            <v>0</v>
          </cell>
          <cell r="L1203">
            <v>0</v>
          </cell>
          <cell r="M1203">
            <v>27419</v>
          </cell>
          <cell r="N1203">
            <v>-54315</v>
          </cell>
          <cell r="O1203">
            <v>-105054</v>
          </cell>
          <cell r="P1203">
            <v>-149352</v>
          </cell>
          <cell r="Q1203">
            <v>-176826</v>
          </cell>
          <cell r="R1203">
            <v>-214630</v>
          </cell>
          <cell r="S1203">
            <v>-236608</v>
          </cell>
          <cell r="T1203">
            <v>-275076</v>
          </cell>
          <cell r="U1203">
            <v>-390060</v>
          </cell>
          <cell r="V1203">
            <v>-436128</v>
          </cell>
          <cell r="W1203">
            <v>-499057</v>
          </cell>
          <cell r="X1203">
            <v>-563630</v>
          </cell>
          <cell r="Y1203">
            <v>-591049</v>
          </cell>
          <cell r="Z1203">
            <v>-44293.24</v>
          </cell>
          <cell r="AA1203">
            <v>-84232.61</v>
          </cell>
          <cell r="AB1203">
            <v>-149777.65</v>
          </cell>
          <cell r="AC1203">
            <v>-184097.23</v>
          </cell>
          <cell r="AD1203">
            <v>-230067.64</v>
          </cell>
          <cell r="AE1203">
            <v>-307472.05</v>
          </cell>
          <cell r="AF1203">
            <v>-399624.16</v>
          </cell>
          <cell r="AG1203">
            <v>-467091.65</v>
          </cell>
          <cell r="AH1203">
            <v>-504837.23</v>
          </cell>
          <cell r="AI1203">
            <v>-667607.23</v>
          </cell>
          <cell r="AJ1203">
            <v>-722178.23</v>
          </cell>
          <cell r="AK1203">
            <v>-791981.23</v>
          </cell>
          <cell r="AL1203">
            <v>0</v>
          </cell>
          <cell r="AM1203">
            <v>1</v>
          </cell>
          <cell r="AN1203" t="str">
            <v/>
          </cell>
          <cell r="AO1203">
            <v>0</v>
          </cell>
          <cell r="AP1203">
            <v>0</v>
          </cell>
          <cell r="AQ1203">
            <v>0</v>
          </cell>
          <cell r="AR1203">
            <v>710</v>
          </cell>
          <cell r="AS1203">
            <v>0</v>
          </cell>
          <cell r="AT1203" t="str">
            <v/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 t="str">
            <v/>
          </cell>
          <cell r="BK1203">
            <v>7000</v>
          </cell>
          <cell r="BL1203" t="str">
            <v>0</v>
          </cell>
          <cell r="BM1203" t="str">
            <v>1</v>
          </cell>
          <cell r="BN1203" t="str">
            <v/>
          </cell>
          <cell r="BO1203" t="str">
            <v/>
          </cell>
        </row>
        <row r="1204">
          <cell r="A1204">
            <v>1</v>
          </cell>
          <cell r="B1204">
            <v>4429991</v>
          </cell>
          <cell r="C1204" t="str">
            <v>COMPTE DE TRANSFERT</v>
          </cell>
          <cell r="D1204" t="str">
            <v>TRANSFERT ENTRE DIVISION</v>
          </cell>
          <cell r="E1204" t="str">
            <v>O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0</v>
          </cell>
          <cell r="AK1204">
            <v>0</v>
          </cell>
          <cell r="AL1204">
            <v>0</v>
          </cell>
          <cell r="AM1204">
            <v>1</v>
          </cell>
          <cell r="AN1204" t="str">
            <v/>
          </cell>
          <cell r="AO1204">
            <v>0</v>
          </cell>
          <cell r="AP1204">
            <v>0</v>
          </cell>
          <cell r="AQ1204">
            <v>0</v>
          </cell>
          <cell r="AR1204">
            <v>700</v>
          </cell>
          <cell r="AS1204">
            <v>0</v>
          </cell>
          <cell r="AT1204" t="str">
            <v/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 t="str">
            <v/>
          </cell>
          <cell r="BK1204">
            <v>7000</v>
          </cell>
          <cell r="BL1204" t="str">
            <v>0</v>
          </cell>
          <cell r="BM1204" t="str">
            <v>1</v>
          </cell>
          <cell r="BN1204" t="str">
            <v/>
          </cell>
          <cell r="BO1204" t="str">
            <v/>
          </cell>
        </row>
        <row r="1205">
          <cell r="A1205">
            <v>1</v>
          </cell>
          <cell r="B1205">
            <v>4449991</v>
          </cell>
          <cell r="C1205" t="str">
            <v>COMPTE DE TRANSFERT</v>
          </cell>
          <cell r="D1205" t="str">
            <v>TRANSFERT ENTRE DIVISION</v>
          </cell>
          <cell r="E1205" t="str">
            <v>O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1</v>
          </cell>
          <cell r="AN1205" t="str">
            <v/>
          </cell>
          <cell r="AO1205">
            <v>0</v>
          </cell>
          <cell r="AP1205">
            <v>0</v>
          </cell>
          <cell r="AQ1205">
            <v>0</v>
          </cell>
          <cell r="AR1205">
            <v>720</v>
          </cell>
          <cell r="AS1205">
            <v>0</v>
          </cell>
          <cell r="AT1205" t="str">
            <v/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 t="str">
            <v/>
          </cell>
          <cell r="BK1205">
            <v>7000</v>
          </cell>
          <cell r="BL1205" t="str">
            <v>0</v>
          </cell>
          <cell r="BM1205" t="str">
            <v>1</v>
          </cell>
          <cell r="BN1205" t="str">
            <v/>
          </cell>
          <cell r="BO1205" t="str">
            <v/>
          </cell>
        </row>
        <row r="1206">
          <cell r="A1206">
            <v>1</v>
          </cell>
          <cell r="B1206">
            <v>4469991</v>
          </cell>
          <cell r="C1206" t="str">
            <v>COMPTE DE TRANSFERT</v>
          </cell>
          <cell r="D1206" t="str">
            <v>TRANSFERT ENTRE DIVISION</v>
          </cell>
          <cell r="E1206" t="str">
            <v>O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1</v>
          </cell>
          <cell r="AN1206" t="str">
            <v/>
          </cell>
          <cell r="AO1206">
            <v>0</v>
          </cell>
          <cell r="AP1206">
            <v>0</v>
          </cell>
          <cell r="AQ1206">
            <v>0</v>
          </cell>
          <cell r="AR1206">
            <v>700</v>
          </cell>
          <cell r="AS1206">
            <v>0</v>
          </cell>
          <cell r="AT1206" t="str">
            <v/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 t="str">
            <v/>
          </cell>
          <cell r="BK1206">
            <v>7000</v>
          </cell>
          <cell r="BL1206" t="str">
            <v>0</v>
          </cell>
          <cell r="BM1206" t="str">
            <v>1</v>
          </cell>
          <cell r="BN1206" t="str">
            <v/>
          </cell>
          <cell r="BO1206" t="str">
            <v/>
          </cell>
        </row>
        <row r="1207">
          <cell r="A1207">
            <v>1</v>
          </cell>
          <cell r="B1207">
            <v>4479991</v>
          </cell>
          <cell r="C1207" t="str">
            <v>COMPTE DE TRANSFERT</v>
          </cell>
          <cell r="D1207" t="str">
            <v>TRANSFERT ENTRE DIVISION</v>
          </cell>
          <cell r="E1207" t="str">
            <v>O</v>
          </cell>
          <cell r="F1207">
            <v>0</v>
          </cell>
          <cell r="G1207">
            <v>0</v>
          </cell>
          <cell r="H1207">
            <v>-40742</v>
          </cell>
          <cell r="I1207">
            <v>3192</v>
          </cell>
          <cell r="J1207">
            <v>43934</v>
          </cell>
          <cell r="K1207">
            <v>0</v>
          </cell>
          <cell r="L1207">
            <v>0</v>
          </cell>
          <cell r="M1207">
            <v>3567</v>
          </cell>
          <cell r="N1207">
            <v>-3452</v>
          </cell>
          <cell r="O1207">
            <v>-8921</v>
          </cell>
          <cell r="P1207">
            <v>-12173</v>
          </cell>
          <cell r="Q1207">
            <v>-15365</v>
          </cell>
          <cell r="R1207">
            <v>-17251</v>
          </cell>
          <cell r="S1207">
            <v>-21310</v>
          </cell>
          <cell r="T1207">
            <v>-24202</v>
          </cell>
          <cell r="U1207">
            <v>-27311</v>
          </cell>
          <cell r="V1207">
            <v>-30974</v>
          </cell>
          <cell r="W1207">
            <v>-35834</v>
          </cell>
          <cell r="X1207">
            <v>-40742</v>
          </cell>
          <cell r="Y1207">
            <v>-44309</v>
          </cell>
          <cell r="Z1207">
            <v>-12941</v>
          </cell>
          <cell r="AA1207">
            <v>-17203.68</v>
          </cell>
          <cell r="AB1207">
            <v>-23039.34</v>
          </cell>
          <cell r="AC1207">
            <v>-24233.200000000001</v>
          </cell>
          <cell r="AD1207">
            <v>-28817.18</v>
          </cell>
          <cell r="AE1207">
            <v>-30858.18</v>
          </cell>
          <cell r="AF1207">
            <v>-34415.599999999999</v>
          </cell>
          <cell r="AG1207">
            <v>-39195.99</v>
          </cell>
          <cell r="AH1207">
            <v>-40609.839999999997</v>
          </cell>
          <cell r="AI1207">
            <v>-42750.84</v>
          </cell>
          <cell r="AJ1207">
            <v>-46785.84</v>
          </cell>
          <cell r="AK1207">
            <v>-50455.839999999997</v>
          </cell>
          <cell r="AL1207">
            <v>0</v>
          </cell>
          <cell r="AM1207">
            <v>1</v>
          </cell>
          <cell r="AN1207" t="str">
            <v/>
          </cell>
          <cell r="AO1207">
            <v>0</v>
          </cell>
          <cell r="AP1207">
            <v>0</v>
          </cell>
          <cell r="AQ1207">
            <v>0</v>
          </cell>
          <cell r="AR1207">
            <v>720</v>
          </cell>
          <cell r="AS1207">
            <v>0</v>
          </cell>
          <cell r="AT1207" t="str">
            <v/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 t="str">
            <v/>
          </cell>
          <cell r="BK1207">
            <v>7000</v>
          </cell>
          <cell r="BL1207" t="str">
            <v>0</v>
          </cell>
          <cell r="BM1207" t="str">
            <v>1</v>
          </cell>
          <cell r="BN1207" t="str">
            <v/>
          </cell>
          <cell r="BO1207" t="str">
            <v/>
          </cell>
        </row>
        <row r="1208">
          <cell r="A1208">
            <v>1</v>
          </cell>
          <cell r="B1208">
            <v>4489991</v>
          </cell>
          <cell r="C1208" t="str">
            <v>COMPTE DE TRANSFERT</v>
          </cell>
          <cell r="D1208" t="str">
            <v>TRANSFERT ENTRE DIVISION</v>
          </cell>
          <cell r="E1208" t="str">
            <v>O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1</v>
          </cell>
          <cell r="AN1208" t="str">
            <v/>
          </cell>
          <cell r="AO1208">
            <v>0</v>
          </cell>
          <cell r="AP1208">
            <v>0</v>
          </cell>
          <cell r="AQ1208">
            <v>0</v>
          </cell>
          <cell r="AR1208">
            <v>720</v>
          </cell>
          <cell r="AS1208">
            <v>0</v>
          </cell>
          <cell r="AT1208" t="str">
            <v/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 t="str">
            <v/>
          </cell>
          <cell r="BK1208">
            <v>7000</v>
          </cell>
          <cell r="BL1208" t="str">
            <v>0</v>
          </cell>
          <cell r="BM1208" t="str">
            <v>1</v>
          </cell>
          <cell r="BN1208" t="str">
            <v/>
          </cell>
          <cell r="BO1208" t="str">
            <v/>
          </cell>
        </row>
        <row r="1209">
          <cell r="A1209">
            <v>1</v>
          </cell>
          <cell r="B1209">
            <v>4639991</v>
          </cell>
          <cell r="C1209" t="str">
            <v>COMPTE DE TRANSFERT</v>
          </cell>
          <cell r="D1209" t="str">
            <v>TRANSFERT ENTRE DIVISION</v>
          </cell>
          <cell r="E1209" t="str">
            <v>O</v>
          </cell>
          <cell r="F1209">
            <v>0</v>
          </cell>
          <cell r="G1209">
            <v>0</v>
          </cell>
          <cell r="H1209">
            <v>-40160</v>
          </cell>
          <cell r="I1209">
            <v>0</v>
          </cell>
          <cell r="J1209">
            <v>40160</v>
          </cell>
          <cell r="K1209">
            <v>0</v>
          </cell>
          <cell r="L1209">
            <v>15500</v>
          </cell>
          <cell r="M1209">
            <v>41062</v>
          </cell>
          <cell r="N1209">
            <v>-16762</v>
          </cell>
          <cell r="O1209">
            <v>-40160</v>
          </cell>
          <cell r="P1209">
            <v>-40160</v>
          </cell>
          <cell r="Q1209">
            <v>-40160</v>
          </cell>
          <cell r="R1209">
            <v>-40160</v>
          </cell>
          <cell r="S1209">
            <v>-40160</v>
          </cell>
          <cell r="T1209">
            <v>-40160</v>
          </cell>
          <cell r="U1209">
            <v>-40160</v>
          </cell>
          <cell r="V1209">
            <v>-40160</v>
          </cell>
          <cell r="W1209">
            <v>-40160</v>
          </cell>
          <cell r="X1209">
            <v>-40160</v>
          </cell>
          <cell r="Y1209">
            <v>-65722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1</v>
          </cell>
          <cell r="AN1209" t="str">
            <v/>
          </cell>
          <cell r="AO1209">
            <v>0</v>
          </cell>
          <cell r="AP1209">
            <v>0</v>
          </cell>
          <cell r="AQ1209">
            <v>0</v>
          </cell>
          <cell r="AR1209">
            <v>710</v>
          </cell>
          <cell r="AS1209">
            <v>0</v>
          </cell>
          <cell r="AT1209" t="str">
            <v/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 t="str">
            <v/>
          </cell>
          <cell r="BK1209">
            <v>7000</v>
          </cell>
          <cell r="BL1209" t="str">
            <v>0</v>
          </cell>
          <cell r="BM1209" t="str">
            <v>1</v>
          </cell>
          <cell r="BN1209" t="str">
            <v/>
          </cell>
          <cell r="BO1209" t="str">
            <v/>
          </cell>
        </row>
        <row r="1210">
          <cell r="A1210">
            <v>1</v>
          </cell>
          <cell r="B1210">
            <v>4789991</v>
          </cell>
          <cell r="C1210" t="str">
            <v>COMPTE DE TRANSFERT</v>
          </cell>
          <cell r="D1210" t="str">
            <v>TRANSFERT ENTRE DIVISION</v>
          </cell>
          <cell r="E1210" t="str">
            <v>O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1</v>
          </cell>
          <cell r="AN1210" t="str">
            <v/>
          </cell>
          <cell r="AO1210">
            <v>0</v>
          </cell>
          <cell r="AP1210">
            <v>0</v>
          </cell>
          <cell r="AQ1210">
            <v>0</v>
          </cell>
          <cell r="AR1210">
            <v>800</v>
          </cell>
          <cell r="AS1210">
            <v>0</v>
          </cell>
          <cell r="AT1210" t="str">
            <v/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 t="str">
            <v/>
          </cell>
          <cell r="BK1210">
            <v>7000</v>
          </cell>
          <cell r="BL1210" t="str">
            <v>0</v>
          </cell>
          <cell r="BM1210" t="str">
            <v>1</v>
          </cell>
          <cell r="BN1210" t="str">
            <v/>
          </cell>
          <cell r="BO1210" t="str">
            <v/>
          </cell>
        </row>
        <row r="1211">
          <cell r="A1211">
            <v>1</v>
          </cell>
          <cell r="B1211">
            <v>4809991</v>
          </cell>
          <cell r="C1211" t="str">
            <v>COMPTE DE TRANSFERT</v>
          </cell>
          <cell r="D1211" t="str">
            <v>TRANSFERT ENTRE DIVISION</v>
          </cell>
          <cell r="E1211" t="str">
            <v>O</v>
          </cell>
          <cell r="F1211">
            <v>0</v>
          </cell>
          <cell r="G1211">
            <v>0</v>
          </cell>
          <cell r="H1211">
            <v>-1568154</v>
          </cell>
          <cell r="I1211">
            <v>117680</v>
          </cell>
          <cell r="J1211">
            <v>1685834</v>
          </cell>
          <cell r="K1211">
            <v>0</v>
          </cell>
          <cell r="L1211">
            <v>0</v>
          </cell>
          <cell r="M1211">
            <v>142957</v>
          </cell>
          <cell r="N1211">
            <v>-154424</v>
          </cell>
          <cell r="O1211">
            <v>-282754</v>
          </cell>
          <cell r="P1211">
            <v>-416191</v>
          </cell>
          <cell r="Q1211">
            <v>-533871</v>
          </cell>
          <cell r="R1211">
            <v>-683679</v>
          </cell>
          <cell r="S1211">
            <v>-836266</v>
          </cell>
          <cell r="T1211">
            <v>-970136</v>
          </cell>
          <cell r="U1211">
            <v>-1113281</v>
          </cell>
          <cell r="V1211">
            <v>-1255809</v>
          </cell>
          <cell r="W1211">
            <v>-1411647</v>
          </cell>
          <cell r="X1211">
            <v>-1568154</v>
          </cell>
          <cell r="Y1211">
            <v>-1711111</v>
          </cell>
          <cell r="Z1211">
            <v>-132960.04</v>
          </cell>
          <cell r="AA1211">
            <v>-264137.28000000003</v>
          </cell>
          <cell r="AB1211">
            <v>-423467.36</v>
          </cell>
          <cell r="AC1211">
            <v>-557330.30000000005</v>
          </cell>
          <cell r="AD1211">
            <v>-676791.75</v>
          </cell>
          <cell r="AE1211">
            <v>-841181.82</v>
          </cell>
          <cell r="AF1211">
            <v>-994044.21</v>
          </cell>
          <cell r="AG1211">
            <v>-1127974.3500000001</v>
          </cell>
          <cell r="AH1211">
            <v>-1253948.51</v>
          </cell>
          <cell r="AI1211">
            <v>-1406078.51</v>
          </cell>
          <cell r="AJ1211">
            <v>-1544910.51</v>
          </cell>
          <cell r="AK1211">
            <v>-1658884.51</v>
          </cell>
          <cell r="AL1211">
            <v>0</v>
          </cell>
          <cell r="AM1211">
            <v>1</v>
          </cell>
          <cell r="AN1211" t="str">
            <v/>
          </cell>
          <cell r="AO1211">
            <v>0</v>
          </cell>
          <cell r="AP1211">
            <v>0</v>
          </cell>
          <cell r="AQ1211">
            <v>0</v>
          </cell>
          <cell r="AR1211">
            <v>800</v>
          </cell>
          <cell r="AS1211">
            <v>0</v>
          </cell>
          <cell r="AT1211" t="str">
            <v/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 t="str">
            <v/>
          </cell>
          <cell r="BK1211">
            <v>7100</v>
          </cell>
          <cell r="BL1211" t="str">
            <v>0</v>
          </cell>
          <cell r="BM1211" t="str">
            <v>1</v>
          </cell>
          <cell r="BN1211" t="str">
            <v/>
          </cell>
          <cell r="BO1211" t="str">
            <v/>
          </cell>
        </row>
        <row r="1212">
          <cell r="A1212">
            <v>1</v>
          </cell>
          <cell r="B1212">
            <v>4819991</v>
          </cell>
          <cell r="C1212" t="str">
            <v>COMPTE DE TRANSFERT</v>
          </cell>
          <cell r="D1212" t="str">
            <v>TRANSFERT ENTRE DIVISION</v>
          </cell>
          <cell r="E1212" t="str">
            <v>O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1</v>
          </cell>
          <cell r="AN1212" t="str">
            <v/>
          </cell>
          <cell r="AO1212">
            <v>0</v>
          </cell>
          <cell r="AP1212">
            <v>0</v>
          </cell>
          <cell r="AQ1212">
            <v>0</v>
          </cell>
          <cell r="AR1212">
            <v>801</v>
          </cell>
          <cell r="AS1212">
            <v>0</v>
          </cell>
          <cell r="AT1212" t="str">
            <v/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 t="str">
            <v/>
          </cell>
          <cell r="BK1212">
            <v>7000</v>
          </cell>
          <cell r="BL1212" t="str">
            <v>0</v>
          </cell>
          <cell r="BM1212" t="str">
            <v>1</v>
          </cell>
          <cell r="BN1212" t="str">
            <v/>
          </cell>
          <cell r="BO1212" t="str">
            <v/>
          </cell>
        </row>
        <row r="1213">
          <cell r="A1213">
            <v>1</v>
          </cell>
          <cell r="B1213">
            <v>4829991</v>
          </cell>
          <cell r="C1213" t="str">
            <v>COMPTE DE TRANSFERT</v>
          </cell>
          <cell r="D1213" t="str">
            <v>TRANSFERT ENTRE DIVISION</v>
          </cell>
          <cell r="E1213" t="str">
            <v>O</v>
          </cell>
          <cell r="F1213">
            <v>0</v>
          </cell>
          <cell r="G1213">
            <v>0</v>
          </cell>
          <cell r="H1213">
            <v>-61256</v>
          </cell>
          <cell r="I1213">
            <v>4113</v>
          </cell>
          <cell r="J1213">
            <v>65369</v>
          </cell>
          <cell r="K1213">
            <v>0</v>
          </cell>
          <cell r="L1213">
            <v>0</v>
          </cell>
          <cell r="M1213">
            <v>3085</v>
          </cell>
          <cell r="N1213">
            <v>-19399</v>
          </cell>
          <cell r="O1213">
            <v>-23152</v>
          </cell>
          <cell r="P1213">
            <v>-27853</v>
          </cell>
          <cell r="Q1213">
            <v>-31966</v>
          </cell>
          <cell r="R1213">
            <v>-35730</v>
          </cell>
          <cell r="S1213">
            <v>-40203</v>
          </cell>
          <cell r="T1213">
            <v>-43782</v>
          </cell>
          <cell r="U1213">
            <v>-48255</v>
          </cell>
          <cell r="V1213">
            <v>-53369</v>
          </cell>
          <cell r="W1213">
            <v>-57323</v>
          </cell>
          <cell r="X1213">
            <v>-61256</v>
          </cell>
          <cell r="Y1213">
            <v>-64341</v>
          </cell>
          <cell r="Z1213">
            <v>-1867</v>
          </cell>
          <cell r="AA1213">
            <v>-3878</v>
          </cell>
          <cell r="AB1213">
            <v>-10841</v>
          </cell>
          <cell r="AC1213">
            <v>-11392</v>
          </cell>
          <cell r="AD1213">
            <v>-13259</v>
          </cell>
          <cell r="AE1213">
            <v>-13259</v>
          </cell>
          <cell r="AF1213">
            <v>-16168</v>
          </cell>
          <cell r="AG1213">
            <v>-17162</v>
          </cell>
          <cell r="AH1213">
            <v>-21626</v>
          </cell>
          <cell r="AI1213">
            <v>-26727</v>
          </cell>
          <cell r="AJ1213">
            <v>-30184</v>
          </cell>
          <cell r="AK1213">
            <v>-34441</v>
          </cell>
          <cell r="AL1213">
            <v>0</v>
          </cell>
          <cell r="AM1213">
            <v>1</v>
          </cell>
          <cell r="AN1213" t="str">
            <v/>
          </cell>
          <cell r="AO1213">
            <v>0</v>
          </cell>
          <cell r="AP1213">
            <v>0</v>
          </cell>
          <cell r="AQ1213">
            <v>0</v>
          </cell>
          <cell r="AR1213">
            <v>800</v>
          </cell>
          <cell r="AS1213">
            <v>0</v>
          </cell>
          <cell r="AT1213" t="str">
            <v/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 t="str">
            <v/>
          </cell>
          <cell r="BK1213">
            <v>4100</v>
          </cell>
          <cell r="BL1213" t="str">
            <v>0</v>
          </cell>
          <cell r="BM1213" t="str">
            <v>1</v>
          </cell>
          <cell r="BN1213" t="str">
            <v/>
          </cell>
          <cell r="BO1213" t="str">
            <v/>
          </cell>
        </row>
        <row r="1214">
          <cell r="A1214">
            <v>1</v>
          </cell>
          <cell r="B1214">
            <v>4839991</v>
          </cell>
          <cell r="C1214" t="str">
            <v>COMPTE DE TRANSFERT</v>
          </cell>
          <cell r="D1214" t="str">
            <v>TRANSFERT ENTRE DIVISION</v>
          </cell>
          <cell r="E1214" t="str">
            <v>O</v>
          </cell>
          <cell r="F1214">
            <v>0</v>
          </cell>
          <cell r="G1214">
            <v>0</v>
          </cell>
          <cell r="H1214">
            <v>-5341</v>
          </cell>
          <cell r="I1214">
            <v>91</v>
          </cell>
          <cell r="J1214">
            <v>5432</v>
          </cell>
          <cell r="K1214">
            <v>0</v>
          </cell>
          <cell r="L1214">
            <v>0</v>
          </cell>
          <cell r="M1214">
            <v>1586</v>
          </cell>
          <cell r="N1214">
            <v>-270</v>
          </cell>
          <cell r="O1214">
            <v>-1219</v>
          </cell>
          <cell r="P1214">
            <v>-1490</v>
          </cell>
          <cell r="Q1214">
            <v>-1581</v>
          </cell>
          <cell r="R1214">
            <v>-1945</v>
          </cell>
          <cell r="S1214">
            <v>-2418</v>
          </cell>
          <cell r="T1214">
            <v>-2943</v>
          </cell>
          <cell r="U1214">
            <v>-3181</v>
          </cell>
          <cell r="V1214">
            <v>-3244</v>
          </cell>
          <cell r="W1214">
            <v>-3244</v>
          </cell>
          <cell r="X1214">
            <v>-5341</v>
          </cell>
          <cell r="Y1214">
            <v>-6927</v>
          </cell>
          <cell r="Z1214">
            <v>-3644</v>
          </cell>
          <cell r="AA1214">
            <v>-6380</v>
          </cell>
          <cell r="AB1214">
            <v>-6865</v>
          </cell>
          <cell r="AC1214">
            <v>-13325</v>
          </cell>
          <cell r="AD1214">
            <v>-15538</v>
          </cell>
          <cell r="AE1214">
            <v>-17274.939999999999</v>
          </cell>
          <cell r="AF1214">
            <v>-18293.14</v>
          </cell>
          <cell r="AG1214">
            <v>-18491.14</v>
          </cell>
          <cell r="AH1214">
            <v>-18521.14</v>
          </cell>
          <cell r="AI1214">
            <v>-18942.14</v>
          </cell>
          <cell r="AJ1214">
            <v>-19409.14</v>
          </cell>
          <cell r="AK1214">
            <v>-24131.14</v>
          </cell>
          <cell r="AL1214">
            <v>0</v>
          </cell>
          <cell r="AM1214">
            <v>1</v>
          </cell>
          <cell r="AN1214" t="str">
            <v/>
          </cell>
          <cell r="AO1214">
            <v>0</v>
          </cell>
          <cell r="AP1214">
            <v>0</v>
          </cell>
          <cell r="AQ1214">
            <v>0</v>
          </cell>
          <cell r="AR1214">
            <v>800</v>
          </cell>
          <cell r="AS1214">
            <v>0</v>
          </cell>
          <cell r="AT1214" t="str">
            <v/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 t="str">
            <v/>
          </cell>
          <cell r="BK1214">
            <v>7000</v>
          </cell>
          <cell r="BL1214" t="str">
            <v>0</v>
          </cell>
          <cell r="BM1214" t="str">
            <v>1</v>
          </cell>
          <cell r="BN1214" t="str">
            <v/>
          </cell>
          <cell r="BO1214" t="str">
            <v/>
          </cell>
        </row>
        <row r="1215">
          <cell r="A1215">
            <v>1</v>
          </cell>
          <cell r="B1215">
            <v>4929991</v>
          </cell>
          <cell r="C1215" t="str">
            <v>COMPTE DE TRANSFERT</v>
          </cell>
          <cell r="D1215" t="str">
            <v>TRANSFERT ENTRE DIVISION</v>
          </cell>
          <cell r="E1215" t="str">
            <v>O</v>
          </cell>
          <cell r="F1215">
            <v>0</v>
          </cell>
          <cell r="G1215">
            <v>0</v>
          </cell>
          <cell r="H1215">
            <v>-20884</v>
          </cell>
          <cell r="I1215">
            <v>324</v>
          </cell>
          <cell r="J1215">
            <v>21208</v>
          </cell>
          <cell r="K1215">
            <v>0</v>
          </cell>
          <cell r="L1215">
            <v>0</v>
          </cell>
          <cell r="M1215">
            <v>2897</v>
          </cell>
          <cell r="N1215">
            <v>-828</v>
          </cell>
          <cell r="O1215">
            <v>-2501</v>
          </cell>
          <cell r="P1215">
            <v>-3801</v>
          </cell>
          <cell r="Q1215">
            <v>-4125</v>
          </cell>
          <cell r="R1215">
            <v>-5339</v>
          </cell>
          <cell r="S1215">
            <v>-12791</v>
          </cell>
          <cell r="T1215">
            <v>-15011</v>
          </cell>
          <cell r="U1215">
            <v>-15837</v>
          </cell>
          <cell r="V1215">
            <v>-18919</v>
          </cell>
          <cell r="W1215">
            <v>-20128</v>
          </cell>
          <cell r="X1215">
            <v>-20884</v>
          </cell>
          <cell r="Y1215">
            <v>-23781</v>
          </cell>
          <cell r="Z1215">
            <v>-2619.9899999999998</v>
          </cell>
          <cell r="AA1215">
            <v>-3491.95</v>
          </cell>
          <cell r="AB1215">
            <v>-7051.92</v>
          </cell>
          <cell r="AC1215">
            <v>-8403.68</v>
          </cell>
          <cell r="AD1215">
            <v>-11819.56</v>
          </cell>
          <cell r="AE1215">
            <v>-11999.97</v>
          </cell>
          <cell r="AF1215">
            <v>-12970.5</v>
          </cell>
          <cell r="AG1215">
            <v>-17278.37</v>
          </cell>
          <cell r="AH1215">
            <v>-21325.5</v>
          </cell>
          <cell r="AI1215">
            <v>-22809.5</v>
          </cell>
          <cell r="AJ1215">
            <v>-23685.5</v>
          </cell>
          <cell r="AK1215">
            <v>-26272.5</v>
          </cell>
          <cell r="AL1215">
            <v>0</v>
          </cell>
          <cell r="AM1215">
            <v>1</v>
          </cell>
          <cell r="AN1215" t="str">
            <v/>
          </cell>
          <cell r="AO1215">
            <v>0</v>
          </cell>
          <cell r="AP1215">
            <v>0</v>
          </cell>
          <cell r="AQ1215">
            <v>0</v>
          </cell>
          <cell r="AR1215">
            <v>810</v>
          </cell>
          <cell r="AS1215">
            <v>0</v>
          </cell>
          <cell r="AT1215" t="str">
            <v/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 t="str">
            <v/>
          </cell>
          <cell r="BK1215">
            <v>7200</v>
          </cell>
          <cell r="BL1215" t="str">
            <v>0</v>
          </cell>
          <cell r="BM1215" t="str">
            <v>1</v>
          </cell>
          <cell r="BN1215" t="str">
            <v/>
          </cell>
          <cell r="BO1215" t="str">
            <v/>
          </cell>
        </row>
        <row r="1216">
          <cell r="A1216">
            <v>1</v>
          </cell>
          <cell r="B1216">
            <v>4979991</v>
          </cell>
          <cell r="C1216" t="str">
            <v>COMPTE DE TRANSFERT</v>
          </cell>
          <cell r="D1216" t="str">
            <v>TRANSFERT ENTRE DIVISION</v>
          </cell>
          <cell r="E1216" t="str">
            <v>O</v>
          </cell>
          <cell r="F1216">
            <v>0</v>
          </cell>
          <cell r="G1216">
            <v>0</v>
          </cell>
          <cell r="H1216">
            <v>-140</v>
          </cell>
          <cell r="I1216">
            <v>7890</v>
          </cell>
          <cell r="J1216">
            <v>8030</v>
          </cell>
          <cell r="K1216">
            <v>0</v>
          </cell>
          <cell r="L1216">
            <v>0</v>
          </cell>
          <cell r="M1216">
            <v>0</v>
          </cell>
          <cell r="N1216">
            <v>-7750</v>
          </cell>
          <cell r="O1216">
            <v>0</v>
          </cell>
          <cell r="P1216">
            <v>0</v>
          </cell>
          <cell r="Q1216">
            <v>-140</v>
          </cell>
          <cell r="R1216">
            <v>-140</v>
          </cell>
          <cell r="S1216">
            <v>-140</v>
          </cell>
          <cell r="T1216">
            <v>-140</v>
          </cell>
          <cell r="U1216">
            <v>-140</v>
          </cell>
          <cell r="V1216">
            <v>-140</v>
          </cell>
          <cell r="W1216">
            <v>-140</v>
          </cell>
          <cell r="X1216">
            <v>-140</v>
          </cell>
          <cell r="Y1216">
            <v>-140</v>
          </cell>
          <cell r="Z1216">
            <v>-3875</v>
          </cell>
          <cell r="AA1216">
            <v>-7749</v>
          </cell>
          <cell r="AB1216">
            <v>-12053</v>
          </cell>
          <cell r="AC1216">
            <v>-15366</v>
          </cell>
          <cell r="AD1216">
            <v>-18574</v>
          </cell>
          <cell r="AE1216">
            <v>-21782</v>
          </cell>
          <cell r="AF1216">
            <v>-24990</v>
          </cell>
          <cell r="AG1216">
            <v>-28198</v>
          </cell>
          <cell r="AH1216">
            <v>-31398</v>
          </cell>
          <cell r="AI1216">
            <v>-34606</v>
          </cell>
          <cell r="AJ1216">
            <v>-37814</v>
          </cell>
          <cell r="AK1216">
            <v>-41022</v>
          </cell>
          <cell r="AL1216">
            <v>0</v>
          </cell>
          <cell r="AM1216">
            <v>1</v>
          </cell>
          <cell r="AN1216" t="str">
            <v/>
          </cell>
          <cell r="AO1216">
            <v>0</v>
          </cell>
          <cell r="AP1216">
            <v>0</v>
          </cell>
          <cell r="AQ1216">
            <v>0</v>
          </cell>
          <cell r="AR1216">
            <v>810</v>
          </cell>
          <cell r="AS1216">
            <v>0</v>
          </cell>
          <cell r="AT1216" t="str">
            <v/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 t="str">
            <v/>
          </cell>
          <cell r="BK1216">
            <v>7200</v>
          </cell>
          <cell r="BL1216" t="str">
            <v>0</v>
          </cell>
          <cell r="BM1216" t="str">
            <v>1</v>
          </cell>
          <cell r="BN1216" t="str">
            <v/>
          </cell>
          <cell r="BO1216" t="str">
            <v/>
          </cell>
        </row>
        <row r="1217">
          <cell r="A1217">
            <v>1</v>
          </cell>
          <cell r="B1217">
            <v>4989991</v>
          </cell>
          <cell r="C1217" t="str">
            <v>COMPTE DE TRANSFERT</v>
          </cell>
          <cell r="D1217" t="str">
            <v>TRANSFERT ENTRE DIVISION</v>
          </cell>
          <cell r="E1217" t="str">
            <v>O</v>
          </cell>
          <cell r="F1217">
            <v>0</v>
          </cell>
          <cell r="G1217">
            <v>0</v>
          </cell>
          <cell r="H1217">
            <v>-17485</v>
          </cell>
          <cell r="I1217">
            <v>46808</v>
          </cell>
          <cell r="J1217">
            <v>64293</v>
          </cell>
          <cell r="K1217">
            <v>0</v>
          </cell>
          <cell r="L1217">
            <v>0</v>
          </cell>
          <cell r="M1217">
            <v>6994</v>
          </cell>
          <cell r="N1217">
            <v>-884</v>
          </cell>
          <cell r="O1217">
            <v>-5464</v>
          </cell>
          <cell r="P1217">
            <v>-9005</v>
          </cell>
          <cell r="Q1217">
            <v>-55813</v>
          </cell>
          <cell r="R1217">
            <v>-9005</v>
          </cell>
          <cell r="S1217">
            <v>-9005</v>
          </cell>
          <cell r="T1217">
            <v>-9424</v>
          </cell>
          <cell r="U1217">
            <v>-10932</v>
          </cell>
          <cell r="V1217">
            <v>-15696</v>
          </cell>
          <cell r="W1217">
            <v>-16834</v>
          </cell>
          <cell r="X1217">
            <v>-17485</v>
          </cell>
          <cell r="Y1217">
            <v>-24479</v>
          </cell>
          <cell r="Z1217">
            <v>-2286</v>
          </cell>
          <cell r="AA1217">
            <v>-4926</v>
          </cell>
          <cell r="AB1217">
            <v>-8847</v>
          </cell>
          <cell r="AC1217">
            <v>-11113</v>
          </cell>
          <cell r="AD1217">
            <v>-14044</v>
          </cell>
          <cell r="AE1217">
            <v>-25802</v>
          </cell>
          <cell r="AF1217">
            <v>-31820</v>
          </cell>
          <cell r="AG1217">
            <v>-36552</v>
          </cell>
          <cell r="AH1217">
            <v>-40237</v>
          </cell>
          <cell r="AI1217">
            <v>-40873</v>
          </cell>
          <cell r="AJ1217">
            <v>-46281</v>
          </cell>
          <cell r="AK1217">
            <v>-47681</v>
          </cell>
          <cell r="AL1217">
            <v>0</v>
          </cell>
          <cell r="AM1217">
            <v>1</v>
          </cell>
          <cell r="AN1217" t="str">
            <v/>
          </cell>
          <cell r="AO1217">
            <v>0</v>
          </cell>
          <cell r="AP1217">
            <v>0</v>
          </cell>
          <cell r="AQ1217">
            <v>0</v>
          </cell>
          <cell r="AR1217">
            <v>810</v>
          </cell>
          <cell r="AS1217">
            <v>0</v>
          </cell>
          <cell r="AT1217" t="str">
            <v/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 t="str">
            <v/>
          </cell>
          <cell r="BK1217">
            <v>7200</v>
          </cell>
          <cell r="BL1217" t="str">
            <v>0</v>
          </cell>
          <cell r="BM1217" t="str">
            <v>1</v>
          </cell>
          <cell r="BN1217" t="str">
            <v/>
          </cell>
          <cell r="BO1217" t="str">
            <v/>
          </cell>
        </row>
        <row r="1218">
          <cell r="A1218">
            <v>1</v>
          </cell>
          <cell r="B1218">
            <v>5009991</v>
          </cell>
          <cell r="C1218" t="str">
            <v>COMPTE DE TRANSFERT</v>
          </cell>
          <cell r="D1218" t="str">
            <v>TRANSFERT ENTRE DIVISION</v>
          </cell>
          <cell r="E1218" t="str">
            <v>O</v>
          </cell>
          <cell r="F1218">
            <v>0</v>
          </cell>
          <cell r="G1218">
            <v>0</v>
          </cell>
          <cell r="H1218">
            <v>-511341</v>
          </cell>
          <cell r="I1218">
            <v>7027</v>
          </cell>
          <cell r="J1218">
            <v>518368</v>
          </cell>
          <cell r="K1218">
            <v>0</v>
          </cell>
          <cell r="L1218">
            <v>0</v>
          </cell>
          <cell r="M1218">
            <v>46741</v>
          </cell>
          <cell r="N1218">
            <v>-37941</v>
          </cell>
          <cell r="O1218">
            <v>-77455</v>
          </cell>
          <cell r="P1218">
            <v>-120149</v>
          </cell>
          <cell r="Q1218">
            <v>-144676</v>
          </cell>
          <cell r="R1218">
            <v>-227033</v>
          </cell>
          <cell r="S1218">
            <v>-283105</v>
          </cell>
          <cell r="T1218">
            <v>-306398</v>
          </cell>
          <cell r="U1218">
            <v>-340664</v>
          </cell>
          <cell r="V1218">
            <v>-411242</v>
          </cell>
          <cell r="W1218">
            <v>-460085</v>
          </cell>
          <cell r="X1218">
            <v>-511341</v>
          </cell>
          <cell r="Y1218">
            <v>-558082</v>
          </cell>
          <cell r="Z1218">
            <v>-57572.27</v>
          </cell>
          <cell r="AA1218">
            <v>-120221.79</v>
          </cell>
          <cell r="AB1218">
            <v>-173534.5</v>
          </cell>
          <cell r="AC1218">
            <v>-222747.51</v>
          </cell>
          <cell r="AD1218">
            <v>-258691.21</v>
          </cell>
          <cell r="AE1218">
            <v>-308283.92</v>
          </cell>
          <cell r="AF1218">
            <v>-360346.76</v>
          </cell>
          <cell r="AG1218">
            <v>-411196.41</v>
          </cell>
          <cell r="AH1218">
            <v>-455773.61</v>
          </cell>
          <cell r="AI1218">
            <v>-492977.61</v>
          </cell>
          <cell r="AJ1218">
            <v>-584417.61</v>
          </cell>
          <cell r="AK1218">
            <v>-597038.61</v>
          </cell>
          <cell r="AL1218">
            <v>0</v>
          </cell>
          <cell r="AM1218">
            <v>1</v>
          </cell>
          <cell r="AN1218" t="str">
            <v/>
          </cell>
          <cell r="AO1218">
            <v>0</v>
          </cell>
          <cell r="AP1218">
            <v>0</v>
          </cell>
          <cell r="AQ1218">
            <v>0</v>
          </cell>
          <cell r="AR1218">
            <v>810</v>
          </cell>
          <cell r="AS1218">
            <v>0</v>
          </cell>
          <cell r="AT1218" t="str">
            <v/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 t="str">
            <v/>
          </cell>
          <cell r="BK1218">
            <v>7200</v>
          </cell>
          <cell r="BL1218" t="str">
            <v>0</v>
          </cell>
          <cell r="BM1218" t="str">
            <v>1</v>
          </cell>
          <cell r="BN1218" t="str">
            <v/>
          </cell>
          <cell r="BO1218" t="str">
            <v/>
          </cell>
        </row>
        <row r="1219">
          <cell r="A1219">
            <v>1</v>
          </cell>
          <cell r="B1219">
            <v>5039991</v>
          </cell>
          <cell r="C1219" t="str">
            <v>COMPTE DE TRANSFERT</v>
          </cell>
          <cell r="D1219" t="str">
            <v>TRANSFERT ENTRE DIVISION</v>
          </cell>
          <cell r="E1219" t="str">
            <v>O</v>
          </cell>
          <cell r="F1219">
            <v>0</v>
          </cell>
          <cell r="G1219">
            <v>0</v>
          </cell>
          <cell r="H1219">
            <v>-170038</v>
          </cell>
          <cell r="I1219">
            <v>280</v>
          </cell>
          <cell r="J1219">
            <v>170318</v>
          </cell>
          <cell r="K1219">
            <v>0</v>
          </cell>
          <cell r="L1219">
            <v>0</v>
          </cell>
          <cell r="M1219">
            <v>15458</v>
          </cell>
          <cell r="N1219">
            <v>-12320</v>
          </cell>
          <cell r="O1219">
            <v>-30916</v>
          </cell>
          <cell r="P1219">
            <v>-46374</v>
          </cell>
          <cell r="Q1219">
            <v>-46654</v>
          </cell>
          <cell r="R1219">
            <v>-77290</v>
          </cell>
          <cell r="S1219">
            <v>-92748</v>
          </cell>
          <cell r="T1219">
            <v>-108206</v>
          </cell>
          <cell r="U1219">
            <v>-123664</v>
          </cell>
          <cell r="V1219">
            <v>-139122</v>
          </cell>
          <cell r="W1219">
            <v>-154580</v>
          </cell>
          <cell r="X1219">
            <v>-170038</v>
          </cell>
          <cell r="Y1219">
            <v>-185496</v>
          </cell>
          <cell r="Z1219">
            <v>-2576</v>
          </cell>
          <cell r="AA1219">
            <v>-14896</v>
          </cell>
          <cell r="AB1219">
            <v>-27216</v>
          </cell>
          <cell r="AC1219">
            <v>-39536</v>
          </cell>
          <cell r="AD1219">
            <v>-51856</v>
          </cell>
          <cell r="AE1219">
            <v>-61360</v>
          </cell>
          <cell r="AF1219">
            <v>-70160</v>
          </cell>
          <cell r="AG1219">
            <v>-78960</v>
          </cell>
          <cell r="AH1219">
            <v>-87760</v>
          </cell>
          <cell r="AI1219">
            <v>-96560</v>
          </cell>
          <cell r="AJ1219">
            <v>-96560</v>
          </cell>
          <cell r="AK1219">
            <v>-105360</v>
          </cell>
          <cell r="AL1219">
            <v>0</v>
          </cell>
          <cell r="AM1219">
            <v>1</v>
          </cell>
          <cell r="AN1219" t="str">
            <v/>
          </cell>
          <cell r="AO1219">
            <v>0</v>
          </cell>
          <cell r="AP1219">
            <v>0</v>
          </cell>
          <cell r="AQ1219">
            <v>0</v>
          </cell>
          <cell r="AR1219">
            <v>810</v>
          </cell>
          <cell r="AS1219">
            <v>0</v>
          </cell>
          <cell r="AT1219" t="str">
            <v/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 t="str">
            <v/>
          </cell>
          <cell r="BK1219">
            <v>7200</v>
          </cell>
          <cell r="BL1219" t="str">
            <v>0</v>
          </cell>
          <cell r="BM1219" t="str">
            <v>1</v>
          </cell>
          <cell r="BN1219" t="str">
            <v/>
          </cell>
          <cell r="BO1219" t="str">
            <v/>
          </cell>
        </row>
        <row r="1220">
          <cell r="A1220">
            <v>1</v>
          </cell>
          <cell r="B1220">
            <v>5129991</v>
          </cell>
          <cell r="C1220" t="str">
            <v>COMPTE DE TRANSFERT</v>
          </cell>
          <cell r="D1220" t="str">
            <v>TRANSFERT ENTRE DIVISION</v>
          </cell>
          <cell r="E1220" t="str">
            <v>O</v>
          </cell>
          <cell r="F1220">
            <v>0</v>
          </cell>
          <cell r="G1220">
            <v>0</v>
          </cell>
          <cell r="H1220">
            <v>18412</v>
          </cell>
          <cell r="I1220">
            <v>31319</v>
          </cell>
          <cell r="J1220">
            <v>12907</v>
          </cell>
          <cell r="K1220">
            <v>0</v>
          </cell>
          <cell r="L1220">
            <v>15780</v>
          </cell>
          <cell r="M1220">
            <v>0</v>
          </cell>
          <cell r="N1220">
            <v>-2195</v>
          </cell>
          <cell r="O1220">
            <v>-2646</v>
          </cell>
          <cell r="P1220">
            <v>821</v>
          </cell>
          <cell r="Q1220">
            <v>-4502</v>
          </cell>
          <cell r="R1220">
            <v>2027</v>
          </cell>
          <cell r="S1220">
            <v>4559</v>
          </cell>
          <cell r="T1220">
            <v>11132</v>
          </cell>
          <cell r="U1220">
            <v>16455</v>
          </cell>
          <cell r="V1220">
            <v>20005</v>
          </cell>
          <cell r="W1220">
            <v>23270</v>
          </cell>
          <cell r="X1220">
            <v>18412</v>
          </cell>
          <cell r="Y1220">
            <v>34192</v>
          </cell>
          <cell r="Z1220">
            <v>-4057</v>
          </cell>
          <cell r="AA1220">
            <v>-9118</v>
          </cell>
          <cell r="AB1220">
            <v>-6390</v>
          </cell>
          <cell r="AC1220">
            <v>2567</v>
          </cell>
          <cell r="AD1220">
            <v>-4139</v>
          </cell>
          <cell r="AE1220">
            <v>-8313</v>
          </cell>
          <cell r="AF1220">
            <v>-8627</v>
          </cell>
          <cell r="AG1220">
            <v>-9093</v>
          </cell>
          <cell r="AH1220">
            <v>-9093</v>
          </cell>
          <cell r="AI1220">
            <v>-9093</v>
          </cell>
          <cell r="AJ1220">
            <v>-9093</v>
          </cell>
          <cell r="AK1220">
            <v>7408</v>
          </cell>
          <cell r="AL1220">
            <v>0</v>
          </cell>
          <cell r="AM1220">
            <v>1</v>
          </cell>
          <cell r="AN1220" t="str">
            <v/>
          </cell>
          <cell r="AO1220">
            <v>0</v>
          </cell>
          <cell r="AP1220">
            <v>0</v>
          </cell>
          <cell r="AQ1220">
            <v>0</v>
          </cell>
          <cell r="AR1220">
            <v>820</v>
          </cell>
          <cell r="AS1220">
            <v>0</v>
          </cell>
          <cell r="AT1220" t="str">
            <v/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 t="str">
            <v/>
          </cell>
          <cell r="BK1220">
            <v>7300</v>
          </cell>
          <cell r="BL1220" t="str">
            <v>0</v>
          </cell>
          <cell r="BM1220" t="str">
            <v>1</v>
          </cell>
          <cell r="BN1220" t="str">
            <v/>
          </cell>
          <cell r="BO1220" t="str">
            <v/>
          </cell>
        </row>
        <row r="1221">
          <cell r="A1221">
            <v>1</v>
          </cell>
          <cell r="B1221">
            <v>5169991</v>
          </cell>
          <cell r="C1221" t="str">
            <v>COMPTE DE TRANSFERT</v>
          </cell>
          <cell r="D1221" t="str">
            <v>TRANSFERT ENTRE DIVISION</v>
          </cell>
          <cell r="E1221" t="str">
            <v>O</v>
          </cell>
          <cell r="F1221">
            <v>0</v>
          </cell>
          <cell r="G1221">
            <v>0</v>
          </cell>
          <cell r="H1221">
            <v>-60230</v>
          </cell>
          <cell r="I1221">
            <v>0</v>
          </cell>
          <cell r="J1221">
            <v>60230</v>
          </cell>
          <cell r="K1221">
            <v>0</v>
          </cell>
          <cell r="L1221">
            <v>0</v>
          </cell>
          <cell r="M1221">
            <v>4218</v>
          </cell>
          <cell r="N1221">
            <v>-5262</v>
          </cell>
          <cell r="O1221">
            <v>-10210</v>
          </cell>
          <cell r="P1221">
            <v>-15582</v>
          </cell>
          <cell r="Q1221">
            <v>-15582</v>
          </cell>
          <cell r="R1221">
            <v>-27009</v>
          </cell>
          <cell r="S1221">
            <v>-33134</v>
          </cell>
          <cell r="T1221">
            <v>-39535</v>
          </cell>
          <cell r="U1221">
            <v>-45920</v>
          </cell>
          <cell r="V1221">
            <v>-51894</v>
          </cell>
          <cell r="W1221">
            <v>-56136</v>
          </cell>
          <cell r="X1221">
            <v>-60230</v>
          </cell>
          <cell r="Y1221">
            <v>-64448</v>
          </cell>
          <cell r="Z1221">
            <v>-8700</v>
          </cell>
          <cell r="AA1221">
            <v>-17283</v>
          </cell>
          <cell r="AB1221">
            <v>-24918</v>
          </cell>
          <cell r="AC1221">
            <v>-33420</v>
          </cell>
          <cell r="AD1221">
            <v>-41806</v>
          </cell>
          <cell r="AE1221">
            <v>-49623</v>
          </cell>
          <cell r="AF1221">
            <v>-57701</v>
          </cell>
          <cell r="AG1221">
            <v>-66005</v>
          </cell>
          <cell r="AH1221">
            <v>-74041</v>
          </cell>
          <cell r="AI1221">
            <v>-82345</v>
          </cell>
          <cell r="AJ1221">
            <v>-89715</v>
          </cell>
          <cell r="AK1221">
            <v>-89715</v>
          </cell>
          <cell r="AL1221">
            <v>0</v>
          </cell>
          <cell r="AM1221">
            <v>1</v>
          </cell>
          <cell r="AN1221" t="str">
            <v/>
          </cell>
          <cell r="AO1221">
            <v>0</v>
          </cell>
          <cell r="AP1221">
            <v>0</v>
          </cell>
          <cell r="AQ1221">
            <v>0</v>
          </cell>
          <cell r="AR1221">
            <v>830</v>
          </cell>
          <cell r="AS1221">
            <v>0</v>
          </cell>
          <cell r="AT1221" t="str">
            <v/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 t="str">
            <v/>
          </cell>
          <cell r="BK1221">
            <v>7300</v>
          </cell>
          <cell r="BL1221" t="str">
            <v>0</v>
          </cell>
          <cell r="BM1221" t="str">
            <v>1</v>
          </cell>
          <cell r="BN1221" t="str">
            <v/>
          </cell>
          <cell r="BO1221" t="str">
            <v/>
          </cell>
        </row>
        <row r="1222">
          <cell r="A1222">
            <v>1</v>
          </cell>
          <cell r="B1222">
            <v>5219991</v>
          </cell>
          <cell r="C1222" t="str">
            <v>COMPTE DE TRANSFERT</v>
          </cell>
          <cell r="D1222" t="str">
            <v>TRANSFERT ENTRE DIVISION</v>
          </cell>
          <cell r="E1222" t="str">
            <v>O</v>
          </cell>
          <cell r="F1222">
            <v>0</v>
          </cell>
          <cell r="G1222">
            <v>0</v>
          </cell>
          <cell r="H1222">
            <v>0</v>
          </cell>
          <cell r="I1222">
            <v>100000</v>
          </cell>
          <cell r="J1222">
            <v>100000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-411.6</v>
          </cell>
          <cell r="AA1222">
            <v>6242.39</v>
          </cell>
          <cell r="AB1222">
            <v>6242.39</v>
          </cell>
          <cell r="AC1222">
            <v>6242.39</v>
          </cell>
          <cell r="AD1222">
            <v>6242.39</v>
          </cell>
          <cell r="AE1222">
            <v>6242.39</v>
          </cell>
          <cell r="AF1222">
            <v>6242.39</v>
          </cell>
          <cell r="AG1222">
            <v>6242.39</v>
          </cell>
          <cell r="AH1222">
            <v>6242.39</v>
          </cell>
          <cell r="AI1222">
            <v>6242.39</v>
          </cell>
          <cell r="AJ1222">
            <v>6242.39</v>
          </cell>
          <cell r="AK1222">
            <v>6242.39</v>
          </cell>
          <cell r="AL1222">
            <v>0</v>
          </cell>
          <cell r="AM1222">
            <v>1</v>
          </cell>
          <cell r="AN1222" t="str">
            <v/>
          </cell>
          <cell r="AO1222">
            <v>0</v>
          </cell>
          <cell r="AP1222">
            <v>0</v>
          </cell>
          <cell r="AQ1222">
            <v>0</v>
          </cell>
          <cell r="AR1222">
            <v>810</v>
          </cell>
          <cell r="AS1222">
            <v>0</v>
          </cell>
          <cell r="AT1222" t="str">
            <v/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 t="str">
            <v/>
          </cell>
          <cell r="BK1222">
            <v>8000</v>
          </cell>
          <cell r="BL1222" t="str">
            <v>0</v>
          </cell>
          <cell r="BM1222" t="str">
            <v>1</v>
          </cell>
          <cell r="BN1222" t="str">
            <v/>
          </cell>
          <cell r="BO1222" t="str">
            <v/>
          </cell>
        </row>
        <row r="1223">
          <cell r="A1223">
            <v>1</v>
          </cell>
          <cell r="B1223">
            <v>5259991</v>
          </cell>
          <cell r="C1223" t="str">
            <v>COMPTE DE TRANSFERT</v>
          </cell>
          <cell r="D1223" t="str">
            <v>TRANSFERT ENTRE DIVISION</v>
          </cell>
          <cell r="E1223" t="str">
            <v>O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1</v>
          </cell>
          <cell r="AN1223" t="str">
            <v/>
          </cell>
          <cell r="AO1223">
            <v>0</v>
          </cell>
          <cell r="AP1223">
            <v>0</v>
          </cell>
          <cell r="AQ1223">
            <v>0</v>
          </cell>
          <cell r="AR1223">
            <v>810</v>
          </cell>
          <cell r="AS1223">
            <v>0</v>
          </cell>
          <cell r="AT1223" t="str">
            <v/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 t="str">
            <v/>
          </cell>
          <cell r="BK1223">
            <v>8000</v>
          </cell>
          <cell r="BL1223" t="str">
            <v>0</v>
          </cell>
          <cell r="BM1223" t="str">
            <v>1</v>
          </cell>
          <cell r="BN1223" t="str">
            <v/>
          </cell>
          <cell r="BO1223" t="str">
            <v/>
          </cell>
        </row>
        <row r="1224">
          <cell r="A1224">
            <v>1</v>
          </cell>
          <cell r="B1224">
            <v>5309991</v>
          </cell>
          <cell r="C1224" t="str">
            <v>COMPTE DE TRANSFERT</v>
          </cell>
          <cell r="D1224" t="str">
            <v>TRANSFERT ENTRE DIVISION</v>
          </cell>
          <cell r="E1224" t="str">
            <v>O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1</v>
          </cell>
          <cell r="AN1224" t="str">
            <v/>
          </cell>
          <cell r="AO1224">
            <v>0</v>
          </cell>
          <cell r="AP1224">
            <v>0</v>
          </cell>
          <cell r="AQ1224">
            <v>0</v>
          </cell>
          <cell r="AR1224">
            <v>810</v>
          </cell>
          <cell r="AS1224">
            <v>0</v>
          </cell>
          <cell r="AT1224" t="str">
            <v/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 t="str">
            <v/>
          </cell>
          <cell r="BK1224">
            <v>8000</v>
          </cell>
          <cell r="BL1224" t="str">
            <v>0</v>
          </cell>
          <cell r="BM1224" t="str">
            <v>1</v>
          </cell>
          <cell r="BN1224" t="str">
            <v/>
          </cell>
          <cell r="BO1224" t="str">
            <v/>
          </cell>
        </row>
        <row r="1225">
          <cell r="A1225">
            <v>1</v>
          </cell>
          <cell r="B1225">
            <v>5359991</v>
          </cell>
          <cell r="C1225" t="str">
            <v>COMPTE DE TRANSFERT</v>
          </cell>
          <cell r="D1225" t="str">
            <v>TRANSFERT ENTRE DIVISION</v>
          </cell>
          <cell r="E1225" t="str">
            <v>O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1</v>
          </cell>
          <cell r="AN1225" t="str">
            <v/>
          </cell>
          <cell r="AO1225">
            <v>0</v>
          </cell>
          <cell r="AP1225">
            <v>0</v>
          </cell>
          <cell r="AQ1225">
            <v>0</v>
          </cell>
          <cell r="AR1225">
            <v>850</v>
          </cell>
          <cell r="AS1225">
            <v>0</v>
          </cell>
          <cell r="AT1225" t="str">
            <v/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 t="str">
            <v/>
          </cell>
          <cell r="BK1225">
            <v>8500</v>
          </cell>
          <cell r="BL1225" t="str">
            <v>0</v>
          </cell>
          <cell r="BM1225" t="str">
            <v>1</v>
          </cell>
          <cell r="BN1225" t="str">
            <v/>
          </cell>
          <cell r="BO1225" t="str">
            <v/>
          </cell>
        </row>
        <row r="1226">
          <cell r="A1226">
            <v>1</v>
          </cell>
          <cell r="B1226">
            <v>5019991</v>
          </cell>
          <cell r="C1226" t="str">
            <v>COMPTE DE TRANSFERT</v>
          </cell>
          <cell r="D1226" t="str">
            <v>TRANSFERT ENTRE DIVISION</v>
          </cell>
          <cell r="E1226" t="str">
            <v>O</v>
          </cell>
          <cell r="F1226">
            <v>0</v>
          </cell>
          <cell r="G1226">
            <v>0</v>
          </cell>
          <cell r="H1226">
            <v>-67463</v>
          </cell>
          <cell r="I1226">
            <v>2757</v>
          </cell>
          <cell r="J1226">
            <v>70220</v>
          </cell>
          <cell r="K1226">
            <v>0</v>
          </cell>
          <cell r="L1226">
            <v>0</v>
          </cell>
          <cell r="M1226">
            <v>9222</v>
          </cell>
          <cell r="N1226">
            <v>-7078</v>
          </cell>
          <cell r="O1226">
            <v>-13338</v>
          </cell>
          <cell r="P1226">
            <v>-14406</v>
          </cell>
          <cell r="Q1226">
            <v>-17163</v>
          </cell>
          <cell r="R1226">
            <v>-24283</v>
          </cell>
          <cell r="S1226">
            <v>-34485</v>
          </cell>
          <cell r="T1226">
            <v>-38656</v>
          </cell>
          <cell r="U1226">
            <v>-46307</v>
          </cell>
          <cell r="V1226">
            <v>-55474</v>
          </cell>
          <cell r="W1226">
            <v>-62040</v>
          </cell>
          <cell r="X1226">
            <v>-67463</v>
          </cell>
          <cell r="Y1226">
            <v>-76685</v>
          </cell>
          <cell r="Z1226">
            <v>-22005.56</v>
          </cell>
          <cell r="AA1226">
            <v>-40073.57</v>
          </cell>
          <cell r="AB1226">
            <v>-55563.63</v>
          </cell>
          <cell r="AC1226">
            <v>-70272.63</v>
          </cell>
          <cell r="AD1226">
            <v>-86502.75</v>
          </cell>
          <cell r="AE1226">
            <v>-107150.05</v>
          </cell>
          <cell r="AF1226">
            <v>-114128.6</v>
          </cell>
          <cell r="AG1226">
            <v>-125871.59</v>
          </cell>
          <cell r="AH1226">
            <v>-140302.51</v>
          </cell>
          <cell r="AI1226">
            <v>-151573.51</v>
          </cell>
          <cell r="AJ1226">
            <v>-159488.51</v>
          </cell>
          <cell r="AK1226">
            <v>-159488.51</v>
          </cell>
          <cell r="AL1226">
            <v>0</v>
          </cell>
          <cell r="AM1226">
            <v>1</v>
          </cell>
          <cell r="AN1226" t="str">
            <v/>
          </cell>
          <cell r="AO1226">
            <v>0</v>
          </cell>
          <cell r="AP1226">
            <v>0</v>
          </cell>
          <cell r="AQ1226">
            <v>0</v>
          </cell>
          <cell r="AR1226">
            <v>810</v>
          </cell>
          <cell r="AS1226">
            <v>0</v>
          </cell>
          <cell r="AT1226" t="str">
            <v/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 t="str">
            <v/>
          </cell>
          <cell r="BK1226">
            <v>7200</v>
          </cell>
          <cell r="BL1226" t="str">
            <v>0</v>
          </cell>
          <cell r="BM1226" t="str">
            <v>1</v>
          </cell>
          <cell r="BN1226" t="str">
            <v/>
          </cell>
          <cell r="BO1226" t="str">
            <v/>
          </cell>
        </row>
        <row r="1227">
          <cell r="A1227">
            <v>1</v>
          </cell>
          <cell r="B1227">
            <v>5251011</v>
          </cell>
          <cell r="C1227" t="str">
            <v>FRAIS DE GESTION</v>
          </cell>
          <cell r="D1227" t="str">
            <v>PARTAGE- EMPLOYE USINE 4%</v>
          </cell>
          <cell r="E1227" t="str">
            <v>O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1</v>
          </cell>
          <cell r="AN1227" t="str">
            <v/>
          </cell>
          <cell r="AO1227">
            <v>0</v>
          </cell>
          <cell r="AP1227">
            <v>0</v>
          </cell>
          <cell r="AQ1227">
            <v>0</v>
          </cell>
          <cell r="AR1227">
            <v>690</v>
          </cell>
          <cell r="AS1227">
            <v>0</v>
          </cell>
          <cell r="AT1227" t="str">
            <v/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 t="str">
            <v/>
          </cell>
          <cell r="BK1227">
            <v>8000</v>
          </cell>
          <cell r="BL1227" t="str">
            <v>0</v>
          </cell>
          <cell r="BM1227" t="str">
            <v>1</v>
          </cell>
          <cell r="BN1227" t="str">
            <v/>
          </cell>
          <cell r="BO1227" t="str">
            <v/>
          </cell>
        </row>
        <row r="1228">
          <cell r="A1228">
            <v>1</v>
          </cell>
          <cell r="B1228">
            <v>4430031</v>
          </cell>
          <cell r="C1228" t="str">
            <v>CONTROLE QUALITÉ</v>
          </cell>
          <cell r="D1228" t="str">
            <v>MEASUREX</v>
          </cell>
          <cell r="E1228" t="str">
            <v>O</v>
          </cell>
          <cell r="F1228">
            <v>0</v>
          </cell>
          <cell r="G1228">
            <v>0</v>
          </cell>
          <cell r="H1228">
            <v>78494.06</v>
          </cell>
          <cell r="I1228">
            <v>151055.21</v>
          </cell>
          <cell r="J1228">
            <v>72561.149999999994</v>
          </cell>
          <cell r="K1228">
            <v>0</v>
          </cell>
          <cell r="L1228">
            <v>19532.88</v>
          </cell>
          <cell r="M1228">
            <v>11420.09</v>
          </cell>
          <cell r="N1228">
            <v>776.57</v>
          </cell>
          <cell r="O1228">
            <v>13272.12</v>
          </cell>
          <cell r="P1228">
            <v>19036.12</v>
          </cell>
          <cell r="Q1228">
            <v>24867.8</v>
          </cell>
          <cell r="R1228">
            <v>31839.3</v>
          </cell>
          <cell r="S1228">
            <v>37664.449999999997</v>
          </cell>
          <cell r="T1228">
            <v>43502.37</v>
          </cell>
          <cell r="U1228">
            <v>49324.37</v>
          </cell>
          <cell r="V1228">
            <v>62049.49</v>
          </cell>
          <cell r="W1228">
            <v>67871.490000000005</v>
          </cell>
          <cell r="X1228">
            <v>78494.06</v>
          </cell>
          <cell r="Y1228">
            <v>86606.85</v>
          </cell>
          <cell r="Z1228">
            <v>0</v>
          </cell>
          <cell r="AA1228">
            <v>17973.16</v>
          </cell>
          <cell r="AB1228">
            <v>22215.42</v>
          </cell>
          <cell r="AC1228">
            <v>27676.42</v>
          </cell>
          <cell r="AD1228">
            <v>32656.22</v>
          </cell>
          <cell r="AE1228">
            <v>37782.080000000002</v>
          </cell>
          <cell r="AF1228">
            <v>42031.08</v>
          </cell>
          <cell r="AG1228">
            <v>49641.34</v>
          </cell>
          <cell r="AH1228">
            <v>54280.86</v>
          </cell>
          <cell r="AI1228">
            <v>58529.86</v>
          </cell>
          <cell r="AJ1228">
            <v>62989.38</v>
          </cell>
          <cell r="AK1228">
            <v>67237.990000000005</v>
          </cell>
          <cell r="AL1228">
            <v>0</v>
          </cell>
          <cell r="AM1228">
            <v>1</v>
          </cell>
          <cell r="AN1228" t="str">
            <v/>
          </cell>
          <cell r="AO1228">
            <v>0</v>
          </cell>
          <cell r="AP1228">
            <v>0</v>
          </cell>
          <cell r="AQ1228">
            <v>0</v>
          </cell>
          <cell r="AR1228">
            <v>720</v>
          </cell>
          <cell r="AS1228">
            <v>0</v>
          </cell>
          <cell r="AT1228" t="str">
            <v/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 t="str">
            <v/>
          </cell>
          <cell r="BK1228">
            <v>7000</v>
          </cell>
          <cell r="BL1228" t="str">
            <v>0</v>
          </cell>
          <cell r="BM1228" t="str">
            <v>1</v>
          </cell>
          <cell r="BN1228" t="str">
            <v/>
          </cell>
          <cell r="BO1228" t="str">
            <v/>
          </cell>
        </row>
        <row r="1229">
          <cell r="A1229">
            <v>1</v>
          </cell>
          <cell r="B1229">
            <v>5201029</v>
          </cell>
          <cell r="C1229" t="str">
            <v>AUTRES REVENUS</v>
          </cell>
          <cell r="D1229" t="str">
            <v>DISPENSER</v>
          </cell>
          <cell r="E1229" t="str">
            <v>O</v>
          </cell>
          <cell r="F1229">
            <v>0</v>
          </cell>
          <cell r="G1229">
            <v>0</v>
          </cell>
          <cell r="H1229">
            <v>396546.94</v>
          </cell>
          <cell r="I1229">
            <v>8843.2000000000007</v>
          </cell>
          <cell r="J1229">
            <v>405390.14</v>
          </cell>
          <cell r="K1229">
            <v>0</v>
          </cell>
          <cell r="L1229">
            <v>1141.77</v>
          </cell>
          <cell r="M1229">
            <v>30595.34</v>
          </cell>
          <cell r="N1229">
            <v>32346</v>
          </cell>
          <cell r="O1229">
            <v>52201.25</v>
          </cell>
          <cell r="P1229">
            <v>110084.74</v>
          </cell>
          <cell r="Q1229">
            <v>155398.07999999999</v>
          </cell>
          <cell r="R1229">
            <v>190056.17</v>
          </cell>
          <cell r="S1229">
            <v>213944.03</v>
          </cell>
          <cell r="T1229">
            <v>252818.08</v>
          </cell>
          <cell r="U1229">
            <v>280167.62</v>
          </cell>
          <cell r="V1229">
            <v>328362.65000000002</v>
          </cell>
          <cell r="W1229">
            <v>367764.43</v>
          </cell>
          <cell r="X1229">
            <v>396546.94</v>
          </cell>
          <cell r="Y1229">
            <v>426000.51</v>
          </cell>
          <cell r="Z1229">
            <v>29111.27</v>
          </cell>
          <cell r="AA1229">
            <v>62852.14</v>
          </cell>
          <cell r="AB1229">
            <v>117664.38</v>
          </cell>
          <cell r="AC1229">
            <v>172159.67</v>
          </cell>
          <cell r="AD1229">
            <v>249799.09</v>
          </cell>
          <cell r="AE1229">
            <v>352282.72</v>
          </cell>
          <cell r="AF1229">
            <v>429031.27</v>
          </cell>
          <cell r="AG1229">
            <v>464715.56</v>
          </cell>
          <cell r="AH1229">
            <v>539327.28</v>
          </cell>
          <cell r="AI1229">
            <v>581910.55000000005</v>
          </cell>
          <cell r="AJ1229">
            <v>613139.68999999994</v>
          </cell>
          <cell r="AK1229">
            <v>644127.15</v>
          </cell>
          <cell r="AL1229">
            <v>0</v>
          </cell>
          <cell r="AM1229">
            <v>9</v>
          </cell>
          <cell r="AN1229" t="str">
            <v/>
          </cell>
          <cell r="AO1229">
            <v>0</v>
          </cell>
          <cell r="AP1229">
            <v>0</v>
          </cell>
          <cell r="AQ1229">
            <v>0</v>
          </cell>
          <cell r="AR1229">
            <v>600</v>
          </cell>
          <cell r="AS1229">
            <v>0</v>
          </cell>
          <cell r="AT1229" t="str">
            <v/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 t="str">
            <v/>
          </cell>
          <cell r="BK1229">
            <v>7300</v>
          </cell>
          <cell r="BL1229" t="str">
            <v>0</v>
          </cell>
          <cell r="BM1229" t="str">
            <v>1</v>
          </cell>
          <cell r="BN1229" t="str">
            <v/>
          </cell>
          <cell r="BO1229" t="str">
            <v/>
          </cell>
        </row>
        <row r="1230">
          <cell r="A1230">
            <v>1</v>
          </cell>
          <cell r="B1230">
            <v>5201039</v>
          </cell>
          <cell r="C1230" t="str">
            <v>AUTRES REVENUS</v>
          </cell>
          <cell r="D1230" t="str">
            <v>ROULEAUX DE COMPTOIR</v>
          </cell>
          <cell r="E1230" t="str">
            <v>O</v>
          </cell>
          <cell r="F1230">
            <v>0</v>
          </cell>
          <cell r="G1230">
            <v>0</v>
          </cell>
          <cell r="H1230">
            <v>37286.43</v>
          </cell>
          <cell r="I1230">
            <v>0</v>
          </cell>
          <cell r="J1230">
            <v>37286.43</v>
          </cell>
          <cell r="K1230">
            <v>0</v>
          </cell>
          <cell r="L1230">
            <v>0</v>
          </cell>
          <cell r="M1230">
            <v>5529.2</v>
          </cell>
          <cell r="N1230">
            <v>812.64</v>
          </cell>
          <cell r="O1230">
            <v>2918.06</v>
          </cell>
          <cell r="P1230">
            <v>3176.4</v>
          </cell>
          <cell r="Q1230">
            <v>5759.83</v>
          </cell>
          <cell r="R1230">
            <v>14967.39</v>
          </cell>
          <cell r="S1230">
            <v>18964.61</v>
          </cell>
          <cell r="T1230">
            <v>22768.43</v>
          </cell>
          <cell r="U1230">
            <v>25865.82</v>
          </cell>
          <cell r="V1230">
            <v>28073.66</v>
          </cell>
          <cell r="W1230">
            <v>33011.03</v>
          </cell>
          <cell r="X1230">
            <v>37286.43</v>
          </cell>
          <cell r="Y1230">
            <v>42815.63</v>
          </cell>
          <cell r="Z1230">
            <v>2186.16</v>
          </cell>
          <cell r="AA1230">
            <v>6697.93</v>
          </cell>
          <cell r="AB1230">
            <v>12241.46</v>
          </cell>
          <cell r="AC1230">
            <v>14495.17</v>
          </cell>
          <cell r="AD1230">
            <v>20113.2</v>
          </cell>
          <cell r="AE1230">
            <v>25009.62</v>
          </cell>
          <cell r="AF1230">
            <v>30542.43</v>
          </cell>
          <cell r="AG1230">
            <v>33935.93</v>
          </cell>
          <cell r="AH1230">
            <v>35837.32</v>
          </cell>
          <cell r="AI1230">
            <v>40022.019999999997</v>
          </cell>
          <cell r="AJ1230">
            <v>43698.48</v>
          </cell>
          <cell r="AK1230">
            <v>48301.24</v>
          </cell>
          <cell r="AL1230">
            <v>0</v>
          </cell>
          <cell r="AM1230">
            <v>9</v>
          </cell>
          <cell r="AN1230" t="str">
            <v/>
          </cell>
          <cell r="AO1230">
            <v>0</v>
          </cell>
          <cell r="AP1230">
            <v>0</v>
          </cell>
          <cell r="AQ1230">
            <v>0</v>
          </cell>
          <cell r="AR1230">
            <v>600</v>
          </cell>
          <cell r="AS1230">
            <v>0</v>
          </cell>
          <cell r="AT1230" t="str">
            <v/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 t="str">
            <v/>
          </cell>
          <cell r="BK1230">
            <v>7300</v>
          </cell>
          <cell r="BL1230" t="str">
            <v>0</v>
          </cell>
          <cell r="BM1230" t="str">
            <v>1</v>
          </cell>
          <cell r="BN1230" t="str">
            <v/>
          </cell>
          <cell r="BO1230" t="str">
            <v/>
          </cell>
        </row>
        <row r="1231">
          <cell r="A1231">
            <v>1</v>
          </cell>
          <cell r="B1231">
            <v>5211029</v>
          </cell>
          <cell r="C1231" t="str">
            <v>AUTRE DÉPENSE</v>
          </cell>
          <cell r="D1231" t="str">
            <v>ACHATS DISPENSER</v>
          </cell>
          <cell r="E1231" t="str">
            <v>O</v>
          </cell>
          <cell r="F1231">
            <v>0</v>
          </cell>
          <cell r="G1231">
            <v>0</v>
          </cell>
          <cell r="H1231">
            <v>500755.93</v>
          </cell>
          <cell r="I1231">
            <v>2604297.6</v>
          </cell>
          <cell r="J1231">
            <v>2103541.67</v>
          </cell>
          <cell r="K1231">
            <v>0</v>
          </cell>
          <cell r="L1231">
            <v>215822.47</v>
          </cell>
          <cell r="M1231">
            <v>148561.35999999999</v>
          </cell>
          <cell r="N1231">
            <v>19379.560000000001</v>
          </cell>
          <cell r="O1231">
            <v>66677.490000000005</v>
          </cell>
          <cell r="P1231">
            <v>136244.04999999999</v>
          </cell>
          <cell r="Q1231">
            <v>225401.44</v>
          </cell>
          <cell r="R1231">
            <v>259589.86</v>
          </cell>
          <cell r="S1231">
            <v>318390.27</v>
          </cell>
          <cell r="T1231">
            <v>357695.29</v>
          </cell>
          <cell r="U1231">
            <v>387136.16</v>
          </cell>
          <cell r="V1231">
            <v>422923.73</v>
          </cell>
          <cell r="W1231">
            <v>466240.53</v>
          </cell>
          <cell r="X1231">
            <v>500755.93</v>
          </cell>
          <cell r="Y1231">
            <v>568017.04</v>
          </cell>
          <cell r="Z1231">
            <v>45329.84</v>
          </cell>
          <cell r="AA1231">
            <v>94835.17</v>
          </cell>
          <cell r="AB1231">
            <v>174947.5</v>
          </cell>
          <cell r="AC1231">
            <v>238103.1</v>
          </cell>
          <cell r="AD1231">
            <v>321210.15999999997</v>
          </cell>
          <cell r="AE1231">
            <v>461937.01</v>
          </cell>
          <cell r="AF1231">
            <v>521192.42</v>
          </cell>
          <cell r="AG1231">
            <v>638315.31000000006</v>
          </cell>
          <cell r="AH1231">
            <v>764789.67</v>
          </cell>
          <cell r="AI1231">
            <v>831046.37</v>
          </cell>
          <cell r="AJ1231">
            <v>927172.38</v>
          </cell>
          <cell r="AK1231">
            <v>980023.07</v>
          </cell>
          <cell r="AL1231">
            <v>0</v>
          </cell>
          <cell r="AM1231">
            <v>9</v>
          </cell>
          <cell r="AN1231" t="str">
            <v/>
          </cell>
          <cell r="AO1231">
            <v>0</v>
          </cell>
          <cell r="AP1231">
            <v>0</v>
          </cell>
          <cell r="AQ1231">
            <v>0</v>
          </cell>
          <cell r="AR1231">
            <v>600</v>
          </cell>
          <cell r="AS1231">
            <v>0</v>
          </cell>
          <cell r="AT1231" t="str">
            <v/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 t="str">
            <v/>
          </cell>
          <cell r="BK1231">
            <v>8000</v>
          </cell>
          <cell r="BL1231" t="str">
            <v>0</v>
          </cell>
          <cell r="BM1231" t="str">
            <v>1</v>
          </cell>
          <cell r="BN1231" t="str">
            <v/>
          </cell>
          <cell r="BO1231" t="str">
            <v/>
          </cell>
        </row>
        <row r="1232">
          <cell r="A1232">
            <v>1</v>
          </cell>
          <cell r="B1232">
            <v>5211039</v>
          </cell>
          <cell r="C1232" t="str">
            <v>AUTRE DEPENSE</v>
          </cell>
          <cell r="D1232" t="str">
            <v>ACHATS RLX DE COMPTOIR</v>
          </cell>
          <cell r="E1232" t="str">
            <v>O</v>
          </cell>
          <cell r="F1232">
            <v>0</v>
          </cell>
          <cell r="G1232">
            <v>0</v>
          </cell>
          <cell r="H1232">
            <v>28493.16</v>
          </cell>
          <cell r="I1232">
            <v>218875.33</v>
          </cell>
          <cell r="J1232">
            <v>190382.17</v>
          </cell>
          <cell r="K1232">
            <v>0</v>
          </cell>
          <cell r="L1232">
            <v>7132.5</v>
          </cell>
          <cell r="M1232">
            <v>15533.22</v>
          </cell>
          <cell r="N1232">
            <v>2875.5</v>
          </cell>
          <cell r="O1232">
            <v>4731.9399999999996</v>
          </cell>
          <cell r="P1232">
            <v>3927.94</v>
          </cell>
          <cell r="Q1232">
            <v>7599.61</v>
          </cell>
          <cell r="R1232">
            <v>9604.81</v>
          </cell>
          <cell r="S1232">
            <v>11662.81</v>
          </cell>
          <cell r="T1232">
            <v>13345.81</v>
          </cell>
          <cell r="U1232">
            <v>16312.81</v>
          </cell>
          <cell r="V1232">
            <v>17609.439999999999</v>
          </cell>
          <cell r="W1232">
            <v>28493.16</v>
          </cell>
          <cell r="X1232">
            <v>28493.16</v>
          </cell>
          <cell r="Y1232">
            <v>20092.439999999999</v>
          </cell>
          <cell r="Z1232">
            <v>6539</v>
          </cell>
          <cell r="AA1232">
            <v>8404</v>
          </cell>
          <cell r="AB1232">
            <v>11694</v>
          </cell>
          <cell r="AC1232">
            <v>15124</v>
          </cell>
          <cell r="AD1232">
            <v>17518</v>
          </cell>
          <cell r="AE1232">
            <v>23382</v>
          </cell>
          <cell r="AF1232">
            <v>20850</v>
          </cell>
          <cell r="AG1232">
            <v>25911.62</v>
          </cell>
          <cell r="AH1232">
            <v>27817.7</v>
          </cell>
          <cell r="AI1232">
            <v>33316.92</v>
          </cell>
          <cell r="AJ1232">
            <v>35733.480000000003</v>
          </cell>
          <cell r="AK1232">
            <v>39858</v>
          </cell>
          <cell r="AL1232">
            <v>0</v>
          </cell>
          <cell r="AM1232">
            <v>9</v>
          </cell>
          <cell r="AN1232" t="str">
            <v/>
          </cell>
          <cell r="AO1232">
            <v>0</v>
          </cell>
          <cell r="AP1232">
            <v>0</v>
          </cell>
          <cell r="AQ1232">
            <v>0</v>
          </cell>
          <cell r="AR1232">
            <v>600</v>
          </cell>
          <cell r="AS1232">
            <v>0</v>
          </cell>
          <cell r="AT1232" t="str">
            <v/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 t="str">
            <v/>
          </cell>
          <cell r="BK1232">
            <v>8000</v>
          </cell>
          <cell r="BL1232" t="str">
            <v>0</v>
          </cell>
          <cell r="BM1232" t="str">
            <v>1</v>
          </cell>
          <cell r="BN1232" t="str">
            <v/>
          </cell>
          <cell r="BO1232" t="str">
            <v/>
          </cell>
        </row>
        <row r="1233">
          <cell r="A1233">
            <v>1</v>
          </cell>
          <cell r="B1233">
            <v>4489002</v>
          </cell>
          <cell r="C1233" t="str">
            <v>MATRICE</v>
          </cell>
          <cell r="D1233" t="str">
            <v>SERVIETTES</v>
          </cell>
          <cell r="E1233" t="str">
            <v>O</v>
          </cell>
          <cell r="F1233">
            <v>0</v>
          </cell>
          <cell r="G1233">
            <v>0</v>
          </cell>
          <cell r="H1233">
            <v>1433</v>
          </cell>
          <cell r="I1233">
            <v>1433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1433</v>
          </cell>
          <cell r="O1233">
            <v>1433</v>
          </cell>
          <cell r="P1233">
            <v>1433</v>
          </cell>
          <cell r="Q1233">
            <v>1433</v>
          </cell>
          <cell r="R1233">
            <v>1433</v>
          </cell>
          <cell r="S1233">
            <v>1433</v>
          </cell>
          <cell r="T1233">
            <v>1433</v>
          </cell>
          <cell r="U1233">
            <v>1433</v>
          </cell>
          <cell r="V1233">
            <v>1433</v>
          </cell>
          <cell r="W1233">
            <v>1433</v>
          </cell>
          <cell r="X1233">
            <v>1433</v>
          </cell>
          <cell r="Y1233">
            <v>1433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2</v>
          </cell>
          <cell r="AN1233" t="str">
            <v/>
          </cell>
          <cell r="AO1233">
            <v>0</v>
          </cell>
          <cell r="AP1233">
            <v>0</v>
          </cell>
          <cell r="AQ1233">
            <v>0</v>
          </cell>
          <cell r="AR1233">
            <v>720</v>
          </cell>
          <cell r="AS1233">
            <v>0</v>
          </cell>
          <cell r="AT1233" t="str">
            <v/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 t="str">
            <v/>
          </cell>
          <cell r="BK1233">
            <v>7000</v>
          </cell>
          <cell r="BL1233" t="str">
            <v>0</v>
          </cell>
          <cell r="BM1233" t="str">
            <v>1</v>
          </cell>
          <cell r="BN1233" t="str">
            <v/>
          </cell>
          <cell r="BO1233" t="str">
            <v/>
          </cell>
        </row>
        <row r="1234">
          <cell r="A1234">
            <v>1</v>
          </cell>
          <cell r="B1234">
            <v>4341131</v>
          </cell>
          <cell r="C1234" t="str">
            <v>HABILLAGE DE MACHINE</v>
          </cell>
          <cell r="D1234" t="str">
            <v>TOB FELT - FEUTRE HENDRIX</v>
          </cell>
          <cell r="E1234" t="str">
            <v>O</v>
          </cell>
          <cell r="F1234">
            <v>0</v>
          </cell>
          <cell r="G1234">
            <v>0</v>
          </cell>
          <cell r="H1234">
            <v>3041.01</v>
          </cell>
          <cell r="I1234">
            <v>69101.009999999995</v>
          </cell>
          <cell r="J1234">
            <v>66060</v>
          </cell>
          <cell r="K1234">
            <v>0</v>
          </cell>
          <cell r="L1234">
            <v>8904</v>
          </cell>
          <cell r="M1234">
            <v>8904</v>
          </cell>
          <cell r="N1234">
            <v>0</v>
          </cell>
          <cell r="O1234">
            <v>0</v>
          </cell>
          <cell r="P1234">
            <v>-5418</v>
          </cell>
          <cell r="Q1234">
            <v>-3698</v>
          </cell>
          <cell r="R1234">
            <v>-1720</v>
          </cell>
          <cell r="S1234">
            <v>-1720</v>
          </cell>
          <cell r="T1234">
            <v>-1720</v>
          </cell>
          <cell r="U1234">
            <v>2968</v>
          </cell>
          <cell r="V1234">
            <v>3041.01</v>
          </cell>
          <cell r="W1234">
            <v>-6246.99</v>
          </cell>
          <cell r="X1234">
            <v>3041.01</v>
          </cell>
          <cell r="Y1234">
            <v>3041.01</v>
          </cell>
          <cell r="Z1234">
            <v>0</v>
          </cell>
          <cell r="AA1234">
            <v>0</v>
          </cell>
          <cell r="AB1234">
            <v>3440</v>
          </cell>
          <cell r="AC1234">
            <v>3440</v>
          </cell>
          <cell r="AD1234">
            <v>3440</v>
          </cell>
          <cell r="AE1234">
            <v>3440</v>
          </cell>
          <cell r="AF1234">
            <v>3440</v>
          </cell>
          <cell r="AG1234">
            <v>3440</v>
          </cell>
          <cell r="AH1234">
            <v>3440</v>
          </cell>
          <cell r="AI1234">
            <v>3440</v>
          </cell>
          <cell r="AJ1234">
            <v>3440</v>
          </cell>
          <cell r="AK1234">
            <v>3440</v>
          </cell>
          <cell r="AL1234">
            <v>0</v>
          </cell>
          <cell r="AM1234">
            <v>1</v>
          </cell>
          <cell r="AN1234" t="str">
            <v/>
          </cell>
          <cell r="AO1234">
            <v>0</v>
          </cell>
          <cell r="AP1234">
            <v>0</v>
          </cell>
          <cell r="AQ1234">
            <v>0</v>
          </cell>
          <cell r="AR1234">
            <v>720</v>
          </cell>
          <cell r="AS1234">
            <v>0</v>
          </cell>
          <cell r="AT1234" t="str">
            <v/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 t="str">
            <v/>
          </cell>
          <cell r="BK1234">
            <v>6300</v>
          </cell>
          <cell r="BL1234" t="str">
            <v>0</v>
          </cell>
          <cell r="BM1234" t="str">
            <v>1</v>
          </cell>
          <cell r="BN1234" t="str">
            <v/>
          </cell>
          <cell r="BO1234" t="str">
            <v/>
          </cell>
        </row>
        <row r="1235">
          <cell r="A1235">
            <v>1</v>
          </cell>
          <cell r="B1235">
            <v>4341141</v>
          </cell>
          <cell r="C1235" t="str">
            <v>HABILLAGE DE MACHINE</v>
          </cell>
          <cell r="D1235" t="str">
            <v>BOTTOM FELT-FEUT. HENDRIX</v>
          </cell>
          <cell r="E1235" t="str">
            <v>O</v>
          </cell>
          <cell r="F1235">
            <v>0</v>
          </cell>
          <cell r="G1235">
            <v>0</v>
          </cell>
          <cell r="H1235">
            <v>-4688</v>
          </cell>
          <cell r="I1235">
            <v>53076</v>
          </cell>
          <cell r="J1235">
            <v>57764</v>
          </cell>
          <cell r="K1235">
            <v>0</v>
          </cell>
          <cell r="L1235">
            <v>9288</v>
          </cell>
          <cell r="M1235">
            <v>9288</v>
          </cell>
          <cell r="N1235">
            <v>0</v>
          </cell>
          <cell r="O1235">
            <v>0</v>
          </cell>
          <cell r="P1235">
            <v>-2300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-4688</v>
          </cell>
          <cell r="V1235">
            <v>-4688</v>
          </cell>
          <cell r="W1235">
            <v>4600</v>
          </cell>
          <cell r="X1235">
            <v>-4688</v>
          </cell>
          <cell r="Y1235">
            <v>-4688</v>
          </cell>
          <cell r="Z1235">
            <v>0</v>
          </cell>
          <cell r="AA1235">
            <v>0</v>
          </cell>
          <cell r="AB1235">
            <v>4600</v>
          </cell>
          <cell r="AC1235">
            <v>4600</v>
          </cell>
          <cell r="AD1235">
            <v>4600</v>
          </cell>
          <cell r="AE1235">
            <v>4600</v>
          </cell>
          <cell r="AF1235">
            <v>4600</v>
          </cell>
          <cell r="AG1235">
            <v>4600</v>
          </cell>
          <cell r="AH1235">
            <v>4600</v>
          </cell>
          <cell r="AI1235">
            <v>4600</v>
          </cell>
          <cell r="AJ1235">
            <v>4600</v>
          </cell>
          <cell r="AK1235">
            <v>4600</v>
          </cell>
          <cell r="AL1235">
            <v>0</v>
          </cell>
          <cell r="AM1235">
            <v>1</v>
          </cell>
          <cell r="AN1235" t="str">
            <v/>
          </cell>
          <cell r="AO1235">
            <v>0</v>
          </cell>
          <cell r="AP1235">
            <v>0</v>
          </cell>
          <cell r="AQ1235">
            <v>0</v>
          </cell>
          <cell r="AR1235">
            <v>720</v>
          </cell>
          <cell r="AS1235">
            <v>0</v>
          </cell>
          <cell r="AT1235" t="str">
            <v/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 t="str">
            <v/>
          </cell>
          <cell r="BK1235">
            <v>6300</v>
          </cell>
          <cell r="BL1235" t="str">
            <v>0</v>
          </cell>
          <cell r="BM1235" t="str">
            <v>1</v>
          </cell>
          <cell r="BN1235" t="str">
            <v/>
          </cell>
          <cell r="BO1235" t="str">
            <v/>
          </cell>
        </row>
        <row r="1236">
          <cell r="A1236">
            <v>1</v>
          </cell>
          <cell r="B1236">
            <v>4551001</v>
          </cell>
          <cell r="C1236" t="str">
            <v>MATERIEL ROULANT</v>
          </cell>
          <cell r="D1236" t="str">
            <v>LOCATION</v>
          </cell>
          <cell r="E1236" t="str">
            <v>O</v>
          </cell>
          <cell r="F1236">
            <v>0</v>
          </cell>
          <cell r="G1236">
            <v>0</v>
          </cell>
          <cell r="H1236">
            <v>24143.9</v>
          </cell>
          <cell r="I1236">
            <v>26797.7</v>
          </cell>
          <cell r="J1236">
            <v>2653.8</v>
          </cell>
          <cell r="K1236">
            <v>0</v>
          </cell>
          <cell r="L1236">
            <v>0</v>
          </cell>
          <cell r="M1236">
            <v>0</v>
          </cell>
          <cell r="N1236">
            <v>4858.3999999999996</v>
          </cell>
          <cell r="O1236">
            <v>6937.2</v>
          </cell>
          <cell r="P1236">
            <v>11304</v>
          </cell>
          <cell r="Q1236">
            <v>10369.200000000001</v>
          </cell>
          <cell r="R1236">
            <v>14011.2</v>
          </cell>
          <cell r="S1236">
            <v>14011.2</v>
          </cell>
          <cell r="T1236">
            <v>14011.2</v>
          </cell>
          <cell r="U1236">
            <v>15130.1</v>
          </cell>
          <cell r="V1236">
            <v>17868.7</v>
          </cell>
          <cell r="W1236">
            <v>18463.7</v>
          </cell>
          <cell r="X1236">
            <v>24143.9</v>
          </cell>
          <cell r="Y1236">
            <v>24143.9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2030</v>
          </cell>
          <cell r="AE1236">
            <v>2230</v>
          </cell>
          <cell r="AF1236">
            <v>2816.17</v>
          </cell>
          <cell r="AG1236">
            <v>5997.87</v>
          </cell>
          <cell r="AH1236">
            <v>5997.87</v>
          </cell>
          <cell r="AI1236">
            <v>13767.87</v>
          </cell>
          <cell r="AJ1236">
            <v>14548.45</v>
          </cell>
          <cell r="AK1236">
            <v>19213.25</v>
          </cell>
          <cell r="AL1236">
            <v>0</v>
          </cell>
          <cell r="AM1236">
            <v>1</v>
          </cell>
          <cell r="AN1236" t="str">
            <v/>
          </cell>
          <cell r="AO1236">
            <v>0</v>
          </cell>
          <cell r="AP1236">
            <v>0</v>
          </cell>
          <cell r="AQ1236">
            <v>0</v>
          </cell>
          <cell r="AR1236">
            <v>750</v>
          </cell>
          <cell r="AS1236">
            <v>0</v>
          </cell>
          <cell r="AT1236" t="str">
            <v/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 t="str">
            <v/>
          </cell>
          <cell r="BK1236">
            <v>7000</v>
          </cell>
          <cell r="BL1236" t="str">
            <v>0</v>
          </cell>
          <cell r="BM1236" t="str">
            <v>1</v>
          </cell>
          <cell r="BN1236" t="str">
            <v/>
          </cell>
          <cell r="BO1236" t="str">
            <v/>
          </cell>
        </row>
        <row r="1237">
          <cell r="A1237">
            <v>1</v>
          </cell>
          <cell r="B1237">
            <v>4470041</v>
          </cell>
          <cell r="C1237" t="str">
            <v>ENTRETIEN ET REPARATIONS</v>
          </cell>
          <cell r="D1237" t="str">
            <v>BOUILLOIR</v>
          </cell>
          <cell r="E1237" t="str">
            <v>O</v>
          </cell>
          <cell r="F1237">
            <v>0</v>
          </cell>
          <cell r="G1237">
            <v>0</v>
          </cell>
          <cell r="H1237">
            <v>59.2</v>
          </cell>
          <cell r="I1237">
            <v>59.2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59.2</v>
          </cell>
          <cell r="V1237">
            <v>59.2</v>
          </cell>
          <cell r="W1237">
            <v>59.2</v>
          </cell>
          <cell r="X1237">
            <v>59.2</v>
          </cell>
          <cell r="Y1237">
            <v>59.2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1</v>
          </cell>
          <cell r="AN1237" t="str">
            <v/>
          </cell>
          <cell r="AO1237">
            <v>0</v>
          </cell>
          <cell r="AP1237">
            <v>0</v>
          </cell>
          <cell r="AQ1237">
            <v>0</v>
          </cell>
          <cell r="AR1237">
            <v>720</v>
          </cell>
          <cell r="AS1237">
            <v>0</v>
          </cell>
          <cell r="AT1237" t="str">
            <v/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 t="str">
            <v/>
          </cell>
          <cell r="BK1237">
            <v>7000</v>
          </cell>
          <cell r="BL1237" t="str">
            <v>0</v>
          </cell>
          <cell r="BM1237" t="str">
            <v>1</v>
          </cell>
          <cell r="BN1237" t="str">
            <v/>
          </cell>
          <cell r="BO1237" t="str">
            <v/>
          </cell>
        </row>
        <row r="1238">
          <cell r="A1238">
            <v>1</v>
          </cell>
          <cell r="B1238">
            <v>1165040</v>
          </cell>
          <cell r="C1238" t="str">
            <v>INVENTAIRE TUBE SERVIETTE</v>
          </cell>
          <cell r="D1238" t="str">
            <v>02-430</v>
          </cell>
          <cell r="E1238" t="str">
            <v>O</v>
          </cell>
          <cell r="F1238">
            <v>0</v>
          </cell>
          <cell r="G1238">
            <v>0</v>
          </cell>
          <cell r="H1238">
            <v>17109.04</v>
          </cell>
          <cell r="I1238">
            <v>540910.47</v>
          </cell>
          <cell r="J1238">
            <v>540795.53</v>
          </cell>
          <cell r="K1238">
            <v>0</v>
          </cell>
          <cell r="L1238">
            <v>99877.29</v>
          </cell>
          <cell r="M1238">
            <v>98462.17</v>
          </cell>
          <cell r="N1238">
            <v>18395.13</v>
          </cell>
          <cell r="O1238">
            <v>14543.94</v>
          </cell>
          <cell r="P1238">
            <v>13423.63</v>
          </cell>
          <cell r="Q1238">
            <v>14991.43</v>
          </cell>
          <cell r="R1238">
            <v>14575.86</v>
          </cell>
          <cell r="S1238">
            <v>15565.11</v>
          </cell>
          <cell r="T1238">
            <v>19740.099999999999</v>
          </cell>
          <cell r="U1238">
            <v>17537.47</v>
          </cell>
          <cell r="V1238">
            <v>15217.06</v>
          </cell>
          <cell r="W1238">
            <v>17557.95</v>
          </cell>
          <cell r="X1238">
            <v>17109.04</v>
          </cell>
          <cell r="Y1238">
            <v>18524.16</v>
          </cell>
          <cell r="Z1238">
            <v>10833.16</v>
          </cell>
          <cell r="AA1238">
            <v>14069.23</v>
          </cell>
          <cell r="AB1238">
            <v>24088.05</v>
          </cell>
          <cell r="AC1238">
            <v>32427.13</v>
          </cell>
          <cell r="AD1238">
            <v>40247.19</v>
          </cell>
          <cell r="AE1238">
            <v>48908.47</v>
          </cell>
          <cell r="AF1238">
            <v>56458.53</v>
          </cell>
          <cell r="AG1238">
            <v>58519.69</v>
          </cell>
          <cell r="AH1238">
            <v>18544.54</v>
          </cell>
          <cell r="AI1238">
            <v>23260.799999999999</v>
          </cell>
          <cell r="AJ1238">
            <v>23325.62</v>
          </cell>
          <cell r="AK1238">
            <v>16994.099999999999</v>
          </cell>
          <cell r="AL1238">
            <v>0</v>
          </cell>
          <cell r="AM1238">
            <v>0</v>
          </cell>
          <cell r="AN1238" t="str">
            <v/>
          </cell>
          <cell r="AO1238">
            <v>0</v>
          </cell>
          <cell r="AP1238">
            <v>0</v>
          </cell>
          <cell r="AQ1238">
            <v>0</v>
          </cell>
          <cell r="AR1238">
            <v>100</v>
          </cell>
          <cell r="AS1238">
            <v>0</v>
          </cell>
          <cell r="AT1238" t="str">
            <v/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 t="str">
            <v/>
          </cell>
          <cell r="BK1238">
            <v>1600</v>
          </cell>
          <cell r="BL1238" t="str">
            <v>0</v>
          </cell>
          <cell r="BM1238" t="str">
            <v>1</v>
          </cell>
          <cell r="BN1238" t="str">
            <v/>
          </cell>
          <cell r="BO1238" t="str">
            <v/>
          </cell>
        </row>
        <row r="1239">
          <cell r="A1239">
            <v>1</v>
          </cell>
          <cell r="B1239">
            <v>1161030</v>
          </cell>
          <cell r="C1239" t="str">
            <v>INV PIECES DE RECHANGES</v>
          </cell>
          <cell r="D1239" t="str">
            <v>DIVERS - COUNTER ROLLS</v>
          </cell>
          <cell r="E1239" t="str">
            <v>O</v>
          </cell>
          <cell r="F1239">
            <v>0</v>
          </cell>
          <cell r="G1239">
            <v>0</v>
          </cell>
          <cell r="H1239">
            <v>28751.67</v>
          </cell>
          <cell r="I1239">
            <v>573366.66</v>
          </cell>
          <cell r="J1239">
            <v>557409.49</v>
          </cell>
          <cell r="K1239">
            <v>0</v>
          </cell>
          <cell r="L1239">
            <v>29193.22</v>
          </cell>
          <cell r="M1239">
            <v>28751.67</v>
          </cell>
          <cell r="N1239">
            <v>35551</v>
          </cell>
          <cell r="O1239">
            <v>34199</v>
          </cell>
          <cell r="P1239">
            <v>36009</v>
          </cell>
          <cell r="Q1239">
            <v>35109</v>
          </cell>
          <cell r="R1239">
            <v>33326</v>
          </cell>
          <cell r="S1239">
            <v>33304</v>
          </cell>
          <cell r="T1239">
            <v>80319</v>
          </cell>
          <cell r="U1239">
            <v>28930.45</v>
          </cell>
          <cell r="V1239">
            <v>26773.37</v>
          </cell>
          <cell r="W1239">
            <v>32424.17</v>
          </cell>
          <cell r="X1239">
            <v>28751.67</v>
          </cell>
          <cell r="Y1239">
            <v>29193.22</v>
          </cell>
          <cell r="Z1239">
            <v>13019</v>
          </cell>
          <cell r="AA1239">
            <v>11154</v>
          </cell>
          <cell r="AB1239">
            <v>7864</v>
          </cell>
          <cell r="AC1239">
            <v>12211</v>
          </cell>
          <cell r="AD1239">
            <v>9817</v>
          </cell>
          <cell r="AE1239">
            <v>7900</v>
          </cell>
          <cell r="AF1239">
            <v>9568</v>
          </cell>
          <cell r="AG1239">
            <v>10196.379999999999</v>
          </cell>
          <cell r="AH1239">
            <v>8290.2999999999993</v>
          </cell>
          <cell r="AI1239">
            <v>11242.08</v>
          </cell>
          <cell r="AJ1239">
            <v>12825.52</v>
          </cell>
          <cell r="AK1239">
            <v>12794.5</v>
          </cell>
          <cell r="AL1239">
            <v>0</v>
          </cell>
          <cell r="AM1239">
            <v>0</v>
          </cell>
          <cell r="AN1239" t="str">
            <v/>
          </cell>
          <cell r="AO1239">
            <v>0</v>
          </cell>
          <cell r="AP1239">
            <v>0</v>
          </cell>
          <cell r="AQ1239">
            <v>0</v>
          </cell>
          <cell r="AR1239">
            <v>100</v>
          </cell>
          <cell r="AS1239">
            <v>0</v>
          </cell>
          <cell r="AT1239" t="str">
            <v/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 t="str">
            <v/>
          </cell>
          <cell r="BK1239">
            <v>1600</v>
          </cell>
          <cell r="BL1239" t="str">
            <v>0</v>
          </cell>
          <cell r="BM1239" t="str">
            <v>1</v>
          </cell>
          <cell r="BN1239" t="str">
            <v/>
          </cell>
          <cell r="BO1239" t="str">
            <v/>
          </cell>
        </row>
        <row r="1240">
          <cell r="A1240">
            <v>2</v>
          </cell>
          <cell r="B1240">
            <v>1331121</v>
          </cell>
          <cell r="C1240" t="str">
            <v>WET ENT</v>
          </cell>
          <cell r="D1240" t="str">
            <v>AGITATEUR CUVIER YANKEE</v>
          </cell>
          <cell r="E1240" t="str">
            <v>O</v>
          </cell>
          <cell r="F1240">
            <v>0</v>
          </cell>
          <cell r="G1240">
            <v>0</v>
          </cell>
          <cell r="H1240">
            <v>54077.27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54077.27</v>
          </cell>
          <cell r="O1240">
            <v>54077.27</v>
          </cell>
          <cell r="P1240">
            <v>54077.27</v>
          </cell>
          <cell r="Q1240">
            <v>54077.27</v>
          </cell>
          <cell r="R1240">
            <v>54077.27</v>
          </cell>
          <cell r="S1240">
            <v>54077.27</v>
          </cell>
          <cell r="T1240">
            <v>54077.27</v>
          </cell>
          <cell r="U1240">
            <v>54077.27</v>
          </cell>
          <cell r="V1240">
            <v>54077.27</v>
          </cell>
          <cell r="W1240">
            <v>54077.27</v>
          </cell>
          <cell r="X1240">
            <v>54077.27</v>
          </cell>
          <cell r="Y1240">
            <v>54077.27</v>
          </cell>
          <cell r="Z1240">
            <v>53572.27</v>
          </cell>
          <cell r="AA1240">
            <v>54077.27</v>
          </cell>
          <cell r="AB1240">
            <v>54077.27</v>
          </cell>
          <cell r="AC1240">
            <v>54077.27</v>
          </cell>
          <cell r="AD1240">
            <v>54077.27</v>
          </cell>
          <cell r="AE1240">
            <v>54077.27</v>
          </cell>
          <cell r="AF1240">
            <v>54077.27</v>
          </cell>
          <cell r="AG1240">
            <v>54077.27</v>
          </cell>
          <cell r="AH1240">
            <v>54077.27</v>
          </cell>
          <cell r="AI1240">
            <v>54077.27</v>
          </cell>
          <cell r="AJ1240">
            <v>54077.27</v>
          </cell>
          <cell r="AK1240">
            <v>54077.27</v>
          </cell>
          <cell r="AL1240">
            <v>0</v>
          </cell>
          <cell r="AM1240">
            <v>1</v>
          </cell>
          <cell r="AN1240" t="str">
            <v/>
          </cell>
          <cell r="AO1240">
            <v>0</v>
          </cell>
          <cell r="AP1240">
            <v>0</v>
          </cell>
          <cell r="AQ1240">
            <v>0</v>
          </cell>
          <cell r="AR1240">
            <v>290</v>
          </cell>
          <cell r="AS1240">
            <v>0</v>
          </cell>
          <cell r="AT1240" t="str">
            <v/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240</v>
          </cell>
          <cell r="BJ1240" t="str">
            <v/>
          </cell>
          <cell r="BK1240">
            <v>1700</v>
          </cell>
          <cell r="BL1240" t="str">
            <v>1</v>
          </cell>
          <cell r="BM1240" t="str">
            <v>1</v>
          </cell>
          <cell r="BN1240" t="str">
            <v/>
          </cell>
          <cell r="BO1240" t="str">
            <v/>
          </cell>
        </row>
        <row r="1241">
          <cell r="A1241">
            <v>2</v>
          </cell>
          <cell r="B1241">
            <v>1331131</v>
          </cell>
          <cell r="C1241" t="str">
            <v>WET ENT</v>
          </cell>
          <cell r="D1241" t="str">
            <v>POMPE A VACUUM</v>
          </cell>
          <cell r="E1241" t="str">
            <v>O</v>
          </cell>
          <cell r="F1241">
            <v>0</v>
          </cell>
          <cell r="G1241">
            <v>100000</v>
          </cell>
          <cell r="H1241">
            <v>117331.04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117331.04</v>
          </cell>
          <cell r="O1241">
            <v>117331.04</v>
          </cell>
          <cell r="P1241">
            <v>117331.04</v>
          </cell>
          <cell r="Q1241">
            <v>117331.04</v>
          </cell>
          <cell r="R1241">
            <v>117331.04</v>
          </cell>
          <cell r="S1241">
            <v>117331.04</v>
          </cell>
          <cell r="T1241">
            <v>117331.04</v>
          </cell>
          <cell r="U1241">
            <v>117331.04</v>
          </cell>
          <cell r="V1241">
            <v>117331.04</v>
          </cell>
          <cell r="W1241">
            <v>117331.04</v>
          </cell>
          <cell r="X1241">
            <v>117331.04</v>
          </cell>
          <cell r="Y1241">
            <v>117331.04</v>
          </cell>
          <cell r="Z1241">
            <v>117331.04</v>
          </cell>
          <cell r="AA1241">
            <v>117331.04</v>
          </cell>
          <cell r="AB1241">
            <v>117331.04</v>
          </cell>
          <cell r="AC1241">
            <v>117331.04</v>
          </cell>
          <cell r="AD1241">
            <v>117331.04</v>
          </cell>
          <cell r="AE1241">
            <v>117331.04</v>
          </cell>
          <cell r="AF1241">
            <v>117331.04</v>
          </cell>
          <cell r="AG1241">
            <v>117331.04</v>
          </cell>
          <cell r="AH1241">
            <v>117331.04</v>
          </cell>
          <cell r="AI1241">
            <v>117331.04</v>
          </cell>
          <cell r="AJ1241">
            <v>117331.04</v>
          </cell>
          <cell r="AK1241">
            <v>117331.04</v>
          </cell>
          <cell r="AL1241">
            <v>0</v>
          </cell>
          <cell r="AM1241">
            <v>1</v>
          </cell>
          <cell r="AN1241" t="str">
            <v/>
          </cell>
          <cell r="AO1241">
            <v>0</v>
          </cell>
          <cell r="AP1241">
            <v>0</v>
          </cell>
          <cell r="AQ1241">
            <v>0</v>
          </cell>
          <cell r="AR1241">
            <v>290</v>
          </cell>
          <cell r="AS1241">
            <v>0</v>
          </cell>
          <cell r="AT1241" t="str">
            <v/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240</v>
          </cell>
          <cell r="BJ1241" t="str">
            <v/>
          </cell>
          <cell r="BK1241">
            <v>1700</v>
          </cell>
          <cell r="BL1241" t="str">
            <v>1</v>
          </cell>
          <cell r="BM1241" t="str">
            <v>1</v>
          </cell>
          <cell r="BN1241" t="str">
            <v/>
          </cell>
          <cell r="BO1241" t="str">
            <v/>
          </cell>
        </row>
        <row r="1242">
          <cell r="A1242">
            <v>1</v>
          </cell>
          <cell r="B1242">
            <v>5201099</v>
          </cell>
          <cell r="C1242" t="str">
            <v>AUTRES REVENUS</v>
          </cell>
          <cell r="D1242" t="str">
            <v>PRODUIT CANDAIC/LAVAL</v>
          </cell>
          <cell r="E1242" t="str">
            <v>O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9</v>
          </cell>
          <cell r="AN1242" t="str">
            <v/>
          </cell>
          <cell r="AO1242">
            <v>0</v>
          </cell>
          <cell r="AP1242">
            <v>0</v>
          </cell>
          <cell r="AQ1242">
            <v>0</v>
          </cell>
          <cell r="AR1242">
            <v>600</v>
          </cell>
          <cell r="AS1242">
            <v>0</v>
          </cell>
          <cell r="AT1242" t="str">
            <v/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 t="str">
            <v/>
          </cell>
          <cell r="BK1242">
            <v>7300</v>
          </cell>
          <cell r="BL1242" t="str">
            <v>0</v>
          </cell>
          <cell r="BM1242" t="str">
            <v>1</v>
          </cell>
          <cell r="BN1242" t="str">
            <v/>
          </cell>
          <cell r="BO1242" t="str">
            <v/>
          </cell>
        </row>
        <row r="1243">
          <cell r="A1243">
            <v>1</v>
          </cell>
          <cell r="B1243">
            <v>5209981</v>
          </cell>
          <cell r="C1243" t="str">
            <v>ELEMENTS EXEPTIONNEL</v>
          </cell>
          <cell r="D1243" t="str">
            <v>TEMPETE VERGLAS COUTS</v>
          </cell>
          <cell r="E1243" t="str">
            <v>O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-7733.3</v>
          </cell>
          <cell r="AB1243">
            <v>-20387.849999999999</v>
          </cell>
          <cell r="AC1243">
            <v>-20387.849999999999</v>
          </cell>
          <cell r="AD1243">
            <v>-20387.849999999999</v>
          </cell>
          <cell r="AE1243">
            <v>-20388</v>
          </cell>
          <cell r="AF1243">
            <v>-20388</v>
          </cell>
          <cell r="AG1243">
            <v>-20388</v>
          </cell>
          <cell r="AH1243">
            <v>-20388</v>
          </cell>
          <cell r="AI1243">
            <v>-20388</v>
          </cell>
          <cell r="AJ1243">
            <v>-20388</v>
          </cell>
          <cell r="AK1243">
            <v>-20388</v>
          </cell>
          <cell r="AL1243">
            <v>0</v>
          </cell>
          <cell r="AM1243">
            <v>1</v>
          </cell>
          <cell r="AN1243" t="str">
            <v/>
          </cell>
          <cell r="AO1243">
            <v>0</v>
          </cell>
          <cell r="AP1243">
            <v>0</v>
          </cell>
          <cell r="AQ1243">
            <v>0</v>
          </cell>
          <cell r="AR1243">
            <v>660</v>
          </cell>
          <cell r="AS1243">
            <v>0</v>
          </cell>
          <cell r="AT1243" t="str">
            <v/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 t="str">
            <v/>
          </cell>
          <cell r="BK1243">
            <v>7300</v>
          </cell>
          <cell r="BL1243" t="str">
            <v>0</v>
          </cell>
          <cell r="BM1243" t="str">
            <v>1</v>
          </cell>
          <cell r="BN1243" t="str">
            <v/>
          </cell>
          <cell r="BO1243" t="str">
            <v/>
          </cell>
        </row>
        <row r="1244">
          <cell r="A1244">
            <v>1</v>
          </cell>
          <cell r="B1244">
            <v>5201982</v>
          </cell>
          <cell r="C1244" t="str">
            <v>ELEMENT EXEPTIONNEL</v>
          </cell>
          <cell r="D1244" t="str">
            <v>TEMPETE VERGLAS COUTS</v>
          </cell>
          <cell r="E1244" t="str">
            <v>O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-7478.6</v>
          </cell>
          <cell r="AB1244">
            <v>-19716.36</v>
          </cell>
          <cell r="AC1244">
            <v>-19716.36</v>
          </cell>
          <cell r="AD1244">
            <v>-19716.36</v>
          </cell>
          <cell r="AE1244">
            <v>315</v>
          </cell>
          <cell r="AF1244">
            <v>315</v>
          </cell>
          <cell r="AG1244">
            <v>315</v>
          </cell>
          <cell r="AH1244">
            <v>315</v>
          </cell>
          <cell r="AI1244">
            <v>315</v>
          </cell>
          <cell r="AJ1244">
            <v>315</v>
          </cell>
          <cell r="AK1244">
            <v>315</v>
          </cell>
          <cell r="AL1244">
            <v>0</v>
          </cell>
          <cell r="AM1244">
            <v>2</v>
          </cell>
          <cell r="AN1244" t="str">
            <v/>
          </cell>
          <cell r="AO1244">
            <v>0</v>
          </cell>
          <cell r="AP1244">
            <v>0</v>
          </cell>
          <cell r="AQ1244">
            <v>0</v>
          </cell>
          <cell r="AR1244">
            <v>660</v>
          </cell>
          <cell r="AS1244">
            <v>0</v>
          </cell>
          <cell r="AT1244" t="str">
            <v/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 t="str">
            <v/>
          </cell>
          <cell r="BK1244">
            <v>7300</v>
          </cell>
          <cell r="BL1244" t="str">
            <v>0</v>
          </cell>
          <cell r="BM1244" t="str">
            <v>1</v>
          </cell>
          <cell r="BN1244" t="str">
            <v/>
          </cell>
          <cell r="BO1244" t="str">
            <v/>
          </cell>
        </row>
        <row r="1245">
          <cell r="A1245">
            <v>1</v>
          </cell>
          <cell r="B1245">
            <v>1330000</v>
          </cell>
          <cell r="C1245" t="str">
            <v>DEPENSES PARALLELE AU</v>
          </cell>
          <cell r="D1245" t="str">
            <v>PROJET MACHINE A PAPIER</v>
          </cell>
          <cell r="E1245" t="str">
            <v>O</v>
          </cell>
          <cell r="F1245">
            <v>0</v>
          </cell>
          <cell r="G1245">
            <v>0</v>
          </cell>
          <cell r="H1245">
            <v>75830.11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75830.11</v>
          </cell>
          <cell r="O1245">
            <v>75830.11</v>
          </cell>
          <cell r="P1245">
            <v>75830.11</v>
          </cell>
          <cell r="Q1245">
            <v>75830.11</v>
          </cell>
          <cell r="R1245">
            <v>75830.11</v>
          </cell>
          <cell r="S1245">
            <v>75830.11</v>
          </cell>
          <cell r="T1245">
            <v>75830.11</v>
          </cell>
          <cell r="U1245">
            <v>75830.11</v>
          </cell>
          <cell r="V1245">
            <v>75830.11</v>
          </cell>
          <cell r="W1245">
            <v>75830.11</v>
          </cell>
          <cell r="X1245">
            <v>75830.11</v>
          </cell>
          <cell r="Y1245">
            <v>75830.11</v>
          </cell>
          <cell r="Z1245">
            <v>75778.75</v>
          </cell>
          <cell r="AA1245">
            <v>75778.75</v>
          </cell>
          <cell r="AB1245">
            <v>75778.75</v>
          </cell>
          <cell r="AC1245">
            <v>75778.75</v>
          </cell>
          <cell r="AD1245">
            <v>75778.75</v>
          </cell>
          <cell r="AE1245">
            <v>75830.11</v>
          </cell>
          <cell r="AF1245">
            <v>75830.11</v>
          </cell>
          <cell r="AG1245">
            <v>75830.11</v>
          </cell>
          <cell r="AH1245">
            <v>75830.11</v>
          </cell>
          <cell r="AI1245">
            <v>75830.11</v>
          </cell>
          <cell r="AJ1245">
            <v>75830.11</v>
          </cell>
          <cell r="AK1245">
            <v>75830.11</v>
          </cell>
          <cell r="AL1245">
            <v>0</v>
          </cell>
          <cell r="AM1245">
            <v>0</v>
          </cell>
          <cell r="AN1245" t="str">
            <v/>
          </cell>
          <cell r="AO1245">
            <v>0</v>
          </cell>
          <cell r="AP1245">
            <v>0</v>
          </cell>
          <cell r="AQ1245">
            <v>0</v>
          </cell>
          <cell r="AR1245">
            <v>290</v>
          </cell>
          <cell r="AS1245">
            <v>0</v>
          </cell>
          <cell r="AT1245" t="str">
            <v/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240</v>
          </cell>
          <cell r="BJ1245" t="str">
            <v/>
          </cell>
          <cell r="BK1245">
            <v>1700</v>
          </cell>
          <cell r="BL1245" t="str">
            <v>1</v>
          </cell>
          <cell r="BM1245" t="str">
            <v>1</v>
          </cell>
          <cell r="BN1245" t="str">
            <v/>
          </cell>
          <cell r="BO1245" t="str">
            <v/>
          </cell>
        </row>
        <row r="1246">
          <cell r="A1246">
            <v>1</v>
          </cell>
          <cell r="B1246">
            <v>4270081</v>
          </cell>
          <cell r="C1246" t="str">
            <v>SOUS-TRAITANCE</v>
          </cell>
          <cell r="D1246" t="str">
            <v>MACHINE A PAPIER</v>
          </cell>
          <cell r="E1246" t="str">
            <v>O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1</v>
          </cell>
          <cell r="AN1246" t="str">
            <v/>
          </cell>
          <cell r="AO1246">
            <v>0</v>
          </cell>
          <cell r="AP1246">
            <v>0</v>
          </cell>
          <cell r="AQ1246">
            <v>0</v>
          </cell>
          <cell r="AR1246">
            <v>702</v>
          </cell>
          <cell r="AS1246">
            <v>0</v>
          </cell>
          <cell r="AT1246" t="str">
            <v/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 t="str">
            <v/>
          </cell>
          <cell r="BK1246">
            <v>6300</v>
          </cell>
          <cell r="BL1246" t="str">
            <v>0</v>
          </cell>
          <cell r="BM1246" t="str">
            <v>1</v>
          </cell>
          <cell r="BN1246" t="str">
            <v/>
          </cell>
          <cell r="BO1246" t="str">
            <v/>
          </cell>
        </row>
        <row r="1247">
          <cell r="A1247">
            <v>1</v>
          </cell>
          <cell r="B1247">
            <v>4270091</v>
          </cell>
          <cell r="C1247" t="str">
            <v>SOUS-TRAITANCE</v>
          </cell>
          <cell r="D1247" t="str">
            <v>PULPER</v>
          </cell>
          <cell r="E1247" t="str">
            <v>O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1</v>
          </cell>
          <cell r="AN1247" t="str">
            <v/>
          </cell>
          <cell r="AO1247">
            <v>0</v>
          </cell>
          <cell r="AP1247">
            <v>0</v>
          </cell>
          <cell r="AQ1247">
            <v>0</v>
          </cell>
          <cell r="AR1247">
            <v>702</v>
          </cell>
          <cell r="AS1247">
            <v>0</v>
          </cell>
          <cell r="AT1247" t="str">
            <v/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 t="str">
            <v/>
          </cell>
          <cell r="BK1247">
            <v>6300</v>
          </cell>
          <cell r="BL1247" t="str">
            <v>0</v>
          </cell>
          <cell r="BM1247" t="str">
            <v>1</v>
          </cell>
          <cell r="BN1247" t="str">
            <v/>
          </cell>
          <cell r="BO1247" t="str">
            <v/>
          </cell>
        </row>
        <row r="1248">
          <cell r="A1248">
            <v>1</v>
          </cell>
          <cell r="B1248">
            <v>4243311</v>
          </cell>
          <cell r="C1248" t="str">
            <v>ENVIRONNEMENT</v>
          </cell>
          <cell r="D1248" t="str">
            <v>UREE PROD CCC</v>
          </cell>
          <cell r="E1248" t="str">
            <v>O</v>
          </cell>
          <cell r="F1248">
            <v>0</v>
          </cell>
          <cell r="G1248">
            <v>0</v>
          </cell>
          <cell r="H1248">
            <v>18214.599999999999</v>
          </cell>
          <cell r="I1248">
            <v>32281.88</v>
          </cell>
          <cell r="J1248">
            <v>14067.28</v>
          </cell>
          <cell r="K1248">
            <v>0</v>
          </cell>
          <cell r="L1248">
            <v>1286</v>
          </cell>
          <cell r="M1248">
            <v>54</v>
          </cell>
          <cell r="N1248">
            <v>1403.1</v>
          </cell>
          <cell r="O1248">
            <v>3019.05</v>
          </cell>
          <cell r="P1248">
            <v>4288.5</v>
          </cell>
          <cell r="Q1248">
            <v>6225.3</v>
          </cell>
          <cell r="R1248">
            <v>8636.4</v>
          </cell>
          <cell r="S1248">
            <v>10585.8</v>
          </cell>
          <cell r="T1248">
            <v>12253.05</v>
          </cell>
          <cell r="U1248">
            <v>13945.95</v>
          </cell>
          <cell r="V1248">
            <v>15277.47</v>
          </cell>
          <cell r="W1248">
            <v>16644.099999999999</v>
          </cell>
          <cell r="X1248">
            <v>18214.599999999999</v>
          </cell>
          <cell r="Y1248">
            <v>19446.599999999999</v>
          </cell>
          <cell r="Z1248">
            <v>2898.49</v>
          </cell>
          <cell r="AA1248">
            <v>3745.07</v>
          </cell>
          <cell r="AB1248">
            <v>4654.57</v>
          </cell>
          <cell r="AC1248">
            <v>7300.57</v>
          </cell>
          <cell r="AD1248">
            <v>9452.57</v>
          </cell>
          <cell r="AE1248">
            <v>12988.22</v>
          </cell>
          <cell r="AF1248">
            <v>14437.57</v>
          </cell>
          <cell r="AG1248">
            <v>13790.57</v>
          </cell>
          <cell r="AH1248">
            <v>15719.57</v>
          </cell>
          <cell r="AI1248">
            <v>16441.57</v>
          </cell>
          <cell r="AJ1248">
            <v>18304.07</v>
          </cell>
          <cell r="AK1248">
            <v>20033.57</v>
          </cell>
          <cell r="AL1248">
            <v>0</v>
          </cell>
          <cell r="AM1248">
            <v>1</v>
          </cell>
          <cell r="AN1248" t="str">
            <v/>
          </cell>
          <cell r="AO1248">
            <v>0</v>
          </cell>
          <cell r="AP1248">
            <v>0</v>
          </cell>
          <cell r="AQ1248">
            <v>0</v>
          </cell>
          <cell r="AR1248">
            <v>740</v>
          </cell>
          <cell r="AS1248">
            <v>0</v>
          </cell>
          <cell r="AT1248" t="str">
            <v/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1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 t="str">
            <v/>
          </cell>
          <cell r="BK1248">
            <v>6300</v>
          </cell>
          <cell r="BL1248" t="str">
            <v>0</v>
          </cell>
          <cell r="BM1248" t="str">
            <v>1</v>
          </cell>
          <cell r="BN1248" t="str">
            <v/>
          </cell>
          <cell r="BO1248" t="str">
            <v/>
          </cell>
        </row>
        <row r="1249">
          <cell r="A1249">
            <v>1</v>
          </cell>
          <cell r="B1249">
            <v>4243411</v>
          </cell>
          <cell r="C1249" t="str">
            <v>ENVIRONNEMENT</v>
          </cell>
          <cell r="D1249" t="str">
            <v>PHOSPHORES</v>
          </cell>
          <cell r="E1249" t="str">
            <v>O</v>
          </cell>
          <cell r="F1249">
            <v>0</v>
          </cell>
          <cell r="G1249">
            <v>0</v>
          </cell>
          <cell r="H1249">
            <v>5423.9</v>
          </cell>
          <cell r="I1249">
            <v>18756.04</v>
          </cell>
          <cell r="J1249">
            <v>13332.14</v>
          </cell>
          <cell r="K1249">
            <v>0</v>
          </cell>
          <cell r="L1249">
            <v>1574</v>
          </cell>
          <cell r="M1249">
            <v>1259</v>
          </cell>
          <cell r="N1249">
            <v>103.86</v>
          </cell>
          <cell r="O1249">
            <v>609.27</v>
          </cell>
          <cell r="P1249">
            <v>1005.75</v>
          </cell>
          <cell r="Q1249">
            <v>1520.22</v>
          </cell>
          <cell r="R1249">
            <v>2128.11</v>
          </cell>
          <cell r="S1249">
            <v>2864.21</v>
          </cell>
          <cell r="T1249">
            <v>3324.64</v>
          </cell>
          <cell r="U1249">
            <v>3927.29</v>
          </cell>
          <cell r="V1249">
            <v>4373.62</v>
          </cell>
          <cell r="W1249">
            <v>4714.32</v>
          </cell>
          <cell r="X1249">
            <v>5423.9</v>
          </cell>
          <cell r="Y1249">
            <v>5738.9</v>
          </cell>
          <cell r="Z1249">
            <v>0</v>
          </cell>
          <cell r="AA1249">
            <v>1313.73</v>
          </cell>
          <cell r="AB1249">
            <v>1486.77</v>
          </cell>
          <cell r="AC1249">
            <v>2259.5700000000002</v>
          </cell>
          <cell r="AD1249">
            <v>2817.6</v>
          </cell>
          <cell r="AE1249">
            <v>3737.79</v>
          </cell>
          <cell r="AF1249">
            <v>4622.1899999999996</v>
          </cell>
          <cell r="AG1249">
            <v>4041.72</v>
          </cell>
          <cell r="AH1249">
            <v>4088.76</v>
          </cell>
          <cell r="AI1249">
            <v>4890.3900000000003</v>
          </cell>
          <cell r="AJ1249">
            <v>5353.23</v>
          </cell>
          <cell r="AK1249">
            <v>5876.55</v>
          </cell>
          <cell r="AL1249">
            <v>0</v>
          </cell>
          <cell r="AM1249">
            <v>1</v>
          </cell>
          <cell r="AN1249" t="str">
            <v/>
          </cell>
          <cell r="AO1249">
            <v>0</v>
          </cell>
          <cell r="AP1249">
            <v>0</v>
          </cell>
          <cell r="AQ1249">
            <v>0</v>
          </cell>
          <cell r="AR1249">
            <v>740</v>
          </cell>
          <cell r="AS1249">
            <v>0</v>
          </cell>
          <cell r="AT1249" t="str">
            <v/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1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 t="str">
            <v/>
          </cell>
          <cell r="BK1249">
            <v>6300</v>
          </cell>
          <cell r="BL1249" t="str">
            <v>0</v>
          </cell>
          <cell r="BM1249" t="str">
            <v>1</v>
          </cell>
          <cell r="BN1249" t="str">
            <v/>
          </cell>
          <cell r="BO1249" t="str">
            <v/>
          </cell>
        </row>
        <row r="1250">
          <cell r="A1250">
            <v>1</v>
          </cell>
          <cell r="B1250">
            <v>4470051</v>
          </cell>
          <cell r="C1250" t="str">
            <v>ENTRETIEN ET REPARATIONS</v>
          </cell>
          <cell r="D1250" t="str">
            <v>TAMIS,RAFINER</v>
          </cell>
          <cell r="E1250" t="str">
            <v>O</v>
          </cell>
          <cell r="F1250">
            <v>0</v>
          </cell>
          <cell r="G1250">
            <v>0</v>
          </cell>
          <cell r="H1250">
            <v>18513.13</v>
          </cell>
          <cell r="I1250">
            <v>21214.65</v>
          </cell>
          <cell r="J1250">
            <v>2701.52</v>
          </cell>
          <cell r="K1250">
            <v>0</v>
          </cell>
          <cell r="L1250">
            <v>255</v>
          </cell>
          <cell r="M1250">
            <v>255</v>
          </cell>
          <cell r="N1250">
            <v>0</v>
          </cell>
          <cell r="O1250">
            <v>2163.52</v>
          </cell>
          <cell r="P1250">
            <v>2510.6</v>
          </cell>
          <cell r="Q1250">
            <v>2560.88</v>
          </cell>
          <cell r="R1250">
            <v>9708.5499999999993</v>
          </cell>
          <cell r="S1250">
            <v>10192.56</v>
          </cell>
          <cell r="T1250">
            <v>10192.56</v>
          </cell>
          <cell r="U1250">
            <v>11818.1</v>
          </cell>
          <cell r="V1250">
            <v>12158.1</v>
          </cell>
          <cell r="W1250">
            <v>14285.35</v>
          </cell>
          <cell r="X1250">
            <v>18513.13</v>
          </cell>
          <cell r="Y1250">
            <v>18513.13</v>
          </cell>
          <cell r="Z1250">
            <v>525.45000000000005</v>
          </cell>
          <cell r="AA1250">
            <v>525.45000000000005</v>
          </cell>
          <cell r="AB1250">
            <v>1830.52</v>
          </cell>
          <cell r="AC1250">
            <v>1830.52</v>
          </cell>
          <cell r="AD1250">
            <v>1830.52</v>
          </cell>
          <cell r="AE1250">
            <v>1830.52</v>
          </cell>
          <cell r="AF1250">
            <v>1830.52</v>
          </cell>
          <cell r="AG1250">
            <v>1884.52</v>
          </cell>
          <cell r="AH1250">
            <v>2202.52</v>
          </cell>
          <cell r="AI1250">
            <v>2202.52</v>
          </cell>
          <cell r="AJ1250">
            <v>2202.52</v>
          </cell>
          <cell r="AK1250">
            <v>2202.52</v>
          </cell>
          <cell r="AL1250">
            <v>0</v>
          </cell>
          <cell r="AM1250">
            <v>1</v>
          </cell>
          <cell r="AN1250" t="str">
            <v/>
          </cell>
          <cell r="AO1250">
            <v>0</v>
          </cell>
          <cell r="AP1250">
            <v>0</v>
          </cell>
          <cell r="AQ1250">
            <v>0</v>
          </cell>
          <cell r="AR1250">
            <v>720</v>
          </cell>
          <cell r="AS1250">
            <v>0</v>
          </cell>
          <cell r="AT1250" t="str">
            <v/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 t="str">
            <v/>
          </cell>
          <cell r="BK1250">
            <v>7000</v>
          </cell>
          <cell r="BL1250" t="str">
            <v>0</v>
          </cell>
          <cell r="BM1250" t="str">
            <v>1</v>
          </cell>
          <cell r="BN1250" t="str">
            <v/>
          </cell>
          <cell r="BO1250" t="str">
            <v/>
          </cell>
        </row>
        <row r="1251">
          <cell r="A1251">
            <v>1</v>
          </cell>
          <cell r="B1251">
            <v>4470061</v>
          </cell>
          <cell r="C1251" t="str">
            <v>ENTRETIEN ET REPARATIONS</v>
          </cell>
          <cell r="D1251" t="str">
            <v>COMPRESSEUR</v>
          </cell>
          <cell r="E1251" t="str">
            <v>O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54</v>
          </cell>
          <cell r="AF1251">
            <v>54</v>
          </cell>
          <cell r="AG1251">
            <v>4521.96</v>
          </cell>
          <cell r="AH1251">
            <v>5723.15</v>
          </cell>
          <cell r="AI1251">
            <v>5470.06</v>
          </cell>
          <cell r="AJ1251">
            <v>5470.06</v>
          </cell>
          <cell r="AK1251">
            <v>5470.06</v>
          </cell>
          <cell r="AL1251">
            <v>0</v>
          </cell>
          <cell r="AM1251">
            <v>1</v>
          </cell>
          <cell r="AN1251" t="str">
            <v/>
          </cell>
          <cell r="AO1251">
            <v>0</v>
          </cell>
          <cell r="AP1251">
            <v>0</v>
          </cell>
          <cell r="AQ1251">
            <v>0</v>
          </cell>
          <cell r="AR1251">
            <v>720</v>
          </cell>
          <cell r="AS1251">
            <v>0</v>
          </cell>
          <cell r="AT1251" t="str">
            <v/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 t="str">
            <v/>
          </cell>
          <cell r="BK1251">
            <v>7000</v>
          </cell>
          <cell r="BL1251" t="str">
            <v>0</v>
          </cell>
          <cell r="BM1251" t="str">
            <v>1</v>
          </cell>
          <cell r="BN1251" t="str">
            <v/>
          </cell>
          <cell r="BO1251" t="str">
            <v/>
          </cell>
        </row>
        <row r="1252">
          <cell r="A1252">
            <v>1</v>
          </cell>
          <cell r="B1252">
            <v>4592041</v>
          </cell>
          <cell r="C1252" t="str">
            <v>ENTRETIEN BATIMENT</v>
          </cell>
          <cell r="D1252" t="str">
            <v>ENTREPOT ET MANUTENTION</v>
          </cell>
          <cell r="E1252" t="str">
            <v>O</v>
          </cell>
          <cell r="F1252">
            <v>0</v>
          </cell>
          <cell r="G1252">
            <v>0</v>
          </cell>
          <cell r="H1252">
            <v>2336.3000000000002</v>
          </cell>
          <cell r="I1252">
            <v>2336.3000000000002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880</v>
          </cell>
          <cell r="O1252">
            <v>1200</v>
          </cell>
          <cell r="P1252">
            <v>1200</v>
          </cell>
          <cell r="Q1252">
            <v>1200</v>
          </cell>
          <cell r="R1252">
            <v>1200</v>
          </cell>
          <cell r="S1252">
            <v>1680</v>
          </cell>
          <cell r="T1252">
            <v>1680</v>
          </cell>
          <cell r="U1252">
            <v>1680</v>
          </cell>
          <cell r="V1252">
            <v>1680</v>
          </cell>
          <cell r="W1252">
            <v>1680</v>
          </cell>
          <cell r="X1252">
            <v>2336.3000000000002</v>
          </cell>
          <cell r="Y1252">
            <v>2336.3000000000002</v>
          </cell>
          <cell r="Z1252">
            <v>875.24</v>
          </cell>
          <cell r="AA1252">
            <v>4432.5200000000004</v>
          </cell>
          <cell r="AB1252">
            <v>9063.64</v>
          </cell>
          <cell r="AC1252">
            <v>9153.39</v>
          </cell>
          <cell r="AD1252">
            <v>10520.55</v>
          </cell>
          <cell r="AE1252">
            <v>12722.16</v>
          </cell>
          <cell r="AF1252">
            <v>30188.5</v>
          </cell>
          <cell r="AG1252">
            <v>46188.5</v>
          </cell>
          <cell r="AH1252">
            <v>46990.5</v>
          </cell>
          <cell r="AI1252">
            <v>48555.38</v>
          </cell>
          <cell r="AJ1252">
            <v>71897.38</v>
          </cell>
          <cell r="AK1252">
            <v>71897.38</v>
          </cell>
          <cell r="AL1252">
            <v>0</v>
          </cell>
          <cell r="AM1252">
            <v>1</v>
          </cell>
          <cell r="AN1252" t="str">
            <v/>
          </cell>
          <cell r="AO1252">
            <v>0</v>
          </cell>
          <cell r="AP1252">
            <v>0</v>
          </cell>
          <cell r="AQ1252">
            <v>0</v>
          </cell>
          <cell r="AR1252">
            <v>710</v>
          </cell>
          <cell r="AS1252">
            <v>0</v>
          </cell>
          <cell r="AT1252" t="str">
            <v/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 t="str">
            <v/>
          </cell>
          <cell r="BK1252">
            <v>7000</v>
          </cell>
          <cell r="BL1252" t="str">
            <v>0</v>
          </cell>
          <cell r="BM1252" t="str">
            <v>1</v>
          </cell>
          <cell r="BN1252" t="str">
            <v/>
          </cell>
          <cell r="BO1252" t="str">
            <v/>
          </cell>
        </row>
        <row r="1253">
          <cell r="A1253">
            <v>1</v>
          </cell>
          <cell r="B1253">
            <v>1332001</v>
          </cell>
          <cell r="C1253" t="str">
            <v>FILTRE RONNINGEN PETTER</v>
          </cell>
          <cell r="D1253" t="str">
            <v/>
          </cell>
          <cell r="E1253" t="str">
            <v>O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1</v>
          </cell>
          <cell r="AN1253" t="str">
            <v/>
          </cell>
          <cell r="AO1253">
            <v>0</v>
          </cell>
          <cell r="AP1253">
            <v>0</v>
          </cell>
          <cell r="AQ1253">
            <v>0</v>
          </cell>
          <cell r="AR1253">
            <v>290</v>
          </cell>
          <cell r="AS1253">
            <v>0</v>
          </cell>
          <cell r="AT1253" t="str">
            <v/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240</v>
          </cell>
          <cell r="BJ1253" t="str">
            <v/>
          </cell>
          <cell r="BK1253">
            <v>1700</v>
          </cell>
          <cell r="BL1253" t="str">
            <v>1</v>
          </cell>
          <cell r="BM1253" t="str">
            <v>1</v>
          </cell>
          <cell r="BN1253" t="str">
            <v/>
          </cell>
          <cell r="BO1253" t="str">
            <v/>
          </cell>
        </row>
        <row r="1254">
          <cell r="A1254">
            <v>1</v>
          </cell>
          <cell r="B1254">
            <v>4460041</v>
          </cell>
          <cell r="C1254" t="str">
            <v>MECANICIENS</v>
          </cell>
          <cell r="D1254" t="str">
            <v>BOUILLOIR</v>
          </cell>
          <cell r="E1254" t="str">
            <v>O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619.20000000000005</v>
          </cell>
          <cell r="AB1254">
            <v>3104.2</v>
          </cell>
          <cell r="AC1254">
            <v>3104.2</v>
          </cell>
          <cell r="AD1254">
            <v>3104.2</v>
          </cell>
          <cell r="AE1254">
            <v>3961.8</v>
          </cell>
          <cell r="AF1254">
            <v>4441.8</v>
          </cell>
          <cell r="AG1254">
            <v>8057.8</v>
          </cell>
          <cell r="AH1254">
            <v>8057.8</v>
          </cell>
          <cell r="AI1254">
            <v>8057.8</v>
          </cell>
          <cell r="AJ1254">
            <v>8057.8</v>
          </cell>
          <cell r="AK1254">
            <v>8121.8</v>
          </cell>
          <cell r="AL1254">
            <v>0</v>
          </cell>
          <cell r="AM1254">
            <v>1</v>
          </cell>
          <cell r="AN1254" t="str">
            <v/>
          </cell>
          <cell r="AO1254">
            <v>0</v>
          </cell>
          <cell r="AP1254">
            <v>0</v>
          </cell>
          <cell r="AQ1254">
            <v>0</v>
          </cell>
          <cell r="AR1254">
            <v>700</v>
          </cell>
          <cell r="AS1254">
            <v>0</v>
          </cell>
          <cell r="AT1254" t="str">
            <v/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 t="str">
            <v/>
          </cell>
          <cell r="BK1254">
            <v>7000</v>
          </cell>
          <cell r="BL1254" t="str">
            <v>0</v>
          </cell>
          <cell r="BM1254" t="str">
            <v>1</v>
          </cell>
          <cell r="BN1254" t="str">
            <v/>
          </cell>
          <cell r="BO1254" t="str">
            <v/>
          </cell>
        </row>
        <row r="1255">
          <cell r="A1255">
            <v>1</v>
          </cell>
          <cell r="B1255">
            <v>4552781</v>
          </cell>
          <cell r="C1255" t="str">
            <v>MATERIEL ROULANT</v>
          </cell>
          <cell r="D1255" t="str">
            <v>ENT. CHARIOTS - LIFT #278</v>
          </cell>
          <cell r="E1255" t="str">
            <v>O</v>
          </cell>
          <cell r="F1255">
            <v>0</v>
          </cell>
          <cell r="G1255">
            <v>0</v>
          </cell>
          <cell r="H1255">
            <v>455.52</v>
          </cell>
          <cell r="I1255">
            <v>455.52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153.97999999999999</v>
          </cell>
          <cell r="O1255">
            <v>153.97999999999999</v>
          </cell>
          <cell r="P1255">
            <v>178.78</v>
          </cell>
          <cell r="Q1255">
            <v>178.78</v>
          </cell>
          <cell r="R1255">
            <v>311.04000000000002</v>
          </cell>
          <cell r="S1255">
            <v>455.52</v>
          </cell>
          <cell r="T1255">
            <v>455.52</v>
          </cell>
          <cell r="U1255">
            <v>455.52</v>
          </cell>
          <cell r="V1255">
            <v>455.52</v>
          </cell>
          <cell r="W1255">
            <v>455.52</v>
          </cell>
          <cell r="X1255">
            <v>455.52</v>
          </cell>
          <cell r="Y1255">
            <v>455.52</v>
          </cell>
          <cell r="Z1255">
            <v>26.51</v>
          </cell>
          <cell r="AA1255">
            <v>28.12</v>
          </cell>
          <cell r="AB1255">
            <v>28.12</v>
          </cell>
          <cell r="AC1255">
            <v>28.12</v>
          </cell>
          <cell r="AD1255">
            <v>28.12</v>
          </cell>
          <cell r="AE1255">
            <v>28.12</v>
          </cell>
          <cell r="AF1255">
            <v>100.78</v>
          </cell>
          <cell r="AG1255">
            <v>100.78</v>
          </cell>
          <cell r="AH1255">
            <v>100.78</v>
          </cell>
          <cell r="AI1255">
            <v>123.91</v>
          </cell>
          <cell r="AJ1255">
            <v>220.39</v>
          </cell>
          <cell r="AK1255">
            <v>220.39</v>
          </cell>
          <cell r="AL1255">
            <v>0</v>
          </cell>
          <cell r="AM1255">
            <v>1</v>
          </cell>
          <cell r="AN1255" t="str">
            <v/>
          </cell>
          <cell r="AO1255">
            <v>0</v>
          </cell>
          <cell r="AP1255">
            <v>0</v>
          </cell>
          <cell r="AQ1255">
            <v>0</v>
          </cell>
          <cell r="AR1255">
            <v>750</v>
          </cell>
          <cell r="AS1255">
            <v>0</v>
          </cell>
          <cell r="AT1255" t="str">
            <v/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 t="str">
            <v/>
          </cell>
          <cell r="BK1255">
            <v>7000</v>
          </cell>
          <cell r="BL1255" t="str">
            <v>0</v>
          </cell>
          <cell r="BM1255" t="str">
            <v>1</v>
          </cell>
          <cell r="BN1255" t="str">
            <v/>
          </cell>
          <cell r="BO1255" t="str">
            <v/>
          </cell>
        </row>
        <row r="1256">
          <cell r="A1256">
            <v>1</v>
          </cell>
          <cell r="B1256">
            <v>4552751</v>
          </cell>
          <cell r="C1256" t="str">
            <v>MATERIEL ROULANT</v>
          </cell>
          <cell r="D1256" t="str">
            <v>ENT.CHARIOT - STAC 275</v>
          </cell>
          <cell r="E1256" t="str">
            <v>O</v>
          </cell>
          <cell r="F1256">
            <v>0</v>
          </cell>
          <cell r="G1256">
            <v>0</v>
          </cell>
          <cell r="H1256">
            <v>3106.4</v>
          </cell>
          <cell r="I1256">
            <v>3811.91</v>
          </cell>
          <cell r="J1256">
            <v>705.51</v>
          </cell>
          <cell r="K1256">
            <v>0</v>
          </cell>
          <cell r="L1256">
            <v>911.25</v>
          </cell>
          <cell r="M1256">
            <v>483.66</v>
          </cell>
          <cell r="N1256">
            <v>568.38</v>
          </cell>
          <cell r="O1256">
            <v>645.77</v>
          </cell>
          <cell r="P1256">
            <v>684.21</v>
          </cell>
          <cell r="Q1256">
            <v>684.21</v>
          </cell>
          <cell r="R1256">
            <v>1390.97</v>
          </cell>
          <cell r="S1256">
            <v>1518.4</v>
          </cell>
          <cell r="T1256">
            <v>1779.47</v>
          </cell>
          <cell r="U1256">
            <v>1909.5</v>
          </cell>
          <cell r="V1256">
            <v>1958.3</v>
          </cell>
          <cell r="W1256">
            <v>2495.52</v>
          </cell>
          <cell r="X1256">
            <v>3106.4</v>
          </cell>
          <cell r="Y1256">
            <v>3533.99</v>
          </cell>
          <cell r="Z1256">
            <v>79.53</v>
          </cell>
          <cell r="AA1256">
            <v>84.35</v>
          </cell>
          <cell r="AB1256">
            <v>84.35</v>
          </cell>
          <cell r="AC1256">
            <v>84.35</v>
          </cell>
          <cell r="AD1256">
            <v>84.35</v>
          </cell>
          <cell r="AE1256">
            <v>84.35</v>
          </cell>
          <cell r="AF1256">
            <v>1158.54</v>
          </cell>
          <cell r="AG1256">
            <v>1158.54</v>
          </cell>
          <cell r="AH1256">
            <v>1183.03</v>
          </cell>
          <cell r="AI1256">
            <v>1183.03</v>
          </cell>
          <cell r="AJ1256">
            <v>2247.3000000000002</v>
          </cell>
          <cell r="AK1256">
            <v>2247.3000000000002</v>
          </cell>
          <cell r="AL1256">
            <v>0</v>
          </cell>
          <cell r="AM1256">
            <v>1</v>
          </cell>
          <cell r="AN1256" t="str">
            <v/>
          </cell>
          <cell r="AO1256">
            <v>0</v>
          </cell>
          <cell r="AP1256">
            <v>0</v>
          </cell>
          <cell r="AQ1256">
            <v>0</v>
          </cell>
          <cell r="AR1256">
            <v>750</v>
          </cell>
          <cell r="AS1256">
            <v>0</v>
          </cell>
          <cell r="AT1256" t="str">
            <v/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 t="str">
            <v/>
          </cell>
          <cell r="BK1256">
            <v>7000</v>
          </cell>
          <cell r="BL1256" t="str">
            <v>0</v>
          </cell>
          <cell r="BM1256" t="str">
            <v>1</v>
          </cell>
          <cell r="BN1256" t="str">
            <v/>
          </cell>
          <cell r="BO1256" t="str">
            <v/>
          </cell>
        </row>
        <row r="1257">
          <cell r="A1257">
            <v>1</v>
          </cell>
          <cell r="B1257">
            <v>4470253</v>
          </cell>
          <cell r="C1257" t="str">
            <v>ENTRETIEN ET REPARATIONS</v>
          </cell>
          <cell r="D1257" t="str">
            <v>SACS - MACH #25</v>
          </cell>
          <cell r="E1257" t="str">
            <v>O</v>
          </cell>
          <cell r="F1257">
            <v>0</v>
          </cell>
          <cell r="G1257">
            <v>0</v>
          </cell>
          <cell r="H1257">
            <v>3063.47</v>
          </cell>
          <cell r="I1257">
            <v>3063.47</v>
          </cell>
          <cell r="J1257">
            <v>0</v>
          </cell>
          <cell r="K1257">
            <v>0</v>
          </cell>
          <cell r="L1257">
            <v>204.42</v>
          </cell>
          <cell r="M1257">
            <v>136.28</v>
          </cell>
          <cell r="N1257">
            <v>398.04</v>
          </cell>
          <cell r="O1257">
            <v>576.4</v>
          </cell>
          <cell r="P1257">
            <v>619.26</v>
          </cell>
          <cell r="Q1257">
            <v>1102.26</v>
          </cell>
          <cell r="R1257">
            <v>1281.6400000000001</v>
          </cell>
          <cell r="S1257">
            <v>1509.04</v>
          </cell>
          <cell r="T1257">
            <v>1741.32</v>
          </cell>
          <cell r="U1257">
            <v>2299.31</v>
          </cell>
          <cell r="V1257">
            <v>2396.21</v>
          </cell>
          <cell r="W1257">
            <v>2966.88</v>
          </cell>
          <cell r="X1257">
            <v>3063.47</v>
          </cell>
          <cell r="Y1257">
            <v>3131.61</v>
          </cell>
          <cell r="Z1257">
            <v>0</v>
          </cell>
          <cell r="AA1257">
            <v>0</v>
          </cell>
          <cell r="AB1257">
            <v>515</v>
          </cell>
          <cell r="AC1257">
            <v>515</v>
          </cell>
          <cell r="AD1257">
            <v>628.23</v>
          </cell>
          <cell r="AE1257">
            <v>840.29</v>
          </cell>
          <cell r="AF1257">
            <v>2918.27</v>
          </cell>
          <cell r="AG1257">
            <v>3299.85</v>
          </cell>
          <cell r="AH1257">
            <v>3388.67</v>
          </cell>
          <cell r="AI1257">
            <v>3456.75</v>
          </cell>
          <cell r="AJ1257">
            <v>3456.75</v>
          </cell>
          <cell r="AK1257">
            <v>3502.83</v>
          </cell>
          <cell r="AL1257">
            <v>0</v>
          </cell>
          <cell r="AM1257">
            <v>3</v>
          </cell>
          <cell r="AN1257" t="str">
            <v/>
          </cell>
          <cell r="AO1257">
            <v>0</v>
          </cell>
          <cell r="AP1257">
            <v>0</v>
          </cell>
          <cell r="AQ1257">
            <v>0</v>
          </cell>
          <cell r="AR1257">
            <v>720</v>
          </cell>
          <cell r="AS1257">
            <v>0</v>
          </cell>
          <cell r="AT1257" t="str">
            <v/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 t="str">
            <v/>
          </cell>
          <cell r="BK1257">
            <v>7000</v>
          </cell>
          <cell r="BL1257" t="str">
            <v>0</v>
          </cell>
          <cell r="BM1257" t="str">
            <v>1</v>
          </cell>
          <cell r="BN1257" t="str">
            <v/>
          </cell>
          <cell r="BO1257" t="str">
            <v/>
          </cell>
        </row>
        <row r="1258">
          <cell r="A1258">
            <v>1</v>
          </cell>
          <cell r="B1258">
            <v>4470293</v>
          </cell>
          <cell r="C1258" t="str">
            <v>ENTRETIEN ET REPARATIONS</v>
          </cell>
          <cell r="D1258" t="str">
            <v>SACS - MACH #29</v>
          </cell>
          <cell r="E1258" t="str">
            <v>O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3</v>
          </cell>
          <cell r="AN1258" t="str">
            <v/>
          </cell>
          <cell r="AO1258">
            <v>0</v>
          </cell>
          <cell r="AP1258">
            <v>0</v>
          </cell>
          <cell r="AQ1258">
            <v>0</v>
          </cell>
          <cell r="AR1258">
            <v>720</v>
          </cell>
          <cell r="AS1258">
            <v>0</v>
          </cell>
          <cell r="AT1258" t="str">
            <v/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 t="str">
            <v/>
          </cell>
          <cell r="BK1258">
            <v>7000</v>
          </cell>
          <cell r="BL1258" t="str">
            <v>0</v>
          </cell>
          <cell r="BM1258" t="str">
            <v>1</v>
          </cell>
          <cell r="BN1258" t="str">
            <v/>
          </cell>
          <cell r="BO1258" t="str">
            <v/>
          </cell>
        </row>
        <row r="1259">
          <cell r="A1259">
            <v>1</v>
          </cell>
          <cell r="B1259">
            <v>4250243</v>
          </cell>
          <cell r="C1259" t="str">
            <v>M.O.D.</v>
          </cell>
          <cell r="D1259" t="str">
            <v>SACS - NETTOYEUR</v>
          </cell>
          <cell r="E1259" t="str">
            <v>O</v>
          </cell>
          <cell r="F1259">
            <v>0</v>
          </cell>
          <cell r="G1259">
            <v>0</v>
          </cell>
          <cell r="H1259">
            <v>75563.350000000006</v>
          </cell>
          <cell r="I1259">
            <v>90544.14</v>
          </cell>
          <cell r="J1259">
            <v>14980.79</v>
          </cell>
          <cell r="K1259">
            <v>0</v>
          </cell>
          <cell r="L1259">
            <v>13162.87</v>
          </cell>
          <cell r="M1259">
            <v>8153.21</v>
          </cell>
          <cell r="N1259">
            <v>5532.64</v>
          </cell>
          <cell r="O1259">
            <v>12441.25</v>
          </cell>
          <cell r="P1259">
            <v>19381.490000000002</v>
          </cell>
          <cell r="Q1259">
            <v>27157.54</v>
          </cell>
          <cell r="R1259">
            <v>33917.519999999997</v>
          </cell>
          <cell r="S1259">
            <v>40571.15</v>
          </cell>
          <cell r="T1259">
            <v>46888.4</v>
          </cell>
          <cell r="U1259">
            <v>54173.2</v>
          </cell>
          <cell r="V1259">
            <v>59914.32</v>
          </cell>
          <cell r="W1259">
            <v>67410.14</v>
          </cell>
          <cell r="X1259">
            <v>75563.350000000006</v>
          </cell>
          <cell r="Y1259">
            <v>80573.009999999995</v>
          </cell>
          <cell r="Z1259">
            <v>20311.3</v>
          </cell>
          <cell r="AA1259">
            <v>40162.14</v>
          </cell>
          <cell r="AB1259">
            <v>62916.07</v>
          </cell>
          <cell r="AC1259">
            <v>81460.33</v>
          </cell>
          <cell r="AD1259">
            <v>93603.36</v>
          </cell>
          <cell r="AE1259">
            <v>93603.36</v>
          </cell>
          <cell r="AF1259">
            <v>93603.36</v>
          </cell>
          <cell r="AG1259">
            <v>94748.88</v>
          </cell>
          <cell r="AH1259">
            <v>101486.04</v>
          </cell>
          <cell r="AI1259">
            <v>112668.06</v>
          </cell>
          <cell r="AJ1259">
            <v>124127.07</v>
          </cell>
          <cell r="AK1259">
            <v>130849.03</v>
          </cell>
          <cell r="AL1259">
            <v>0</v>
          </cell>
          <cell r="AM1259">
            <v>3</v>
          </cell>
          <cell r="AN1259" t="str">
            <v/>
          </cell>
          <cell r="AO1259">
            <v>0</v>
          </cell>
          <cell r="AP1259">
            <v>0</v>
          </cell>
          <cell r="AQ1259">
            <v>0</v>
          </cell>
          <cell r="AR1259">
            <v>690</v>
          </cell>
          <cell r="AS1259">
            <v>0</v>
          </cell>
          <cell r="AT1259" t="str">
            <v/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 t="str">
            <v/>
          </cell>
          <cell r="BK1259">
            <v>6000</v>
          </cell>
          <cell r="BL1259" t="str">
            <v>0</v>
          </cell>
          <cell r="BM1259" t="str">
            <v>1</v>
          </cell>
          <cell r="BN1259" t="str">
            <v/>
          </cell>
          <cell r="BO1259" t="str">
            <v/>
          </cell>
        </row>
        <row r="1260">
          <cell r="A1260">
            <v>1</v>
          </cell>
          <cell r="B1260">
            <v>4250293</v>
          </cell>
          <cell r="C1260" t="str">
            <v>M.O.D.</v>
          </cell>
          <cell r="D1260" t="str">
            <v>SACS - MACHINE 29</v>
          </cell>
          <cell r="E1260" t="str">
            <v>O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43.32</v>
          </cell>
          <cell r="AA1260">
            <v>45.94</v>
          </cell>
          <cell r="AB1260">
            <v>45.94</v>
          </cell>
          <cell r="AC1260">
            <v>45.94</v>
          </cell>
          <cell r="AD1260">
            <v>45.94</v>
          </cell>
          <cell r="AE1260">
            <v>45.94</v>
          </cell>
          <cell r="AF1260">
            <v>45.94</v>
          </cell>
          <cell r="AG1260">
            <v>45.94</v>
          </cell>
          <cell r="AH1260">
            <v>45.94</v>
          </cell>
          <cell r="AI1260">
            <v>45.94</v>
          </cell>
          <cell r="AJ1260">
            <v>45.94</v>
          </cell>
          <cell r="AK1260">
            <v>45.94</v>
          </cell>
          <cell r="AL1260">
            <v>0</v>
          </cell>
          <cell r="AM1260">
            <v>3</v>
          </cell>
          <cell r="AN1260" t="str">
            <v/>
          </cell>
          <cell r="AO1260">
            <v>0</v>
          </cell>
          <cell r="AP1260">
            <v>0</v>
          </cell>
          <cell r="AQ1260">
            <v>0</v>
          </cell>
          <cell r="AR1260">
            <v>690</v>
          </cell>
          <cell r="AS1260">
            <v>0</v>
          </cell>
          <cell r="AT1260" t="str">
            <v/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 t="str">
            <v/>
          </cell>
          <cell r="BK1260">
            <v>6000</v>
          </cell>
          <cell r="BL1260" t="str">
            <v>0</v>
          </cell>
          <cell r="BM1260" t="str">
            <v>1</v>
          </cell>
          <cell r="BN1260" t="str">
            <v/>
          </cell>
          <cell r="BO1260" t="str">
            <v/>
          </cell>
        </row>
        <row r="1261">
          <cell r="A1261">
            <v>1</v>
          </cell>
          <cell r="B1261">
            <v>4410001</v>
          </cell>
          <cell r="C1261" t="str">
            <v>FORMATION</v>
          </cell>
          <cell r="D1261" t="str">
            <v>ENTRETIEN</v>
          </cell>
          <cell r="E1261" t="str">
            <v>O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99.02</v>
          </cell>
          <cell r="AD1261">
            <v>532.27</v>
          </cell>
          <cell r="AE1261">
            <v>532.27</v>
          </cell>
          <cell r="AF1261">
            <v>532.27</v>
          </cell>
          <cell r="AG1261">
            <v>532.27</v>
          </cell>
          <cell r="AH1261">
            <v>532.27</v>
          </cell>
          <cell r="AI1261">
            <v>532.27</v>
          </cell>
          <cell r="AJ1261">
            <v>532.27</v>
          </cell>
          <cell r="AK1261">
            <v>532.27</v>
          </cell>
          <cell r="AL1261">
            <v>0</v>
          </cell>
          <cell r="AM1261">
            <v>1</v>
          </cell>
          <cell r="AN1261" t="str">
            <v/>
          </cell>
          <cell r="AO1261">
            <v>0</v>
          </cell>
          <cell r="AP1261">
            <v>0</v>
          </cell>
          <cell r="AQ1261">
            <v>0</v>
          </cell>
          <cell r="AR1261">
            <v>810</v>
          </cell>
          <cell r="AS1261">
            <v>0</v>
          </cell>
          <cell r="AT1261" t="str">
            <v/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 t="str">
            <v/>
          </cell>
          <cell r="BK1261">
            <v>7000</v>
          </cell>
          <cell r="BL1261" t="str">
            <v>0</v>
          </cell>
          <cell r="BM1261" t="str">
            <v>1</v>
          </cell>
          <cell r="BN1261" t="str">
            <v/>
          </cell>
          <cell r="BO1261" t="str">
            <v/>
          </cell>
        </row>
        <row r="1262">
          <cell r="A1262">
            <v>1</v>
          </cell>
          <cell r="B1262">
            <v>4591011</v>
          </cell>
          <cell r="C1262" t="str">
            <v>ENTRETIEN BATIMENT</v>
          </cell>
          <cell r="D1262" t="str">
            <v>DECHETS</v>
          </cell>
          <cell r="E1262" t="str">
            <v>O</v>
          </cell>
          <cell r="F1262">
            <v>0</v>
          </cell>
          <cell r="G1262">
            <v>0</v>
          </cell>
          <cell r="H1262">
            <v>64656.88</v>
          </cell>
          <cell r="I1262">
            <v>106522.9</v>
          </cell>
          <cell r="J1262">
            <v>41866.019999999997</v>
          </cell>
          <cell r="K1262">
            <v>0</v>
          </cell>
          <cell r="L1262">
            <v>933.44</v>
          </cell>
          <cell r="M1262">
            <v>1310.28</v>
          </cell>
          <cell r="N1262">
            <v>14505.57</v>
          </cell>
          <cell r="O1262">
            <v>31707.85</v>
          </cell>
          <cell r="P1262">
            <v>36172.9</v>
          </cell>
          <cell r="Q1262">
            <v>19180.740000000002</v>
          </cell>
          <cell r="R1262">
            <v>28181.86</v>
          </cell>
          <cell r="S1262">
            <v>34431.89</v>
          </cell>
          <cell r="T1262">
            <v>35435.730000000003</v>
          </cell>
          <cell r="U1262">
            <v>36972.769999999997</v>
          </cell>
          <cell r="V1262">
            <v>41664.959999999999</v>
          </cell>
          <cell r="W1262">
            <v>63346.6</v>
          </cell>
          <cell r="X1262">
            <v>64656.88</v>
          </cell>
          <cell r="Y1262">
            <v>64280.04</v>
          </cell>
          <cell r="Z1262">
            <v>4891.6000000000004</v>
          </cell>
          <cell r="AA1262">
            <v>6877.08</v>
          </cell>
          <cell r="AB1262">
            <v>26958.799999999999</v>
          </cell>
          <cell r="AC1262">
            <v>26608.799999999999</v>
          </cell>
          <cell r="AD1262">
            <v>35284.76</v>
          </cell>
          <cell r="AE1262">
            <v>49194.8</v>
          </cell>
          <cell r="AF1262">
            <v>75361.23</v>
          </cell>
          <cell r="AG1262">
            <v>85769.99</v>
          </cell>
          <cell r="AH1262">
            <v>55836.71</v>
          </cell>
          <cell r="AI1262">
            <v>64402.77</v>
          </cell>
          <cell r="AJ1262">
            <v>73436.960000000006</v>
          </cell>
          <cell r="AK1262">
            <v>80649.48</v>
          </cell>
          <cell r="AL1262">
            <v>0</v>
          </cell>
          <cell r="AM1262">
            <v>1</v>
          </cell>
          <cell r="AN1262" t="str">
            <v/>
          </cell>
          <cell r="AO1262">
            <v>0</v>
          </cell>
          <cell r="AP1262">
            <v>0</v>
          </cell>
          <cell r="AQ1262">
            <v>0</v>
          </cell>
          <cell r="AR1262">
            <v>710</v>
          </cell>
          <cell r="AS1262">
            <v>0</v>
          </cell>
          <cell r="AT1262" t="str">
            <v/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 t="str">
            <v/>
          </cell>
          <cell r="BK1262">
            <v>7000</v>
          </cell>
          <cell r="BL1262" t="str">
            <v>0</v>
          </cell>
          <cell r="BM1262" t="str">
            <v>1</v>
          </cell>
          <cell r="BN1262" t="str">
            <v/>
          </cell>
          <cell r="BO1262" t="str">
            <v/>
          </cell>
        </row>
        <row r="1263">
          <cell r="A1263">
            <v>1</v>
          </cell>
          <cell r="B1263">
            <v>4460293</v>
          </cell>
          <cell r="C1263" t="str">
            <v>MECANICIENS     ENTRETIEN</v>
          </cell>
          <cell r="D1263" t="str">
            <v>SACS - MACHINE 29</v>
          </cell>
          <cell r="E1263" t="str">
            <v>O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3</v>
          </cell>
          <cell r="AN1263" t="str">
            <v/>
          </cell>
          <cell r="AO1263">
            <v>0</v>
          </cell>
          <cell r="AP1263">
            <v>0</v>
          </cell>
          <cell r="AQ1263">
            <v>0</v>
          </cell>
          <cell r="AR1263">
            <v>700</v>
          </cell>
          <cell r="AS1263">
            <v>0</v>
          </cell>
          <cell r="AT1263" t="str">
            <v/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 t="str">
            <v/>
          </cell>
          <cell r="BK1263">
            <v>7000</v>
          </cell>
          <cell r="BL1263" t="str">
            <v>0</v>
          </cell>
          <cell r="BM1263" t="str">
            <v>1</v>
          </cell>
          <cell r="BN1263" t="str">
            <v/>
          </cell>
          <cell r="BO1263" t="str">
            <v/>
          </cell>
        </row>
        <row r="1264">
          <cell r="A1264">
            <v>1</v>
          </cell>
          <cell r="B1264">
            <v>4115752</v>
          </cell>
          <cell r="C1264" t="str">
            <v>PERKINS S/F 12X250</v>
          </cell>
          <cell r="D1264" t="str">
            <v>PN101575</v>
          </cell>
          <cell r="E1264" t="str">
            <v>O</v>
          </cell>
          <cell r="F1264">
            <v>0</v>
          </cell>
          <cell r="G1264">
            <v>0</v>
          </cell>
          <cell r="H1264">
            <v>225346.09</v>
          </cell>
          <cell r="I1264">
            <v>760.95</v>
          </cell>
          <cell r="J1264">
            <v>226107.04</v>
          </cell>
          <cell r="K1264">
            <v>0</v>
          </cell>
          <cell r="L1264">
            <v>0</v>
          </cell>
          <cell r="M1264">
            <v>12798</v>
          </cell>
          <cell r="N1264">
            <v>12410.8</v>
          </cell>
          <cell r="O1264">
            <v>26042.799999999999</v>
          </cell>
          <cell r="P1264">
            <v>43226.83</v>
          </cell>
          <cell r="Q1264">
            <v>58792.87</v>
          </cell>
          <cell r="R1264">
            <v>89209.27</v>
          </cell>
          <cell r="S1264">
            <v>103933.99</v>
          </cell>
          <cell r="T1264">
            <v>135380.89000000001</v>
          </cell>
          <cell r="U1264">
            <v>153866.89000000001</v>
          </cell>
          <cell r="V1264">
            <v>179462.89</v>
          </cell>
          <cell r="W1264">
            <v>203542.09</v>
          </cell>
          <cell r="X1264">
            <v>225346.09</v>
          </cell>
          <cell r="Y1264">
            <v>238144.09</v>
          </cell>
          <cell r="Z1264">
            <v>3563.65</v>
          </cell>
          <cell r="AA1264">
            <v>16187.65</v>
          </cell>
          <cell r="AB1264">
            <v>25971.25</v>
          </cell>
          <cell r="AC1264">
            <v>33545.65</v>
          </cell>
          <cell r="AD1264">
            <v>43644.85</v>
          </cell>
          <cell r="AE1264">
            <v>55019.6</v>
          </cell>
          <cell r="AF1264">
            <v>71194.100000000006</v>
          </cell>
          <cell r="AG1264">
            <v>81398.5</v>
          </cell>
          <cell r="AH1264">
            <v>103754.62</v>
          </cell>
          <cell r="AI1264">
            <v>107812.9</v>
          </cell>
          <cell r="AJ1264">
            <v>120201.2</v>
          </cell>
          <cell r="AK1264">
            <v>132928.79999999999</v>
          </cell>
          <cell r="AL1264">
            <v>0</v>
          </cell>
          <cell r="AM1264">
            <v>2</v>
          </cell>
          <cell r="AN1264" t="str">
            <v/>
          </cell>
          <cell r="AO1264">
            <v>0</v>
          </cell>
          <cell r="AP1264">
            <v>0</v>
          </cell>
          <cell r="AQ1264">
            <v>0</v>
          </cell>
          <cell r="AR1264">
            <v>600</v>
          </cell>
          <cell r="AS1264">
            <v>0</v>
          </cell>
          <cell r="AT1264" t="str">
            <v/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20575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 t="str">
            <v/>
          </cell>
          <cell r="BK1264">
            <v>4000</v>
          </cell>
          <cell r="BL1264" t="str">
            <v>0</v>
          </cell>
          <cell r="BM1264" t="str">
            <v>1</v>
          </cell>
          <cell r="BN1264" t="str">
            <v/>
          </cell>
          <cell r="BO1264" t="str">
            <v/>
          </cell>
        </row>
        <row r="1265">
          <cell r="A1265">
            <v>1</v>
          </cell>
          <cell r="B1265">
            <v>4115802</v>
          </cell>
          <cell r="C1265" t="str">
            <v>COSCO M/F DECOR NAT</v>
          </cell>
          <cell r="D1265" t="str">
            <v>pn101580</v>
          </cell>
          <cell r="E1265" t="str">
            <v>O</v>
          </cell>
          <cell r="F1265">
            <v>0</v>
          </cell>
          <cell r="G1265">
            <v>0</v>
          </cell>
          <cell r="H1265">
            <v>340.28</v>
          </cell>
          <cell r="I1265">
            <v>92.98</v>
          </cell>
          <cell r="J1265">
            <v>433.26</v>
          </cell>
          <cell r="K1265">
            <v>0</v>
          </cell>
          <cell r="L1265">
            <v>11.2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-24.08</v>
          </cell>
          <cell r="R1265">
            <v>94.58</v>
          </cell>
          <cell r="S1265">
            <v>213.24</v>
          </cell>
          <cell r="T1265">
            <v>213.24</v>
          </cell>
          <cell r="U1265">
            <v>405.24</v>
          </cell>
          <cell r="V1265">
            <v>405.24</v>
          </cell>
          <cell r="W1265">
            <v>405.24</v>
          </cell>
          <cell r="X1265">
            <v>340.28</v>
          </cell>
          <cell r="Y1265">
            <v>329.08</v>
          </cell>
          <cell r="Z1265">
            <v>0</v>
          </cell>
          <cell r="AA1265">
            <v>0</v>
          </cell>
          <cell r="AB1265">
            <v>1510.5</v>
          </cell>
          <cell r="AC1265">
            <v>2070.75</v>
          </cell>
          <cell r="AD1265">
            <v>2772.99</v>
          </cell>
          <cell r="AE1265">
            <v>2890.03</v>
          </cell>
          <cell r="AF1265">
            <v>3124.11</v>
          </cell>
          <cell r="AG1265">
            <v>3124.11</v>
          </cell>
          <cell r="AH1265">
            <v>3440.11</v>
          </cell>
          <cell r="AI1265">
            <v>3819.31</v>
          </cell>
          <cell r="AJ1265">
            <v>3819.31</v>
          </cell>
          <cell r="AK1265">
            <v>3919.21</v>
          </cell>
          <cell r="AL1265">
            <v>0</v>
          </cell>
          <cell r="AM1265">
            <v>2</v>
          </cell>
          <cell r="AN1265" t="str">
            <v/>
          </cell>
          <cell r="AO1265">
            <v>0</v>
          </cell>
          <cell r="AP1265">
            <v>0</v>
          </cell>
          <cell r="AQ1265">
            <v>0</v>
          </cell>
          <cell r="AR1265">
            <v>600</v>
          </cell>
          <cell r="AS1265">
            <v>0</v>
          </cell>
          <cell r="AT1265" t="str">
            <v/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20580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 t="str">
            <v/>
          </cell>
          <cell r="BK1265">
            <v>4000</v>
          </cell>
          <cell r="BL1265" t="str">
            <v>0</v>
          </cell>
          <cell r="BM1265" t="str">
            <v>1</v>
          </cell>
          <cell r="BN1265" t="str">
            <v/>
          </cell>
          <cell r="BO1265" t="str">
            <v/>
          </cell>
        </row>
        <row r="1266">
          <cell r="A1266">
            <v>1</v>
          </cell>
          <cell r="B1266">
            <v>4115822</v>
          </cell>
          <cell r="C1266" t="str">
            <v>COSCO 8/425 DECOT NAT</v>
          </cell>
          <cell r="D1266" t="str">
            <v>pn101582</v>
          </cell>
          <cell r="E1266" t="str">
            <v>O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11343.6</v>
          </cell>
          <cell r="AA1266">
            <v>22851.599999999999</v>
          </cell>
          <cell r="AB1266">
            <v>29756.400000000001</v>
          </cell>
          <cell r="AC1266">
            <v>29756.400000000001</v>
          </cell>
          <cell r="AD1266">
            <v>29756.400000000001</v>
          </cell>
          <cell r="AE1266">
            <v>29756.400000000001</v>
          </cell>
          <cell r="AF1266">
            <v>29756.400000000001</v>
          </cell>
          <cell r="AG1266">
            <v>29756.400000000001</v>
          </cell>
          <cell r="AH1266">
            <v>29756.400000000001</v>
          </cell>
          <cell r="AI1266">
            <v>29756.400000000001</v>
          </cell>
          <cell r="AJ1266">
            <v>29756.400000000001</v>
          </cell>
          <cell r="AK1266">
            <v>29734.74</v>
          </cell>
          <cell r="AL1266">
            <v>0</v>
          </cell>
          <cell r="AM1266">
            <v>2</v>
          </cell>
          <cell r="AN1266" t="str">
            <v/>
          </cell>
          <cell r="AO1266">
            <v>0</v>
          </cell>
          <cell r="AP1266">
            <v>0</v>
          </cell>
          <cell r="AQ1266">
            <v>0</v>
          </cell>
          <cell r="AR1266">
            <v>600</v>
          </cell>
          <cell r="AS1266">
            <v>0</v>
          </cell>
          <cell r="AT1266" t="str">
            <v/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20582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 t="str">
            <v/>
          </cell>
          <cell r="BK1266">
            <v>4000</v>
          </cell>
          <cell r="BL1266" t="str">
            <v>0</v>
          </cell>
          <cell r="BM1266" t="str">
            <v>1</v>
          </cell>
          <cell r="BN1266" t="str">
            <v/>
          </cell>
          <cell r="BO1266" t="str">
            <v/>
          </cell>
        </row>
        <row r="1267">
          <cell r="A1267">
            <v>1</v>
          </cell>
          <cell r="B1267">
            <v>4118002</v>
          </cell>
          <cell r="C1267" t="str">
            <v>DAIRY TOWEL 10 X 250</v>
          </cell>
          <cell r="D1267" t="str">
            <v>pn101800</v>
          </cell>
          <cell r="E1267" t="str">
            <v>O</v>
          </cell>
          <cell r="F1267">
            <v>0</v>
          </cell>
          <cell r="G1267">
            <v>0</v>
          </cell>
          <cell r="H1267">
            <v>13236</v>
          </cell>
          <cell r="I1267">
            <v>18.309999999999999</v>
          </cell>
          <cell r="J1267">
            <v>13254.31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7236</v>
          </cell>
          <cell r="P1267">
            <v>13236</v>
          </cell>
          <cell r="Q1267">
            <v>13236</v>
          </cell>
          <cell r="R1267">
            <v>13236</v>
          </cell>
          <cell r="S1267">
            <v>13236</v>
          </cell>
          <cell r="T1267">
            <v>13236</v>
          </cell>
          <cell r="U1267">
            <v>13236</v>
          </cell>
          <cell r="V1267">
            <v>13236</v>
          </cell>
          <cell r="W1267">
            <v>13236</v>
          </cell>
          <cell r="X1267">
            <v>13236</v>
          </cell>
          <cell r="Y1267">
            <v>13236</v>
          </cell>
          <cell r="Z1267">
            <v>0</v>
          </cell>
          <cell r="AA1267">
            <v>6000</v>
          </cell>
          <cell r="AB1267">
            <v>12000</v>
          </cell>
          <cell r="AC1267">
            <v>12000</v>
          </cell>
          <cell r="AD1267">
            <v>12000</v>
          </cell>
          <cell r="AE1267">
            <v>12000</v>
          </cell>
          <cell r="AF1267">
            <v>12000</v>
          </cell>
          <cell r="AG1267">
            <v>12000</v>
          </cell>
          <cell r="AH1267">
            <v>12000</v>
          </cell>
          <cell r="AI1267">
            <v>12000</v>
          </cell>
          <cell r="AJ1267">
            <v>12000</v>
          </cell>
          <cell r="AK1267">
            <v>12000</v>
          </cell>
          <cell r="AL1267">
            <v>0</v>
          </cell>
          <cell r="AM1267">
            <v>2</v>
          </cell>
          <cell r="AN1267" t="str">
            <v/>
          </cell>
          <cell r="AO1267">
            <v>0</v>
          </cell>
          <cell r="AP1267">
            <v>0</v>
          </cell>
          <cell r="AQ1267">
            <v>0</v>
          </cell>
          <cell r="AR1267">
            <v>600</v>
          </cell>
          <cell r="AS1267">
            <v>0</v>
          </cell>
          <cell r="AT1267" t="str">
            <v/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 t="str">
            <v/>
          </cell>
          <cell r="BK1267">
            <v>4000</v>
          </cell>
          <cell r="BL1267" t="str">
            <v>0</v>
          </cell>
          <cell r="BM1267" t="str">
            <v>1</v>
          </cell>
          <cell r="BN1267" t="str">
            <v/>
          </cell>
          <cell r="BO1267" t="str">
            <v/>
          </cell>
        </row>
        <row r="1268">
          <cell r="A1268">
            <v>1</v>
          </cell>
          <cell r="B1268">
            <v>5251009</v>
          </cell>
          <cell r="C1268" t="str">
            <v>FRAIS DE GESTION</v>
          </cell>
          <cell r="D1268" t="str">
            <v>REVENTES</v>
          </cell>
          <cell r="E1268" t="str">
            <v>O</v>
          </cell>
          <cell r="F1268">
            <v>0</v>
          </cell>
          <cell r="G1268">
            <v>0</v>
          </cell>
          <cell r="H1268">
            <v>-24066.97</v>
          </cell>
          <cell r="I1268">
            <v>19753.18</v>
          </cell>
          <cell r="J1268">
            <v>43820.15</v>
          </cell>
          <cell r="K1268">
            <v>0</v>
          </cell>
          <cell r="L1268">
            <v>0</v>
          </cell>
          <cell r="M1268">
            <v>11636.12</v>
          </cell>
          <cell r="N1268">
            <v>2032.48</v>
          </cell>
          <cell r="O1268">
            <v>-2317.83</v>
          </cell>
          <cell r="P1268">
            <v>-4104.5</v>
          </cell>
          <cell r="Q1268">
            <v>-12222.66</v>
          </cell>
          <cell r="R1268">
            <v>-19365.830000000002</v>
          </cell>
          <cell r="S1268">
            <v>-24982.7</v>
          </cell>
          <cell r="T1268">
            <v>-19757.650000000001</v>
          </cell>
          <cell r="U1268">
            <v>-20202.82</v>
          </cell>
          <cell r="V1268">
            <v>-17060.98</v>
          </cell>
          <cell r="W1268">
            <v>-20910.45</v>
          </cell>
          <cell r="X1268">
            <v>-24066.97</v>
          </cell>
          <cell r="Y1268">
            <v>-35703.089999999997</v>
          </cell>
          <cell r="Z1268">
            <v>-1994</v>
          </cell>
          <cell r="AA1268">
            <v>-4355.18</v>
          </cell>
          <cell r="AB1268">
            <v>-8503.56</v>
          </cell>
          <cell r="AC1268">
            <v>-10272.48</v>
          </cell>
          <cell r="AD1268">
            <v>-17875.87</v>
          </cell>
          <cell r="AE1268">
            <v>-28533.81</v>
          </cell>
          <cell r="AF1268">
            <v>-26784.21</v>
          </cell>
          <cell r="AG1268">
            <v>-41743.42</v>
          </cell>
          <cell r="AH1268">
            <v>-51079.54</v>
          </cell>
          <cell r="AI1268">
            <v>-59084.5</v>
          </cell>
          <cell r="AJ1268">
            <v>-72576.34</v>
          </cell>
          <cell r="AK1268">
            <v>-75273.009999999995</v>
          </cell>
          <cell r="AL1268">
            <v>0</v>
          </cell>
          <cell r="AM1268">
            <v>9</v>
          </cell>
          <cell r="AN1268" t="str">
            <v/>
          </cell>
          <cell r="AO1268">
            <v>0</v>
          </cell>
          <cell r="AP1268">
            <v>0</v>
          </cell>
          <cell r="AQ1268">
            <v>0</v>
          </cell>
          <cell r="AR1268">
            <v>810</v>
          </cell>
          <cell r="AS1268">
            <v>0</v>
          </cell>
          <cell r="AT1268" t="str">
            <v/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 t="str">
            <v/>
          </cell>
          <cell r="BK1268">
            <v>8000</v>
          </cell>
          <cell r="BL1268" t="str">
            <v>0</v>
          </cell>
          <cell r="BM1268" t="str">
            <v>1</v>
          </cell>
          <cell r="BN1268" t="str">
            <v/>
          </cell>
          <cell r="BO1268" t="str">
            <v/>
          </cell>
        </row>
        <row r="1269">
          <cell r="A1269">
            <v>1</v>
          </cell>
          <cell r="B1269">
            <v>4472041</v>
          </cell>
          <cell r="C1269" t="str">
            <v>ENTRETIEN ET REPARATIONS</v>
          </cell>
          <cell r="D1269" t="str">
            <v>PRESSE A BOUE</v>
          </cell>
          <cell r="E1269" t="str">
            <v>O</v>
          </cell>
          <cell r="F1269">
            <v>0</v>
          </cell>
          <cell r="G1269">
            <v>0</v>
          </cell>
          <cell r="H1269">
            <v>12139.97</v>
          </cell>
          <cell r="I1269">
            <v>13248.9</v>
          </cell>
          <cell r="J1269">
            <v>1108.93</v>
          </cell>
          <cell r="K1269">
            <v>0</v>
          </cell>
          <cell r="L1269">
            <v>1274.0899999999999</v>
          </cell>
          <cell r="M1269">
            <v>642.20000000000005</v>
          </cell>
          <cell r="N1269">
            <v>880.69</v>
          </cell>
          <cell r="O1269">
            <v>1537.9</v>
          </cell>
          <cell r="P1269">
            <v>5116.38</v>
          </cell>
          <cell r="Q1269">
            <v>6748.91</v>
          </cell>
          <cell r="R1269">
            <v>8912.74</v>
          </cell>
          <cell r="S1269">
            <v>11062.19</v>
          </cell>
          <cell r="T1269">
            <v>11497.77</v>
          </cell>
          <cell r="U1269">
            <v>11497.77</v>
          </cell>
          <cell r="V1269">
            <v>11497.77</v>
          </cell>
          <cell r="W1269">
            <v>11497.77</v>
          </cell>
          <cell r="X1269">
            <v>12139.97</v>
          </cell>
          <cell r="Y1269">
            <v>12771.86</v>
          </cell>
          <cell r="Z1269">
            <v>1363.71</v>
          </cell>
          <cell r="AA1269">
            <v>1363.71</v>
          </cell>
          <cell r="AB1269">
            <v>12610.84</v>
          </cell>
          <cell r="AC1269">
            <v>12657.34</v>
          </cell>
          <cell r="AD1269">
            <v>24016.23</v>
          </cell>
          <cell r="AE1269">
            <v>24979.05</v>
          </cell>
          <cell r="AF1269">
            <v>28108.05</v>
          </cell>
          <cell r="AG1269">
            <v>33913.410000000003</v>
          </cell>
          <cell r="AH1269">
            <v>35263.26</v>
          </cell>
          <cell r="AI1269">
            <v>37122.81</v>
          </cell>
          <cell r="AJ1269">
            <v>40735.39</v>
          </cell>
          <cell r="AK1269">
            <v>42596.43</v>
          </cell>
          <cell r="AL1269">
            <v>0</v>
          </cell>
          <cell r="AM1269">
            <v>1</v>
          </cell>
          <cell r="AN1269" t="str">
            <v/>
          </cell>
          <cell r="AO1269">
            <v>0</v>
          </cell>
          <cell r="AP1269">
            <v>0</v>
          </cell>
          <cell r="AQ1269">
            <v>0</v>
          </cell>
          <cell r="AR1269">
            <v>720</v>
          </cell>
          <cell r="AS1269">
            <v>0</v>
          </cell>
          <cell r="AT1269" t="str">
            <v/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 t="str">
            <v/>
          </cell>
          <cell r="BK1269">
            <v>7000</v>
          </cell>
          <cell r="BL1269" t="str">
            <v>0</v>
          </cell>
          <cell r="BM1269" t="str">
            <v>1</v>
          </cell>
          <cell r="BN1269" t="str">
            <v/>
          </cell>
          <cell r="BO1269" t="str">
            <v/>
          </cell>
        </row>
        <row r="1270">
          <cell r="A1270">
            <v>1</v>
          </cell>
          <cell r="B1270">
            <v>1332800</v>
          </cell>
          <cell r="C1270" t="str">
            <v>POMPE A INCENDIE</v>
          </cell>
          <cell r="D1270" t="str">
            <v/>
          </cell>
          <cell r="E1270" t="str">
            <v>O</v>
          </cell>
          <cell r="F1270">
            <v>0</v>
          </cell>
          <cell r="G1270">
            <v>0</v>
          </cell>
          <cell r="H1270">
            <v>17312.78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17312.78</v>
          </cell>
          <cell r="O1270">
            <v>17312.78</v>
          </cell>
          <cell r="P1270">
            <v>17312.78</v>
          </cell>
          <cell r="Q1270">
            <v>17312.78</v>
          </cell>
          <cell r="R1270">
            <v>17312.78</v>
          </cell>
          <cell r="S1270">
            <v>17312.78</v>
          </cell>
          <cell r="T1270">
            <v>17312.78</v>
          </cell>
          <cell r="U1270">
            <v>17312.78</v>
          </cell>
          <cell r="V1270">
            <v>17312.78</v>
          </cell>
          <cell r="W1270">
            <v>17312.78</v>
          </cell>
          <cell r="X1270">
            <v>17312.78</v>
          </cell>
          <cell r="Y1270">
            <v>17312.78</v>
          </cell>
          <cell r="Z1270">
            <v>17312.78</v>
          </cell>
          <cell r="AA1270">
            <v>17312.78</v>
          </cell>
          <cell r="AB1270">
            <v>17312.78</v>
          </cell>
          <cell r="AC1270">
            <v>17312.78</v>
          </cell>
          <cell r="AD1270">
            <v>17312.78</v>
          </cell>
          <cell r="AE1270">
            <v>17312.78</v>
          </cell>
          <cell r="AF1270">
            <v>17312.78</v>
          </cell>
          <cell r="AG1270">
            <v>17312.78</v>
          </cell>
          <cell r="AH1270">
            <v>17312.78</v>
          </cell>
          <cell r="AI1270">
            <v>17312.78</v>
          </cell>
          <cell r="AJ1270">
            <v>17312.78</v>
          </cell>
          <cell r="AK1270">
            <v>17312.78</v>
          </cell>
          <cell r="AL1270">
            <v>0</v>
          </cell>
          <cell r="AM1270">
            <v>0</v>
          </cell>
          <cell r="AN1270" t="str">
            <v/>
          </cell>
          <cell r="AO1270">
            <v>0</v>
          </cell>
          <cell r="AP1270">
            <v>0</v>
          </cell>
          <cell r="AQ1270">
            <v>0</v>
          </cell>
          <cell r="AR1270">
            <v>290</v>
          </cell>
          <cell r="AS1270">
            <v>0</v>
          </cell>
          <cell r="AT1270" t="str">
            <v/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240</v>
          </cell>
          <cell r="BJ1270" t="str">
            <v/>
          </cell>
          <cell r="BK1270">
            <v>1700</v>
          </cell>
          <cell r="BL1270" t="str">
            <v>1</v>
          </cell>
          <cell r="BM1270" t="str">
            <v>1</v>
          </cell>
          <cell r="BN1270" t="str">
            <v/>
          </cell>
          <cell r="BO1270" t="str">
            <v/>
          </cell>
        </row>
        <row r="1271">
          <cell r="A1271">
            <v>1</v>
          </cell>
          <cell r="B1271">
            <v>1332841</v>
          </cell>
          <cell r="C1271" t="str">
            <v>FLOTTATEUR POSEIDON</v>
          </cell>
          <cell r="D1271" t="str">
            <v>MODEL SATURNE</v>
          </cell>
          <cell r="E1271" t="str">
            <v>N</v>
          </cell>
          <cell r="F1271">
            <v>0</v>
          </cell>
          <cell r="G1271">
            <v>700000</v>
          </cell>
          <cell r="H1271">
            <v>1006561.64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1006561.64</v>
          </cell>
          <cell r="O1271">
            <v>1006561.64</v>
          </cell>
          <cell r="P1271">
            <v>1006561.64</v>
          </cell>
          <cell r="Q1271">
            <v>1006561.64</v>
          </cell>
          <cell r="R1271">
            <v>1006561.64</v>
          </cell>
          <cell r="S1271">
            <v>1006561.64</v>
          </cell>
          <cell r="T1271">
            <v>1006561.64</v>
          </cell>
          <cell r="U1271">
            <v>1006561.64</v>
          </cell>
          <cell r="V1271">
            <v>1006561.64</v>
          </cell>
          <cell r="W1271">
            <v>1006561.64</v>
          </cell>
          <cell r="X1271">
            <v>1006561.64</v>
          </cell>
          <cell r="Y1271">
            <v>1006561.64</v>
          </cell>
          <cell r="Z1271">
            <v>950060.77</v>
          </cell>
          <cell r="AA1271">
            <v>963684.36</v>
          </cell>
          <cell r="AB1271">
            <v>977519.4</v>
          </cell>
          <cell r="AC1271">
            <v>977447.4</v>
          </cell>
          <cell r="AD1271">
            <v>977447.4</v>
          </cell>
          <cell r="AE1271">
            <v>992950.4</v>
          </cell>
          <cell r="AF1271">
            <v>1000038.4</v>
          </cell>
          <cell r="AG1271">
            <v>1000038.4</v>
          </cell>
          <cell r="AH1271">
            <v>1000038.4</v>
          </cell>
          <cell r="AI1271">
            <v>1006561.64</v>
          </cell>
          <cell r="AJ1271">
            <v>1006561.64</v>
          </cell>
          <cell r="AK1271">
            <v>1006561.64</v>
          </cell>
          <cell r="AL1271">
            <v>0</v>
          </cell>
          <cell r="AM1271">
            <v>1</v>
          </cell>
          <cell r="AN1271" t="str">
            <v/>
          </cell>
          <cell r="AO1271">
            <v>0</v>
          </cell>
          <cell r="AP1271">
            <v>0</v>
          </cell>
          <cell r="AQ1271">
            <v>0</v>
          </cell>
          <cell r="AR1271">
            <v>290</v>
          </cell>
          <cell r="AS1271">
            <v>0</v>
          </cell>
          <cell r="AT1271" t="str">
            <v/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240</v>
          </cell>
          <cell r="BJ1271" t="str">
            <v/>
          </cell>
          <cell r="BK1271">
            <v>1700</v>
          </cell>
          <cell r="BL1271" t="str">
            <v>1</v>
          </cell>
          <cell r="BM1271" t="str">
            <v>1</v>
          </cell>
          <cell r="BN1271" t="str">
            <v/>
          </cell>
          <cell r="BO1271" t="str">
            <v/>
          </cell>
        </row>
        <row r="1272">
          <cell r="A1272">
            <v>1</v>
          </cell>
          <cell r="B1272">
            <v>1332871</v>
          </cell>
          <cell r="C1272" t="str">
            <v>TOUR REFROIDISSEMENT</v>
          </cell>
          <cell r="D1272" t="str">
            <v/>
          </cell>
          <cell r="E1272" t="str">
            <v>N</v>
          </cell>
          <cell r="F1272">
            <v>0</v>
          </cell>
          <cell r="G1272">
            <v>0</v>
          </cell>
          <cell r="H1272">
            <v>67849.03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67849.03</v>
          </cell>
          <cell r="O1272">
            <v>67849.03</v>
          </cell>
          <cell r="P1272">
            <v>67849.03</v>
          </cell>
          <cell r="Q1272">
            <v>67849.03</v>
          </cell>
          <cell r="R1272">
            <v>67849.03</v>
          </cell>
          <cell r="S1272">
            <v>67849.03</v>
          </cell>
          <cell r="T1272">
            <v>67849.03</v>
          </cell>
          <cell r="U1272">
            <v>67849.03</v>
          </cell>
          <cell r="V1272">
            <v>67849.03</v>
          </cell>
          <cell r="W1272">
            <v>67849.03</v>
          </cell>
          <cell r="X1272">
            <v>67849.03</v>
          </cell>
          <cell r="Y1272">
            <v>67849.03</v>
          </cell>
          <cell r="Z1272">
            <v>67382.91</v>
          </cell>
          <cell r="AA1272">
            <v>67849.03</v>
          </cell>
          <cell r="AB1272">
            <v>67849.03</v>
          </cell>
          <cell r="AC1272">
            <v>67849.03</v>
          </cell>
          <cell r="AD1272">
            <v>67849.03</v>
          </cell>
          <cell r="AE1272">
            <v>67849.03</v>
          </cell>
          <cell r="AF1272">
            <v>67849.03</v>
          </cell>
          <cell r="AG1272">
            <v>67849.03</v>
          </cell>
          <cell r="AH1272">
            <v>67849.03</v>
          </cell>
          <cell r="AI1272">
            <v>67849.03</v>
          </cell>
          <cell r="AJ1272">
            <v>67849.03</v>
          </cell>
          <cell r="AK1272">
            <v>67849.03</v>
          </cell>
          <cell r="AL1272">
            <v>0</v>
          </cell>
          <cell r="AM1272">
            <v>1</v>
          </cell>
          <cell r="AN1272" t="str">
            <v/>
          </cell>
          <cell r="AO1272">
            <v>0</v>
          </cell>
          <cell r="AP1272">
            <v>0</v>
          </cell>
          <cell r="AQ1272">
            <v>0</v>
          </cell>
          <cell r="AR1272">
            <v>290</v>
          </cell>
          <cell r="AS1272">
            <v>0</v>
          </cell>
          <cell r="AT1272" t="str">
            <v/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240</v>
          </cell>
          <cell r="BJ1272" t="str">
            <v/>
          </cell>
          <cell r="BK1272">
            <v>1700</v>
          </cell>
          <cell r="BL1272" t="str">
            <v>1</v>
          </cell>
          <cell r="BM1272" t="str">
            <v>1</v>
          </cell>
          <cell r="BN1272" t="str">
            <v/>
          </cell>
          <cell r="BO1272" t="str">
            <v/>
          </cell>
        </row>
        <row r="1273">
          <cell r="A1273">
            <v>1</v>
          </cell>
          <cell r="B1273">
            <v>1151011</v>
          </cell>
          <cell r="C1273" t="str">
            <v>INV PRODUITS FINIS</v>
          </cell>
          <cell r="D1273" t="str">
            <v>JUMBO ROLLS - GRADE B</v>
          </cell>
          <cell r="E1273" t="str">
            <v>O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1</v>
          </cell>
          <cell r="AN1273" t="str">
            <v/>
          </cell>
          <cell r="AO1273">
            <v>0</v>
          </cell>
          <cell r="AP1273">
            <v>0</v>
          </cell>
          <cell r="AQ1273">
            <v>0</v>
          </cell>
          <cell r="AR1273">
            <v>70</v>
          </cell>
          <cell r="AS1273">
            <v>0</v>
          </cell>
          <cell r="AT1273" t="str">
            <v/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 t="str">
            <v/>
          </cell>
          <cell r="BK1273">
            <v>1500</v>
          </cell>
          <cell r="BL1273" t="str">
            <v>0</v>
          </cell>
          <cell r="BM1273" t="str">
            <v>1</v>
          </cell>
          <cell r="BN1273" t="str">
            <v/>
          </cell>
          <cell r="BO1273" t="str">
            <v/>
          </cell>
        </row>
        <row r="1274">
          <cell r="A1274">
            <v>1</v>
          </cell>
          <cell r="B1274">
            <v>1332782</v>
          </cell>
          <cell r="C1274" t="str">
            <v>PACKER EDSON</v>
          </cell>
          <cell r="D1274" t="str">
            <v/>
          </cell>
          <cell r="E1274" t="str">
            <v>N</v>
          </cell>
          <cell r="F1274">
            <v>0</v>
          </cell>
          <cell r="G1274">
            <v>0</v>
          </cell>
          <cell r="H1274">
            <v>41431.879999999997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41431.879999999997</v>
          </cell>
          <cell r="O1274">
            <v>41431.879999999997</v>
          </cell>
          <cell r="P1274">
            <v>41431.879999999997</v>
          </cell>
          <cell r="Q1274">
            <v>41431.879999999997</v>
          </cell>
          <cell r="R1274">
            <v>41431.879999999997</v>
          </cell>
          <cell r="S1274">
            <v>41431.879999999997</v>
          </cell>
          <cell r="T1274">
            <v>41431.879999999997</v>
          </cell>
          <cell r="U1274">
            <v>41431.879999999997</v>
          </cell>
          <cell r="V1274">
            <v>41431.879999999997</v>
          </cell>
          <cell r="W1274">
            <v>41431.879999999997</v>
          </cell>
          <cell r="X1274">
            <v>41431.879999999997</v>
          </cell>
          <cell r="Y1274">
            <v>41431.879999999997</v>
          </cell>
          <cell r="Z1274">
            <v>41431.879999999997</v>
          </cell>
          <cell r="AA1274">
            <v>41431.879999999997</v>
          </cell>
          <cell r="AB1274">
            <v>41431.879999999997</v>
          </cell>
          <cell r="AC1274">
            <v>41431.879999999997</v>
          </cell>
          <cell r="AD1274">
            <v>41431.879999999997</v>
          </cell>
          <cell r="AE1274">
            <v>41431.879999999997</v>
          </cell>
          <cell r="AF1274">
            <v>41431.879999999997</v>
          </cell>
          <cell r="AG1274">
            <v>41431.879999999997</v>
          </cell>
          <cell r="AH1274">
            <v>41431.879999999997</v>
          </cell>
          <cell r="AI1274">
            <v>41431.879999999997</v>
          </cell>
          <cell r="AJ1274">
            <v>41431.879999999997</v>
          </cell>
          <cell r="AK1274">
            <v>41431.879999999997</v>
          </cell>
          <cell r="AL1274">
            <v>0</v>
          </cell>
          <cell r="AM1274">
            <v>2</v>
          </cell>
          <cell r="AN1274" t="str">
            <v/>
          </cell>
          <cell r="AO1274">
            <v>0</v>
          </cell>
          <cell r="AP1274">
            <v>0</v>
          </cell>
          <cell r="AQ1274">
            <v>0</v>
          </cell>
          <cell r="AR1274">
            <v>290</v>
          </cell>
          <cell r="AS1274">
            <v>0</v>
          </cell>
          <cell r="AT1274" t="str">
            <v/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240</v>
          </cell>
          <cell r="BJ1274" t="str">
            <v/>
          </cell>
          <cell r="BK1274">
            <v>1700</v>
          </cell>
          <cell r="BL1274" t="str">
            <v>1</v>
          </cell>
          <cell r="BM1274" t="str">
            <v>1</v>
          </cell>
          <cell r="BN1274" t="str">
            <v/>
          </cell>
          <cell r="BO1274" t="str">
            <v/>
          </cell>
        </row>
        <row r="1275">
          <cell r="A1275">
            <v>1</v>
          </cell>
          <cell r="B1275">
            <v>1262280</v>
          </cell>
          <cell r="C1275" t="str">
            <v>INFORMATIQUE       PROJET</v>
          </cell>
          <cell r="D1275" t="str">
            <v>RESEAU NOVELL CAB&amp;SERVEUR</v>
          </cell>
          <cell r="E1275" t="str">
            <v>N</v>
          </cell>
          <cell r="F1275">
            <v>0</v>
          </cell>
          <cell r="G1275">
            <v>0</v>
          </cell>
          <cell r="H1275">
            <v>46845.8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46845.8</v>
          </cell>
          <cell r="O1275">
            <v>46845.8</v>
          </cell>
          <cell r="P1275">
            <v>46845.8</v>
          </cell>
          <cell r="Q1275">
            <v>46845.8</v>
          </cell>
          <cell r="R1275">
            <v>46845.8</v>
          </cell>
          <cell r="S1275">
            <v>46845.8</v>
          </cell>
          <cell r="T1275">
            <v>46845.8</v>
          </cell>
          <cell r="U1275">
            <v>46845.8</v>
          </cell>
          <cell r="V1275">
            <v>46845.8</v>
          </cell>
          <cell r="W1275">
            <v>46845.8</v>
          </cell>
          <cell r="X1275">
            <v>46845.8</v>
          </cell>
          <cell r="Y1275">
            <v>46845.8</v>
          </cell>
          <cell r="Z1275">
            <v>46845.8</v>
          </cell>
          <cell r="AA1275">
            <v>46845.8</v>
          </cell>
          <cell r="AB1275">
            <v>46845.8</v>
          </cell>
          <cell r="AC1275">
            <v>46845.8</v>
          </cell>
          <cell r="AD1275">
            <v>46845.8</v>
          </cell>
          <cell r="AE1275">
            <v>46845.8</v>
          </cell>
          <cell r="AF1275">
            <v>46845.8</v>
          </cell>
          <cell r="AG1275">
            <v>46845.8</v>
          </cell>
          <cell r="AH1275">
            <v>46845.8</v>
          </cell>
          <cell r="AI1275">
            <v>46845.8</v>
          </cell>
          <cell r="AJ1275">
            <v>46845.8</v>
          </cell>
          <cell r="AK1275">
            <v>46845.8</v>
          </cell>
          <cell r="AL1275">
            <v>0</v>
          </cell>
          <cell r="AM1275">
            <v>0</v>
          </cell>
          <cell r="AN1275" t="str">
            <v/>
          </cell>
          <cell r="AO1275">
            <v>0</v>
          </cell>
          <cell r="AP1275">
            <v>0</v>
          </cell>
          <cell r="AQ1275">
            <v>0</v>
          </cell>
          <cell r="AR1275">
            <v>310</v>
          </cell>
          <cell r="AS1275">
            <v>0</v>
          </cell>
          <cell r="AT1275" t="str">
            <v/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36</v>
          </cell>
          <cell r="BJ1275" t="str">
            <v/>
          </cell>
          <cell r="BK1275">
            <v>1700</v>
          </cell>
          <cell r="BL1275" t="str">
            <v>1</v>
          </cell>
          <cell r="BM1275" t="str">
            <v>1</v>
          </cell>
          <cell r="BN1275" t="str">
            <v/>
          </cell>
          <cell r="BO1275" t="str">
            <v/>
          </cell>
        </row>
        <row r="1276">
          <cell r="A1276">
            <v>1</v>
          </cell>
          <cell r="B1276">
            <v>1262290</v>
          </cell>
          <cell r="C1276" t="str">
            <v>INFORMATIQUE</v>
          </cell>
          <cell r="D1276" t="str">
            <v>AS 400 MODELE RISC</v>
          </cell>
          <cell r="E1276" t="str">
            <v>N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 t="str">
            <v/>
          </cell>
          <cell r="AO1276">
            <v>0</v>
          </cell>
          <cell r="AP1276">
            <v>0</v>
          </cell>
          <cell r="AQ1276">
            <v>0</v>
          </cell>
          <cell r="AR1276">
            <v>310</v>
          </cell>
          <cell r="AS1276">
            <v>0</v>
          </cell>
          <cell r="AT1276" t="str">
            <v/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36</v>
          </cell>
          <cell r="BJ1276" t="str">
            <v/>
          </cell>
          <cell r="BK1276">
            <v>1700</v>
          </cell>
          <cell r="BL1276" t="str">
            <v>1</v>
          </cell>
          <cell r="BM1276" t="str">
            <v>1</v>
          </cell>
          <cell r="BN1276" t="str">
            <v/>
          </cell>
          <cell r="BO1276" t="str">
            <v/>
          </cell>
        </row>
        <row r="1277">
          <cell r="A1277">
            <v>1</v>
          </cell>
          <cell r="B1277">
            <v>4460363</v>
          </cell>
          <cell r="C1277" t="str">
            <v>MECANICIENS     ENTRETIEN</v>
          </cell>
          <cell r="D1277" t="str">
            <v>SACS - MACHINE 36</v>
          </cell>
          <cell r="E1277" t="str">
            <v>O</v>
          </cell>
          <cell r="F1277">
            <v>0</v>
          </cell>
          <cell r="G1277">
            <v>0</v>
          </cell>
          <cell r="H1277">
            <v>352.6</v>
          </cell>
          <cell r="I1277">
            <v>414.11</v>
          </cell>
          <cell r="J1277">
            <v>61.51</v>
          </cell>
          <cell r="K1277">
            <v>0</v>
          </cell>
          <cell r="L1277">
            <v>193.59</v>
          </cell>
          <cell r="M1277">
            <v>44.91</v>
          </cell>
          <cell r="N1277">
            <v>-6.37</v>
          </cell>
          <cell r="O1277">
            <v>19.87</v>
          </cell>
          <cell r="P1277">
            <v>19.87</v>
          </cell>
          <cell r="Q1277">
            <v>19.87</v>
          </cell>
          <cell r="R1277">
            <v>47.74</v>
          </cell>
          <cell r="S1277">
            <v>147.26</v>
          </cell>
          <cell r="T1277">
            <v>206.19</v>
          </cell>
          <cell r="U1277">
            <v>227.61</v>
          </cell>
          <cell r="V1277">
            <v>228.75</v>
          </cell>
          <cell r="W1277">
            <v>307.69</v>
          </cell>
          <cell r="X1277">
            <v>352.6</v>
          </cell>
          <cell r="Y1277">
            <v>501.28</v>
          </cell>
          <cell r="Z1277">
            <v>0</v>
          </cell>
          <cell r="AA1277">
            <v>2004.66</v>
          </cell>
          <cell r="AB1277">
            <v>3244.25</v>
          </cell>
          <cell r="AC1277">
            <v>3425.15</v>
          </cell>
          <cell r="AD1277">
            <v>3425.15</v>
          </cell>
          <cell r="AE1277">
            <v>3425.15</v>
          </cell>
          <cell r="AF1277">
            <v>3435.77</v>
          </cell>
          <cell r="AG1277">
            <v>3460.98</v>
          </cell>
          <cell r="AH1277">
            <v>3460.11</v>
          </cell>
          <cell r="AI1277">
            <v>3460.11</v>
          </cell>
          <cell r="AJ1277">
            <v>3514.82</v>
          </cell>
          <cell r="AK1277">
            <v>3697.68</v>
          </cell>
          <cell r="AL1277">
            <v>0</v>
          </cell>
          <cell r="AM1277">
            <v>3</v>
          </cell>
          <cell r="AN1277" t="str">
            <v/>
          </cell>
          <cell r="AO1277">
            <v>0</v>
          </cell>
          <cell r="AP1277">
            <v>0</v>
          </cell>
          <cell r="AQ1277">
            <v>0</v>
          </cell>
          <cell r="AR1277">
            <v>700</v>
          </cell>
          <cell r="AS1277">
            <v>0</v>
          </cell>
          <cell r="AT1277" t="str">
            <v/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 t="str">
            <v/>
          </cell>
          <cell r="BK1277">
            <v>7000</v>
          </cell>
          <cell r="BL1277" t="str">
            <v>0</v>
          </cell>
          <cell r="BM1277" t="str">
            <v>1</v>
          </cell>
          <cell r="BN1277" t="str">
            <v/>
          </cell>
          <cell r="BO1277" t="str">
            <v/>
          </cell>
        </row>
        <row r="1278">
          <cell r="A1278">
            <v>1</v>
          </cell>
          <cell r="B1278">
            <v>4460453</v>
          </cell>
          <cell r="C1278" t="str">
            <v>MECANICIENS     ENTRETIEN</v>
          </cell>
          <cell r="D1278" t="str">
            <v>SACS - MACHINE 45</v>
          </cell>
          <cell r="E1278" t="str">
            <v>O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3</v>
          </cell>
          <cell r="AN1278" t="str">
            <v/>
          </cell>
          <cell r="AO1278">
            <v>0</v>
          </cell>
          <cell r="AP1278">
            <v>0</v>
          </cell>
          <cell r="AQ1278">
            <v>0</v>
          </cell>
          <cell r="AR1278">
            <v>700</v>
          </cell>
          <cell r="AS1278">
            <v>0</v>
          </cell>
          <cell r="AT1278" t="str">
            <v/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 t="str">
            <v/>
          </cell>
          <cell r="BK1278">
            <v>7000</v>
          </cell>
          <cell r="BL1278" t="str">
            <v>0</v>
          </cell>
          <cell r="BM1278" t="str">
            <v>1</v>
          </cell>
          <cell r="BN1278" t="str">
            <v/>
          </cell>
          <cell r="BO1278" t="str">
            <v/>
          </cell>
        </row>
        <row r="1279">
          <cell r="A1279">
            <v>1</v>
          </cell>
          <cell r="B1279">
            <v>4240221</v>
          </cell>
          <cell r="C1279" t="str">
            <v>ENVIRONNEMENT</v>
          </cell>
          <cell r="D1279" t="str">
            <v>ARREST D - DUBOIS PAPER</v>
          </cell>
          <cell r="E1279" t="str">
            <v>O</v>
          </cell>
          <cell r="F1279">
            <v>0</v>
          </cell>
          <cell r="G1279">
            <v>0</v>
          </cell>
          <cell r="H1279">
            <v>0</v>
          </cell>
          <cell r="I1279">
            <v>25480</v>
          </cell>
          <cell r="J1279">
            <v>25480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29</v>
          </cell>
          <cell r="AB1279">
            <v>29</v>
          </cell>
          <cell r="AC1279">
            <v>29</v>
          </cell>
          <cell r="AD1279">
            <v>29</v>
          </cell>
          <cell r="AE1279">
            <v>29</v>
          </cell>
          <cell r="AF1279">
            <v>29</v>
          </cell>
          <cell r="AG1279">
            <v>29</v>
          </cell>
          <cell r="AH1279">
            <v>29</v>
          </cell>
          <cell r="AI1279">
            <v>29</v>
          </cell>
          <cell r="AJ1279">
            <v>29</v>
          </cell>
          <cell r="AK1279">
            <v>29</v>
          </cell>
          <cell r="AL1279">
            <v>0</v>
          </cell>
          <cell r="AM1279">
            <v>1</v>
          </cell>
          <cell r="AN1279" t="str">
            <v/>
          </cell>
          <cell r="AO1279">
            <v>0</v>
          </cell>
          <cell r="AP1279">
            <v>0</v>
          </cell>
          <cell r="AQ1279">
            <v>0</v>
          </cell>
          <cell r="AR1279">
            <v>740</v>
          </cell>
          <cell r="AS1279">
            <v>0</v>
          </cell>
          <cell r="AT1279" t="str">
            <v/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1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 t="str">
            <v/>
          </cell>
          <cell r="BK1279">
            <v>6300</v>
          </cell>
          <cell r="BL1279" t="str">
            <v>0</v>
          </cell>
          <cell r="BM1279" t="str">
            <v>1</v>
          </cell>
          <cell r="BN1279" t="str">
            <v/>
          </cell>
          <cell r="BO1279" t="str">
            <v/>
          </cell>
        </row>
        <row r="1280">
          <cell r="A1280">
            <v>1</v>
          </cell>
          <cell r="B1280">
            <v>1173010</v>
          </cell>
          <cell r="C1280" t="str">
            <v>PAYE D'AVANCE</v>
          </cell>
          <cell r="D1280" t="str">
            <v>CSST COTISATION INITIALE</v>
          </cell>
          <cell r="E1280" t="str">
            <v>N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0.22</v>
          </cell>
          <cell r="AA1280">
            <v>0.22</v>
          </cell>
          <cell r="AB1280">
            <v>0.22</v>
          </cell>
          <cell r="AC1280">
            <v>0.22</v>
          </cell>
          <cell r="AD1280">
            <v>0.22</v>
          </cell>
          <cell r="AE1280">
            <v>0.22</v>
          </cell>
          <cell r="AF1280">
            <v>0.22</v>
          </cell>
          <cell r="AG1280">
            <v>0.22</v>
          </cell>
          <cell r="AH1280">
            <v>0.22</v>
          </cell>
          <cell r="AI1280">
            <v>0.22</v>
          </cell>
          <cell r="AJ1280">
            <v>312902.17</v>
          </cell>
          <cell r="AK1280">
            <v>0</v>
          </cell>
          <cell r="AL1280">
            <v>0</v>
          </cell>
          <cell r="AM1280">
            <v>0</v>
          </cell>
          <cell r="AN1280" t="str">
            <v/>
          </cell>
          <cell r="AO1280">
            <v>0</v>
          </cell>
          <cell r="AP1280">
            <v>0</v>
          </cell>
          <cell r="AQ1280">
            <v>0</v>
          </cell>
          <cell r="AR1280">
            <v>120</v>
          </cell>
          <cell r="AS1280">
            <v>0</v>
          </cell>
          <cell r="AT1280" t="str">
            <v/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 t="str">
            <v/>
          </cell>
          <cell r="BK1280">
            <v>1600</v>
          </cell>
          <cell r="BL1280" t="str">
            <v>0</v>
          </cell>
          <cell r="BM1280" t="str">
            <v>1</v>
          </cell>
          <cell r="BN1280" t="str">
            <v/>
          </cell>
          <cell r="BO1280" t="str">
            <v/>
          </cell>
        </row>
        <row r="1281">
          <cell r="A1281">
            <v>1</v>
          </cell>
          <cell r="B1281">
            <v>5212009</v>
          </cell>
          <cell r="C1281" t="str">
            <v>AUTRE DÉPENSE</v>
          </cell>
          <cell r="D1281" t="str">
            <v>ACHATS REVENTES ITEM LACH</v>
          </cell>
          <cell r="E1281" t="str">
            <v>O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9</v>
          </cell>
          <cell r="AN1281" t="str">
            <v/>
          </cell>
          <cell r="AO1281">
            <v>0</v>
          </cell>
          <cell r="AP1281">
            <v>0</v>
          </cell>
          <cell r="AQ1281">
            <v>0</v>
          </cell>
          <cell r="AR1281">
            <v>600</v>
          </cell>
          <cell r="AS1281">
            <v>0</v>
          </cell>
          <cell r="AT1281" t="str">
            <v/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 t="str">
            <v/>
          </cell>
          <cell r="BK1281">
            <v>8000</v>
          </cell>
          <cell r="BL1281" t="str">
            <v>0</v>
          </cell>
          <cell r="BM1281" t="str">
            <v>1</v>
          </cell>
          <cell r="BN1281" t="str">
            <v/>
          </cell>
          <cell r="BO1281" t="str">
            <v/>
          </cell>
        </row>
        <row r="1282">
          <cell r="A1282">
            <v>1</v>
          </cell>
          <cell r="B1282">
            <v>5212019</v>
          </cell>
          <cell r="C1282" t="str">
            <v>AUTRE DÉPENSE</v>
          </cell>
          <cell r="D1282" t="str">
            <v>ACHATS REVENTES ITEM ROCK</v>
          </cell>
          <cell r="E1282" t="str">
            <v>O</v>
          </cell>
          <cell r="F1282">
            <v>0</v>
          </cell>
          <cell r="G1282">
            <v>0</v>
          </cell>
          <cell r="H1282">
            <v>42799.22</v>
          </cell>
          <cell r="I1282">
            <v>68878.62</v>
          </cell>
          <cell r="J1282">
            <v>26079.4</v>
          </cell>
          <cell r="K1282">
            <v>0</v>
          </cell>
          <cell r="L1282">
            <v>46393.83</v>
          </cell>
          <cell r="M1282">
            <v>16623.099999999999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96.72</v>
          </cell>
          <cell r="T1282">
            <v>96.72</v>
          </cell>
          <cell r="U1282">
            <v>96.72</v>
          </cell>
          <cell r="V1282">
            <v>96.72</v>
          </cell>
          <cell r="W1282">
            <v>26176.12</v>
          </cell>
          <cell r="X1282">
            <v>42799.22</v>
          </cell>
          <cell r="Y1282">
            <v>72569.95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101.95</v>
          </cell>
          <cell r="AE1282">
            <v>101.95</v>
          </cell>
          <cell r="AF1282">
            <v>101.95</v>
          </cell>
          <cell r="AG1282">
            <v>101.95</v>
          </cell>
          <cell r="AH1282">
            <v>101.95</v>
          </cell>
          <cell r="AI1282">
            <v>101.95</v>
          </cell>
          <cell r="AJ1282">
            <v>440.95</v>
          </cell>
          <cell r="AK1282">
            <v>440.95</v>
          </cell>
          <cell r="AL1282">
            <v>0</v>
          </cell>
          <cell r="AM1282">
            <v>9</v>
          </cell>
          <cell r="AN1282" t="str">
            <v/>
          </cell>
          <cell r="AO1282">
            <v>0</v>
          </cell>
          <cell r="AP1282">
            <v>0</v>
          </cell>
          <cell r="AQ1282">
            <v>0</v>
          </cell>
          <cell r="AR1282">
            <v>600</v>
          </cell>
          <cell r="AS1282">
            <v>0</v>
          </cell>
          <cell r="AT1282" t="str">
            <v/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 t="str">
            <v/>
          </cell>
          <cell r="BK1282">
            <v>8000</v>
          </cell>
          <cell r="BL1282" t="str">
            <v>0</v>
          </cell>
          <cell r="BM1282" t="str">
            <v>1</v>
          </cell>
          <cell r="BN1282" t="str">
            <v/>
          </cell>
          <cell r="BO1282" t="str">
            <v/>
          </cell>
        </row>
        <row r="1283">
          <cell r="A1283">
            <v>1</v>
          </cell>
          <cell r="B1283">
            <v>5202009</v>
          </cell>
          <cell r="C1283" t="str">
            <v>AUTRES REVENUS</v>
          </cell>
          <cell r="D1283" t="str">
            <v>ACHATS REVENTES ITEM LACH</v>
          </cell>
          <cell r="E1283" t="str">
            <v>O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9</v>
          </cell>
          <cell r="AN1283" t="str">
            <v/>
          </cell>
          <cell r="AO1283">
            <v>0</v>
          </cell>
          <cell r="AP1283">
            <v>0</v>
          </cell>
          <cell r="AQ1283">
            <v>0</v>
          </cell>
          <cell r="AR1283">
            <v>600</v>
          </cell>
          <cell r="AS1283">
            <v>0</v>
          </cell>
          <cell r="AT1283" t="str">
            <v/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 t="str">
            <v/>
          </cell>
          <cell r="BK1283">
            <v>7300</v>
          </cell>
          <cell r="BL1283" t="str">
            <v>0</v>
          </cell>
          <cell r="BM1283" t="str">
            <v>1</v>
          </cell>
          <cell r="BN1283" t="str">
            <v/>
          </cell>
          <cell r="BO1283" t="str">
            <v/>
          </cell>
        </row>
        <row r="1284">
          <cell r="A1284">
            <v>1</v>
          </cell>
          <cell r="B1284">
            <v>5202019</v>
          </cell>
          <cell r="C1284" t="str">
            <v>AUTRES REVENUS</v>
          </cell>
          <cell r="D1284" t="str">
            <v>ACHATS REVENTES ITEM PERK</v>
          </cell>
          <cell r="E1284" t="str">
            <v>O</v>
          </cell>
          <cell r="F1284">
            <v>0</v>
          </cell>
          <cell r="G1284">
            <v>0</v>
          </cell>
          <cell r="H1284">
            <v>-5.58</v>
          </cell>
          <cell r="I1284">
            <v>890.28</v>
          </cell>
          <cell r="J1284">
            <v>884.7</v>
          </cell>
          <cell r="K1284">
            <v>0</v>
          </cell>
          <cell r="L1284">
            <v>143.18</v>
          </cell>
          <cell r="M1284">
            <v>150.34</v>
          </cell>
          <cell r="N1284">
            <v>0</v>
          </cell>
          <cell r="O1284">
            <v>0</v>
          </cell>
          <cell r="P1284">
            <v>0</v>
          </cell>
          <cell r="Q1284">
            <v>235.94</v>
          </cell>
          <cell r="R1284">
            <v>16.03</v>
          </cell>
          <cell r="S1284">
            <v>16.03</v>
          </cell>
          <cell r="T1284">
            <v>-75.849999999999994</v>
          </cell>
          <cell r="U1284">
            <v>-74.52</v>
          </cell>
          <cell r="V1284">
            <v>-69.680000000000007</v>
          </cell>
          <cell r="W1284">
            <v>-5.58</v>
          </cell>
          <cell r="X1284">
            <v>-5.58</v>
          </cell>
          <cell r="Y1284">
            <v>1.58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104.5</v>
          </cell>
          <cell r="AE1284">
            <v>104.5</v>
          </cell>
          <cell r="AF1284">
            <v>104.5</v>
          </cell>
          <cell r="AG1284">
            <v>104.5</v>
          </cell>
          <cell r="AH1284">
            <v>104.5</v>
          </cell>
          <cell r="AI1284">
            <v>104.5</v>
          </cell>
          <cell r="AJ1284">
            <v>486.76</v>
          </cell>
          <cell r="AK1284">
            <v>486.76</v>
          </cell>
          <cell r="AL1284">
            <v>0</v>
          </cell>
          <cell r="AM1284">
            <v>9</v>
          </cell>
          <cell r="AN1284" t="str">
            <v/>
          </cell>
          <cell r="AO1284">
            <v>0</v>
          </cell>
          <cell r="AP1284">
            <v>0</v>
          </cell>
          <cell r="AQ1284">
            <v>0</v>
          </cell>
          <cell r="AR1284">
            <v>600</v>
          </cell>
          <cell r="AS1284">
            <v>0</v>
          </cell>
          <cell r="AT1284" t="str">
            <v/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 t="str">
            <v/>
          </cell>
          <cell r="BK1284">
            <v>7300</v>
          </cell>
          <cell r="BL1284" t="str">
            <v>0</v>
          </cell>
          <cell r="BM1284" t="str">
            <v>1</v>
          </cell>
          <cell r="BN1284" t="str">
            <v/>
          </cell>
          <cell r="BO1284" t="str">
            <v/>
          </cell>
        </row>
        <row r="1285">
          <cell r="A1285">
            <v>1</v>
          </cell>
          <cell r="B1285">
            <v>5212029</v>
          </cell>
          <cell r="C1285" t="str">
            <v>AUTRE DÉPENSE</v>
          </cell>
          <cell r="D1285" t="str">
            <v>ACHATS ROCK STOCK TRANSIT</v>
          </cell>
          <cell r="E1285" t="str">
            <v>O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9</v>
          </cell>
          <cell r="AN1285" t="str">
            <v/>
          </cell>
          <cell r="AO1285">
            <v>0</v>
          </cell>
          <cell r="AP1285">
            <v>0</v>
          </cell>
          <cell r="AQ1285">
            <v>0</v>
          </cell>
          <cell r="AR1285">
            <v>600</v>
          </cell>
          <cell r="AS1285">
            <v>0</v>
          </cell>
          <cell r="AT1285" t="str">
            <v/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 t="str">
            <v/>
          </cell>
          <cell r="BK1285">
            <v>8000</v>
          </cell>
          <cell r="BL1285" t="str">
            <v>0</v>
          </cell>
          <cell r="BM1285" t="str">
            <v>1</v>
          </cell>
          <cell r="BN1285" t="str">
            <v/>
          </cell>
          <cell r="BO1285" t="str">
            <v/>
          </cell>
        </row>
        <row r="1286">
          <cell r="A1286">
            <v>1</v>
          </cell>
          <cell r="B1286">
            <v>4119009</v>
          </cell>
          <cell r="C1286" t="str">
            <v>ACHAT/REVENTE</v>
          </cell>
          <cell r="D1286" t="str">
            <v/>
          </cell>
          <cell r="E1286" t="str">
            <v>O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9</v>
          </cell>
          <cell r="AN1286" t="str">
            <v/>
          </cell>
          <cell r="AO1286">
            <v>0</v>
          </cell>
          <cell r="AP1286">
            <v>0</v>
          </cell>
          <cell r="AQ1286">
            <v>0</v>
          </cell>
          <cell r="AR1286">
            <v>600</v>
          </cell>
          <cell r="AS1286">
            <v>0</v>
          </cell>
          <cell r="AT1286" t="str">
            <v/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 t="str">
            <v/>
          </cell>
          <cell r="BK1286">
            <v>4000</v>
          </cell>
          <cell r="BL1286" t="str">
            <v>0</v>
          </cell>
          <cell r="BM1286" t="str">
            <v>1</v>
          </cell>
          <cell r="BN1286" t="str">
            <v/>
          </cell>
          <cell r="BO1286" t="str">
            <v/>
          </cell>
        </row>
        <row r="1287">
          <cell r="A1287">
            <v>1</v>
          </cell>
          <cell r="B1287">
            <v>4139009</v>
          </cell>
          <cell r="C1287" t="str">
            <v>ACHAT/REVENTE</v>
          </cell>
          <cell r="D1287" t="str">
            <v/>
          </cell>
          <cell r="E1287" t="str">
            <v>O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M1287">
            <v>9</v>
          </cell>
          <cell r="AN1287" t="str">
            <v/>
          </cell>
          <cell r="AO1287">
            <v>0</v>
          </cell>
          <cell r="AP1287">
            <v>0</v>
          </cell>
          <cell r="AQ1287">
            <v>0</v>
          </cell>
          <cell r="AR1287">
            <v>600</v>
          </cell>
          <cell r="AS1287">
            <v>0</v>
          </cell>
          <cell r="AT1287" t="str">
            <v/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 t="str">
            <v/>
          </cell>
          <cell r="BK1287">
            <v>4300</v>
          </cell>
          <cell r="BL1287" t="str">
            <v>0</v>
          </cell>
          <cell r="BM1287" t="str">
            <v>1</v>
          </cell>
          <cell r="BN1287" t="str">
            <v/>
          </cell>
          <cell r="BO1287" t="str">
            <v/>
          </cell>
        </row>
        <row r="1288">
          <cell r="A1288">
            <v>1</v>
          </cell>
          <cell r="B1288">
            <v>4149009</v>
          </cell>
          <cell r="C1288" t="str">
            <v>ACHAT/REVENTE</v>
          </cell>
          <cell r="D1288" t="str">
            <v/>
          </cell>
          <cell r="E1288" t="str">
            <v>O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9</v>
          </cell>
          <cell r="AN1288" t="str">
            <v/>
          </cell>
          <cell r="AO1288">
            <v>0</v>
          </cell>
          <cell r="AP1288">
            <v>0</v>
          </cell>
          <cell r="AQ1288">
            <v>0</v>
          </cell>
          <cell r="AR1288">
            <v>610</v>
          </cell>
          <cell r="AS1288">
            <v>0</v>
          </cell>
          <cell r="AT1288" t="str">
            <v/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 t="str">
            <v/>
          </cell>
          <cell r="BK1288">
            <v>4200</v>
          </cell>
          <cell r="BL1288" t="str">
            <v>0</v>
          </cell>
          <cell r="BM1288" t="str">
            <v>1</v>
          </cell>
          <cell r="BN1288" t="str">
            <v/>
          </cell>
          <cell r="BO1288" t="str">
            <v/>
          </cell>
        </row>
        <row r="1289">
          <cell r="A1289">
            <v>1</v>
          </cell>
          <cell r="B1289">
            <v>4159009</v>
          </cell>
          <cell r="C1289" t="str">
            <v>ACHAT/REVENTE</v>
          </cell>
          <cell r="D1289" t="str">
            <v/>
          </cell>
          <cell r="E1289" t="str">
            <v>O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M1289">
            <v>9</v>
          </cell>
          <cell r="AN1289" t="str">
            <v/>
          </cell>
          <cell r="AO1289">
            <v>0</v>
          </cell>
          <cell r="AP1289">
            <v>0</v>
          </cell>
          <cell r="AQ1289">
            <v>0</v>
          </cell>
          <cell r="AR1289">
            <v>600</v>
          </cell>
          <cell r="AS1289">
            <v>0</v>
          </cell>
          <cell r="AT1289" t="str">
            <v/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 t="str">
            <v/>
          </cell>
          <cell r="BK1289">
            <v>4300</v>
          </cell>
          <cell r="BL1289" t="str">
            <v>0</v>
          </cell>
          <cell r="BM1289" t="str">
            <v>1</v>
          </cell>
          <cell r="BN1289" t="str">
            <v/>
          </cell>
          <cell r="BO1289" t="str">
            <v/>
          </cell>
        </row>
        <row r="1290">
          <cell r="A1290">
            <v>1</v>
          </cell>
          <cell r="B1290">
            <v>4209009</v>
          </cell>
          <cell r="C1290" t="str">
            <v>ACHAT/REVENTE</v>
          </cell>
          <cell r="D1290" t="str">
            <v/>
          </cell>
          <cell r="E1290" t="str">
            <v>O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9</v>
          </cell>
          <cell r="AN1290" t="str">
            <v/>
          </cell>
          <cell r="AO1290">
            <v>0</v>
          </cell>
          <cell r="AP1290">
            <v>0</v>
          </cell>
          <cell r="AQ1290">
            <v>0</v>
          </cell>
          <cell r="AR1290">
            <v>780</v>
          </cell>
          <cell r="AS1290">
            <v>0</v>
          </cell>
          <cell r="AT1290" t="str">
            <v/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 t="str">
            <v/>
          </cell>
          <cell r="BK1290">
            <v>6400</v>
          </cell>
          <cell r="BL1290" t="str">
            <v>0</v>
          </cell>
          <cell r="BM1290" t="str">
            <v>1</v>
          </cell>
          <cell r="BN1290" t="str">
            <v/>
          </cell>
          <cell r="BO1290" t="str">
            <v/>
          </cell>
        </row>
        <row r="1291">
          <cell r="A1291">
            <v>1</v>
          </cell>
          <cell r="B1291">
            <v>4219009</v>
          </cell>
          <cell r="C1291" t="str">
            <v>ACHAT/REVENTE</v>
          </cell>
          <cell r="D1291" t="str">
            <v/>
          </cell>
          <cell r="E1291" t="str">
            <v>O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9</v>
          </cell>
          <cell r="AN1291" t="str">
            <v/>
          </cell>
          <cell r="AO1291">
            <v>0</v>
          </cell>
          <cell r="AP1291">
            <v>0</v>
          </cell>
          <cell r="AQ1291">
            <v>0</v>
          </cell>
          <cell r="AR1291">
            <v>650</v>
          </cell>
          <cell r="AS1291">
            <v>0</v>
          </cell>
          <cell r="AT1291" t="str">
            <v/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 t="str">
            <v/>
          </cell>
          <cell r="BK1291">
            <v>5100</v>
          </cell>
          <cell r="BL1291" t="str">
            <v>0</v>
          </cell>
          <cell r="BM1291" t="str">
            <v>1</v>
          </cell>
          <cell r="BN1291" t="str">
            <v/>
          </cell>
          <cell r="BO1291" t="str">
            <v/>
          </cell>
        </row>
        <row r="1292">
          <cell r="A1292">
            <v>1</v>
          </cell>
          <cell r="B1292">
            <v>4229009</v>
          </cell>
          <cell r="C1292" t="str">
            <v>ACHAT/REVENTE</v>
          </cell>
          <cell r="D1292" t="str">
            <v/>
          </cell>
          <cell r="E1292" t="str">
            <v>O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9</v>
          </cell>
          <cell r="AN1292" t="str">
            <v/>
          </cell>
          <cell r="AO1292">
            <v>0</v>
          </cell>
          <cell r="AP1292">
            <v>0</v>
          </cell>
          <cell r="AQ1292">
            <v>0</v>
          </cell>
          <cell r="AR1292">
            <v>660</v>
          </cell>
          <cell r="AS1292">
            <v>0</v>
          </cell>
          <cell r="AT1292" t="str">
            <v/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 t="str">
            <v/>
          </cell>
          <cell r="BK1292">
            <v>5100</v>
          </cell>
          <cell r="BL1292" t="str">
            <v>0</v>
          </cell>
          <cell r="BM1292" t="str">
            <v>1</v>
          </cell>
          <cell r="BN1292" t="str">
            <v/>
          </cell>
          <cell r="BO1292" t="str">
            <v/>
          </cell>
        </row>
        <row r="1293">
          <cell r="A1293">
            <v>2</v>
          </cell>
          <cell r="B1293">
            <v>4239009</v>
          </cell>
          <cell r="C1293" t="str">
            <v>ACHAT/REVENTE</v>
          </cell>
          <cell r="D1293" t="str">
            <v/>
          </cell>
          <cell r="E1293" t="str">
            <v>N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9</v>
          </cell>
          <cell r="AN1293" t="str">
            <v/>
          </cell>
          <cell r="AO1293">
            <v>0</v>
          </cell>
          <cell r="AP1293">
            <v>0</v>
          </cell>
          <cell r="AQ1293">
            <v>0</v>
          </cell>
          <cell r="AR1293">
            <v>660</v>
          </cell>
          <cell r="AS1293">
            <v>0</v>
          </cell>
          <cell r="AT1293" t="str">
            <v/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 t="str">
            <v/>
          </cell>
          <cell r="BK1293">
            <v>5000</v>
          </cell>
          <cell r="BL1293" t="str">
            <v>0</v>
          </cell>
          <cell r="BM1293" t="str">
            <v>1</v>
          </cell>
          <cell r="BN1293" t="str">
            <v/>
          </cell>
          <cell r="BO1293" t="str">
            <v/>
          </cell>
        </row>
        <row r="1294">
          <cell r="A1294">
            <v>1</v>
          </cell>
          <cell r="B1294">
            <v>4249009</v>
          </cell>
          <cell r="C1294" t="str">
            <v>ACHAT/REVENTE</v>
          </cell>
          <cell r="D1294" t="str">
            <v/>
          </cell>
          <cell r="E1294" t="str">
            <v>O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9</v>
          </cell>
          <cell r="AN1294" t="str">
            <v/>
          </cell>
          <cell r="AO1294">
            <v>0</v>
          </cell>
          <cell r="AP1294">
            <v>0</v>
          </cell>
          <cell r="AQ1294">
            <v>0</v>
          </cell>
          <cell r="AR1294">
            <v>740</v>
          </cell>
          <cell r="AS1294">
            <v>0</v>
          </cell>
          <cell r="AT1294" t="str">
            <v/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 t="str">
            <v/>
          </cell>
          <cell r="BK1294">
            <v>6300</v>
          </cell>
          <cell r="BL1294" t="str">
            <v>0</v>
          </cell>
          <cell r="BM1294" t="str">
            <v>1</v>
          </cell>
          <cell r="BN1294" t="str">
            <v/>
          </cell>
          <cell r="BO1294" t="str">
            <v/>
          </cell>
        </row>
        <row r="1295">
          <cell r="A1295">
            <v>1</v>
          </cell>
          <cell r="B1295">
            <v>4259009</v>
          </cell>
          <cell r="C1295" t="str">
            <v>ACHAT/REVENTE</v>
          </cell>
          <cell r="D1295" t="str">
            <v/>
          </cell>
          <cell r="E1295" t="str">
            <v>N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9</v>
          </cell>
          <cell r="AN1295" t="str">
            <v/>
          </cell>
          <cell r="AO1295">
            <v>0</v>
          </cell>
          <cell r="AP1295">
            <v>0</v>
          </cell>
          <cell r="AQ1295">
            <v>0</v>
          </cell>
          <cell r="AR1295">
            <v>690</v>
          </cell>
          <cell r="AS1295">
            <v>0</v>
          </cell>
          <cell r="AT1295" t="str">
            <v/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 t="str">
            <v/>
          </cell>
          <cell r="BK1295">
            <v>6000</v>
          </cell>
          <cell r="BL1295" t="str">
            <v>0</v>
          </cell>
          <cell r="BM1295" t="str">
            <v>1</v>
          </cell>
          <cell r="BN1295" t="str">
            <v/>
          </cell>
          <cell r="BO1295" t="str">
            <v/>
          </cell>
        </row>
        <row r="1296">
          <cell r="A1296">
            <v>1</v>
          </cell>
          <cell r="B1296">
            <v>4279009</v>
          </cell>
          <cell r="C1296" t="str">
            <v>ACHAT/REVENTE</v>
          </cell>
          <cell r="D1296" t="str">
            <v/>
          </cell>
          <cell r="E1296" t="str">
            <v>O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9</v>
          </cell>
          <cell r="AN1296" t="str">
            <v/>
          </cell>
          <cell r="AO1296">
            <v>0</v>
          </cell>
          <cell r="AP1296">
            <v>0</v>
          </cell>
          <cell r="AQ1296">
            <v>0</v>
          </cell>
          <cell r="AR1296">
            <v>702</v>
          </cell>
          <cell r="AS1296">
            <v>0</v>
          </cell>
          <cell r="AT1296" t="str">
            <v/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 t="str">
            <v/>
          </cell>
          <cell r="BK1296">
            <v>6300</v>
          </cell>
          <cell r="BL1296" t="str">
            <v>0</v>
          </cell>
          <cell r="BM1296" t="str">
            <v>1</v>
          </cell>
          <cell r="BN1296" t="str">
            <v/>
          </cell>
          <cell r="BO1296" t="str">
            <v/>
          </cell>
        </row>
        <row r="1297">
          <cell r="A1297">
            <v>1</v>
          </cell>
          <cell r="B1297">
            <v>4289009</v>
          </cell>
          <cell r="C1297" t="str">
            <v>ACHAT/REVENTE</v>
          </cell>
          <cell r="D1297" t="str">
            <v/>
          </cell>
          <cell r="E1297" t="str">
            <v>O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9</v>
          </cell>
          <cell r="AN1297" t="str">
            <v/>
          </cell>
          <cell r="AO1297">
            <v>0</v>
          </cell>
          <cell r="AP1297">
            <v>0</v>
          </cell>
          <cell r="AQ1297">
            <v>0</v>
          </cell>
          <cell r="AR1297">
            <v>740</v>
          </cell>
          <cell r="AS1297">
            <v>0</v>
          </cell>
          <cell r="AT1297" t="str">
            <v/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 t="str">
            <v/>
          </cell>
          <cell r="BK1297">
            <v>6300</v>
          </cell>
          <cell r="BL1297" t="str">
            <v>0</v>
          </cell>
          <cell r="BM1297" t="str">
            <v>1</v>
          </cell>
          <cell r="BN1297" t="str">
            <v/>
          </cell>
          <cell r="BO1297" t="str">
            <v/>
          </cell>
        </row>
        <row r="1298">
          <cell r="A1298">
            <v>1</v>
          </cell>
          <cell r="B1298">
            <v>4299009</v>
          </cell>
          <cell r="C1298" t="str">
            <v>ACHAT/REVENTE</v>
          </cell>
          <cell r="D1298" t="str">
            <v/>
          </cell>
          <cell r="E1298" t="str">
            <v>O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9</v>
          </cell>
          <cell r="AN1298" t="str">
            <v/>
          </cell>
          <cell r="AO1298">
            <v>0</v>
          </cell>
          <cell r="AP1298">
            <v>0</v>
          </cell>
          <cell r="AQ1298">
            <v>0</v>
          </cell>
          <cell r="AR1298">
            <v>740</v>
          </cell>
          <cell r="AS1298">
            <v>0</v>
          </cell>
          <cell r="AT1298" t="str">
            <v/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 t="str">
            <v/>
          </cell>
          <cell r="BK1298">
            <v>6300</v>
          </cell>
          <cell r="BL1298" t="str">
            <v>0</v>
          </cell>
          <cell r="BM1298" t="str">
            <v>1</v>
          </cell>
          <cell r="BN1298" t="str">
            <v/>
          </cell>
          <cell r="BO1298" t="str">
            <v/>
          </cell>
        </row>
        <row r="1299">
          <cell r="A1299">
            <v>1</v>
          </cell>
          <cell r="B1299">
            <v>4309009</v>
          </cell>
          <cell r="C1299" t="str">
            <v>ACHAT/REVENTE</v>
          </cell>
          <cell r="D1299" t="str">
            <v/>
          </cell>
          <cell r="E1299" t="str">
            <v>O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9</v>
          </cell>
          <cell r="AN1299" t="str">
            <v/>
          </cell>
          <cell r="AO1299">
            <v>0</v>
          </cell>
          <cell r="AP1299">
            <v>0</v>
          </cell>
          <cell r="AQ1299">
            <v>0</v>
          </cell>
          <cell r="AR1299">
            <v>740</v>
          </cell>
          <cell r="AS1299">
            <v>0</v>
          </cell>
          <cell r="AT1299" t="str">
            <v/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 t="str">
            <v/>
          </cell>
          <cell r="BK1299">
            <v>6300</v>
          </cell>
          <cell r="BL1299" t="str">
            <v>0</v>
          </cell>
          <cell r="BM1299" t="str">
            <v>1</v>
          </cell>
          <cell r="BN1299" t="str">
            <v/>
          </cell>
          <cell r="BO1299" t="str">
            <v/>
          </cell>
        </row>
        <row r="1300">
          <cell r="A1300">
            <v>1</v>
          </cell>
          <cell r="B1300">
            <v>4319009</v>
          </cell>
          <cell r="C1300" t="str">
            <v>ACHAT/REVENTE</v>
          </cell>
          <cell r="D1300" t="str">
            <v/>
          </cell>
          <cell r="E1300" t="str">
            <v>O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9</v>
          </cell>
          <cell r="AN1300" t="str">
            <v/>
          </cell>
          <cell r="AO1300">
            <v>0</v>
          </cell>
          <cell r="AP1300">
            <v>0</v>
          </cell>
          <cell r="AQ1300">
            <v>0</v>
          </cell>
          <cell r="AR1300">
            <v>660</v>
          </cell>
          <cell r="AS1300">
            <v>0</v>
          </cell>
          <cell r="AT1300" t="str">
            <v/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 t="str">
            <v/>
          </cell>
          <cell r="BK1300">
            <v>6200</v>
          </cell>
          <cell r="BL1300" t="str">
            <v>0</v>
          </cell>
          <cell r="BM1300" t="str">
            <v>1</v>
          </cell>
          <cell r="BN1300" t="str">
            <v/>
          </cell>
          <cell r="BO1300" t="str">
            <v/>
          </cell>
        </row>
        <row r="1301">
          <cell r="A1301">
            <v>1</v>
          </cell>
          <cell r="B1301">
            <v>4329009</v>
          </cell>
          <cell r="C1301" t="str">
            <v>ACHAT/REVENTE</v>
          </cell>
          <cell r="D1301" t="str">
            <v/>
          </cell>
          <cell r="E1301" t="str">
            <v>O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9</v>
          </cell>
          <cell r="AN1301" t="str">
            <v/>
          </cell>
          <cell r="AO1301">
            <v>0</v>
          </cell>
          <cell r="AP1301">
            <v>0</v>
          </cell>
          <cell r="AQ1301">
            <v>0</v>
          </cell>
          <cell r="AR1301">
            <v>730</v>
          </cell>
          <cell r="AS1301">
            <v>0</v>
          </cell>
          <cell r="AT1301" t="str">
            <v/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 t="str">
            <v/>
          </cell>
          <cell r="BK1301">
            <v>6100</v>
          </cell>
          <cell r="BL1301" t="str">
            <v>0</v>
          </cell>
          <cell r="BM1301" t="str">
            <v>1</v>
          </cell>
          <cell r="BN1301" t="str">
            <v/>
          </cell>
          <cell r="BO1301" t="str">
            <v/>
          </cell>
        </row>
        <row r="1302">
          <cell r="A1302">
            <v>1</v>
          </cell>
          <cell r="B1302">
            <v>4339009</v>
          </cell>
          <cell r="C1302" t="str">
            <v>ACHAT/REVENTE</v>
          </cell>
          <cell r="D1302" t="str">
            <v/>
          </cell>
          <cell r="E1302" t="str">
            <v>O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>
            <v>0</v>
          </cell>
          <cell r="AL1302">
            <v>0</v>
          </cell>
          <cell r="AM1302">
            <v>9</v>
          </cell>
          <cell r="AN1302" t="str">
            <v/>
          </cell>
          <cell r="AO1302">
            <v>0</v>
          </cell>
          <cell r="AP1302">
            <v>0</v>
          </cell>
          <cell r="AQ1302">
            <v>0</v>
          </cell>
          <cell r="AR1302">
            <v>730</v>
          </cell>
          <cell r="AS1302">
            <v>0</v>
          </cell>
          <cell r="AT1302" t="str">
            <v/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 t="str">
            <v/>
          </cell>
          <cell r="BK1302">
            <v>6100</v>
          </cell>
          <cell r="BL1302" t="str">
            <v>0</v>
          </cell>
          <cell r="BM1302" t="str">
            <v>1</v>
          </cell>
          <cell r="BN1302" t="str">
            <v/>
          </cell>
          <cell r="BO1302" t="str">
            <v/>
          </cell>
        </row>
        <row r="1303">
          <cell r="A1303">
            <v>1</v>
          </cell>
          <cell r="B1303">
            <v>4349009</v>
          </cell>
          <cell r="C1303" t="str">
            <v>ACHAT/REVENTE</v>
          </cell>
          <cell r="D1303" t="str">
            <v/>
          </cell>
          <cell r="E1303" t="str">
            <v>O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9</v>
          </cell>
          <cell r="AN1303" t="str">
            <v/>
          </cell>
          <cell r="AO1303">
            <v>0</v>
          </cell>
          <cell r="AP1303">
            <v>0</v>
          </cell>
          <cell r="AQ1303">
            <v>0</v>
          </cell>
          <cell r="AR1303">
            <v>740</v>
          </cell>
          <cell r="AS1303">
            <v>0</v>
          </cell>
          <cell r="AT1303" t="str">
            <v/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 t="str">
            <v/>
          </cell>
          <cell r="BK1303">
            <v>6300</v>
          </cell>
          <cell r="BL1303" t="str">
            <v>0</v>
          </cell>
          <cell r="BM1303" t="str">
            <v>1</v>
          </cell>
          <cell r="BN1303" t="str">
            <v/>
          </cell>
          <cell r="BO1303" t="str">
            <v/>
          </cell>
        </row>
        <row r="1304">
          <cell r="A1304">
            <v>1</v>
          </cell>
          <cell r="B1304">
            <v>4389009</v>
          </cell>
          <cell r="C1304" t="str">
            <v>ACHAT/REVENTE</v>
          </cell>
          <cell r="D1304" t="str">
            <v/>
          </cell>
          <cell r="E1304" t="str">
            <v>O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9</v>
          </cell>
          <cell r="AN1304" t="str">
            <v/>
          </cell>
          <cell r="AO1304">
            <v>0</v>
          </cell>
          <cell r="AP1304">
            <v>0</v>
          </cell>
          <cell r="AQ1304">
            <v>0</v>
          </cell>
          <cell r="AR1304">
            <v>780</v>
          </cell>
          <cell r="AS1304">
            <v>0</v>
          </cell>
          <cell r="AT1304" t="str">
            <v/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 t="str">
            <v/>
          </cell>
          <cell r="BK1304">
            <v>7000</v>
          </cell>
          <cell r="BL1304" t="str">
            <v>0</v>
          </cell>
          <cell r="BM1304" t="str">
            <v>1</v>
          </cell>
          <cell r="BN1304" t="str">
            <v/>
          </cell>
          <cell r="BO1304" t="str">
            <v/>
          </cell>
        </row>
        <row r="1305">
          <cell r="A1305">
            <v>1</v>
          </cell>
          <cell r="B1305">
            <v>4419009</v>
          </cell>
          <cell r="C1305" t="str">
            <v>ACHAT/REVENTE</v>
          </cell>
          <cell r="D1305" t="str">
            <v/>
          </cell>
          <cell r="E1305" t="str">
            <v>O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>
            <v>0</v>
          </cell>
          <cell r="AL1305">
            <v>0</v>
          </cell>
          <cell r="AM1305">
            <v>9</v>
          </cell>
          <cell r="AN1305" t="str">
            <v/>
          </cell>
          <cell r="AO1305">
            <v>0</v>
          </cell>
          <cell r="AP1305">
            <v>0</v>
          </cell>
          <cell r="AQ1305">
            <v>0</v>
          </cell>
          <cell r="AR1305">
            <v>810</v>
          </cell>
          <cell r="AS1305">
            <v>0</v>
          </cell>
          <cell r="AT1305" t="str">
            <v/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 t="str">
            <v/>
          </cell>
          <cell r="BK1305">
            <v>7000</v>
          </cell>
          <cell r="BL1305" t="str">
            <v>0</v>
          </cell>
          <cell r="BM1305" t="str">
            <v>1</v>
          </cell>
          <cell r="BN1305" t="str">
            <v/>
          </cell>
          <cell r="BO1305" t="str">
            <v/>
          </cell>
        </row>
        <row r="1306">
          <cell r="A1306">
            <v>1</v>
          </cell>
          <cell r="B1306">
            <v>4429009</v>
          </cell>
          <cell r="C1306" t="str">
            <v>ACHAT/REVENTE</v>
          </cell>
          <cell r="D1306" t="str">
            <v/>
          </cell>
          <cell r="E1306" t="str">
            <v>O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9</v>
          </cell>
          <cell r="AN1306" t="str">
            <v/>
          </cell>
          <cell r="AO1306">
            <v>0</v>
          </cell>
          <cell r="AP1306">
            <v>0</v>
          </cell>
          <cell r="AQ1306">
            <v>0</v>
          </cell>
          <cell r="AR1306">
            <v>700</v>
          </cell>
          <cell r="AS1306">
            <v>0</v>
          </cell>
          <cell r="AT1306" t="str">
            <v/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 t="str">
            <v/>
          </cell>
          <cell r="BK1306">
            <v>7000</v>
          </cell>
          <cell r="BL1306" t="str">
            <v>0</v>
          </cell>
          <cell r="BM1306" t="str">
            <v>1</v>
          </cell>
          <cell r="BN1306" t="str">
            <v/>
          </cell>
          <cell r="BO1306" t="str">
            <v/>
          </cell>
        </row>
        <row r="1307">
          <cell r="A1307">
            <v>1</v>
          </cell>
          <cell r="B1307">
            <v>4439009</v>
          </cell>
          <cell r="C1307" t="str">
            <v>ACHAT/REVENTE</v>
          </cell>
          <cell r="D1307" t="str">
            <v/>
          </cell>
          <cell r="E1307" t="str">
            <v>O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9</v>
          </cell>
          <cell r="AN1307" t="str">
            <v/>
          </cell>
          <cell r="AO1307">
            <v>0</v>
          </cell>
          <cell r="AP1307">
            <v>0</v>
          </cell>
          <cell r="AQ1307">
            <v>0</v>
          </cell>
          <cell r="AR1307">
            <v>720</v>
          </cell>
          <cell r="AS1307">
            <v>0</v>
          </cell>
          <cell r="AT1307" t="str">
            <v/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 t="str">
            <v/>
          </cell>
          <cell r="BK1307">
            <v>7000</v>
          </cell>
          <cell r="BL1307" t="str">
            <v>0</v>
          </cell>
          <cell r="BM1307" t="str">
            <v>1</v>
          </cell>
          <cell r="BN1307" t="str">
            <v/>
          </cell>
          <cell r="BO1307" t="str">
            <v/>
          </cell>
        </row>
        <row r="1308">
          <cell r="A1308">
            <v>1</v>
          </cell>
          <cell r="B1308">
            <v>4449009</v>
          </cell>
          <cell r="C1308" t="str">
            <v>ACHAT/REVENTE</v>
          </cell>
          <cell r="D1308" t="str">
            <v/>
          </cell>
          <cell r="E1308" t="str">
            <v>O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9</v>
          </cell>
          <cell r="AN1308" t="str">
            <v/>
          </cell>
          <cell r="AO1308">
            <v>0</v>
          </cell>
          <cell r="AP1308">
            <v>0</v>
          </cell>
          <cell r="AQ1308">
            <v>0</v>
          </cell>
          <cell r="AR1308">
            <v>720</v>
          </cell>
          <cell r="AS1308">
            <v>0</v>
          </cell>
          <cell r="AT1308" t="str">
            <v/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 t="str">
            <v/>
          </cell>
          <cell r="BK1308">
            <v>7000</v>
          </cell>
          <cell r="BL1308" t="str">
            <v>0</v>
          </cell>
          <cell r="BM1308" t="str">
            <v>1</v>
          </cell>
          <cell r="BN1308" t="str">
            <v/>
          </cell>
          <cell r="BO1308" t="str">
            <v/>
          </cell>
        </row>
        <row r="1309">
          <cell r="A1309">
            <v>1</v>
          </cell>
          <cell r="B1309">
            <v>4469009</v>
          </cell>
          <cell r="C1309" t="str">
            <v>ACHAT/REVENTE</v>
          </cell>
          <cell r="D1309" t="str">
            <v/>
          </cell>
          <cell r="E1309" t="str">
            <v>O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0</v>
          </cell>
          <cell r="AK1309">
            <v>0</v>
          </cell>
          <cell r="AL1309">
            <v>0</v>
          </cell>
          <cell r="AM1309">
            <v>9</v>
          </cell>
          <cell r="AN1309" t="str">
            <v/>
          </cell>
          <cell r="AO1309">
            <v>0</v>
          </cell>
          <cell r="AP1309">
            <v>0</v>
          </cell>
          <cell r="AQ1309">
            <v>0</v>
          </cell>
          <cell r="AR1309">
            <v>700</v>
          </cell>
          <cell r="AS1309">
            <v>0</v>
          </cell>
          <cell r="AT1309" t="str">
            <v/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 t="str">
            <v/>
          </cell>
          <cell r="BK1309">
            <v>7000</v>
          </cell>
          <cell r="BL1309" t="str">
            <v>0</v>
          </cell>
          <cell r="BM1309" t="str">
            <v>1</v>
          </cell>
          <cell r="BN1309" t="str">
            <v/>
          </cell>
          <cell r="BO1309" t="str">
            <v/>
          </cell>
        </row>
        <row r="1310">
          <cell r="A1310">
            <v>1</v>
          </cell>
          <cell r="B1310">
            <v>4479009</v>
          </cell>
          <cell r="C1310" t="str">
            <v>ACHAT/REVENTE</v>
          </cell>
          <cell r="D1310" t="str">
            <v/>
          </cell>
          <cell r="E1310" t="str">
            <v>O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>
            <v>0</v>
          </cell>
          <cell r="AL1310">
            <v>0</v>
          </cell>
          <cell r="AM1310">
            <v>9</v>
          </cell>
          <cell r="AN1310" t="str">
            <v/>
          </cell>
          <cell r="AO1310">
            <v>0</v>
          </cell>
          <cell r="AP1310">
            <v>0</v>
          </cell>
          <cell r="AQ1310">
            <v>0</v>
          </cell>
          <cell r="AR1310">
            <v>720</v>
          </cell>
          <cell r="AS1310">
            <v>0</v>
          </cell>
          <cell r="AT1310" t="str">
            <v/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 t="str">
            <v/>
          </cell>
          <cell r="BK1310">
            <v>7000</v>
          </cell>
          <cell r="BL1310" t="str">
            <v>0</v>
          </cell>
          <cell r="BM1310" t="str">
            <v>1</v>
          </cell>
          <cell r="BN1310" t="str">
            <v/>
          </cell>
          <cell r="BO1310" t="str">
            <v/>
          </cell>
        </row>
        <row r="1311">
          <cell r="A1311">
            <v>1</v>
          </cell>
          <cell r="B1311">
            <v>4489009</v>
          </cell>
          <cell r="C1311" t="str">
            <v>ACHAT/REVENTE</v>
          </cell>
          <cell r="D1311" t="str">
            <v/>
          </cell>
          <cell r="E1311" t="str">
            <v>O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9</v>
          </cell>
          <cell r="AN1311" t="str">
            <v/>
          </cell>
          <cell r="AO1311">
            <v>0</v>
          </cell>
          <cell r="AP1311">
            <v>0</v>
          </cell>
          <cell r="AQ1311">
            <v>0</v>
          </cell>
          <cell r="AR1311">
            <v>720</v>
          </cell>
          <cell r="AS1311">
            <v>0</v>
          </cell>
          <cell r="AT1311" t="str">
            <v/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 t="str">
            <v/>
          </cell>
          <cell r="BK1311">
            <v>7000</v>
          </cell>
          <cell r="BL1311" t="str">
            <v>0</v>
          </cell>
          <cell r="BM1311" t="str">
            <v>1</v>
          </cell>
          <cell r="BN1311" t="str">
            <v/>
          </cell>
          <cell r="BO1311" t="str">
            <v/>
          </cell>
        </row>
        <row r="1312">
          <cell r="A1312">
            <v>1</v>
          </cell>
          <cell r="B1312">
            <v>4559009</v>
          </cell>
          <cell r="C1312" t="str">
            <v>ACHAT/REVENTE</v>
          </cell>
          <cell r="D1312" t="str">
            <v/>
          </cell>
          <cell r="E1312" t="str">
            <v>O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9</v>
          </cell>
          <cell r="AN1312" t="str">
            <v/>
          </cell>
          <cell r="AO1312">
            <v>0</v>
          </cell>
          <cell r="AP1312">
            <v>0</v>
          </cell>
          <cell r="AQ1312">
            <v>0</v>
          </cell>
          <cell r="AR1312">
            <v>750</v>
          </cell>
          <cell r="AS1312">
            <v>0</v>
          </cell>
          <cell r="AT1312" t="str">
            <v/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 t="str">
            <v/>
          </cell>
          <cell r="BK1312">
            <v>7000</v>
          </cell>
          <cell r="BL1312" t="str">
            <v>0</v>
          </cell>
          <cell r="BM1312" t="str">
            <v>1</v>
          </cell>
          <cell r="BN1312" t="str">
            <v/>
          </cell>
          <cell r="BO1312" t="str">
            <v/>
          </cell>
        </row>
        <row r="1313">
          <cell r="A1313">
            <v>1</v>
          </cell>
          <cell r="B1313">
            <v>4579009</v>
          </cell>
          <cell r="C1313" t="str">
            <v>ACHAT/REVENTE</v>
          </cell>
          <cell r="D1313" t="str">
            <v/>
          </cell>
          <cell r="E1313" t="str">
            <v>O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0</v>
          </cell>
          <cell r="AK1313">
            <v>0</v>
          </cell>
          <cell r="AL1313">
            <v>0</v>
          </cell>
          <cell r="AM1313">
            <v>9</v>
          </cell>
          <cell r="AN1313" t="str">
            <v/>
          </cell>
          <cell r="AO1313">
            <v>0</v>
          </cell>
          <cell r="AP1313">
            <v>0</v>
          </cell>
          <cell r="AQ1313">
            <v>0</v>
          </cell>
          <cell r="AR1313">
            <v>730</v>
          </cell>
          <cell r="AS1313">
            <v>0</v>
          </cell>
          <cell r="AT1313" t="str">
            <v/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 t="str">
            <v/>
          </cell>
          <cell r="BK1313">
            <v>7000</v>
          </cell>
          <cell r="BL1313" t="str">
            <v>0</v>
          </cell>
          <cell r="BM1313" t="str">
            <v>1</v>
          </cell>
          <cell r="BN1313" t="str">
            <v/>
          </cell>
          <cell r="BO1313" t="str">
            <v/>
          </cell>
        </row>
        <row r="1314">
          <cell r="A1314">
            <v>1</v>
          </cell>
          <cell r="B1314">
            <v>4599009</v>
          </cell>
          <cell r="C1314" t="str">
            <v>ACHAT/REVENTE</v>
          </cell>
          <cell r="D1314" t="str">
            <v/>
          </cell>
          <cell r="E1314" t="str">
            <v>N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0</v>
          </cell>
          <cell r="AK1314">
            <v>0</v>
          </cell>
          <cell r="AL1314">
            <v>0</v>
          </cell>
          <cell r="AM1314">
            <v>9</v>
          </cell>
          <cell r="AN1314" t="str">
            <v/>
          </cell>
          <cell r="AO1314">
            <v>0</v>
          </cell>
          <cell r="AP1314">
            <v>0</v>
          </cell>
          <cell r="AQ1314">
            <v>0</v>
          </cell>
          <cell r="AR1314">
            <v>700</v>
          </cell>
          <cell r="AS1314">
            <v>0</v>
          </cell>
          <cell r="AT1314" t="str">
            <v/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 t="str">
            <v/>
          </cell>
          <cell r="BK1314">
            <v>7000</v>
          </cell>
          <cell r="BL1314" t="str">
            <v>0</v>
          </cell>
          <cell r="BM1314" t="str">
            <v>1</v>
          </cell>
          <cell r="BN1314" t="str">
            <v/>
          </cell>
          <cell r="BO1314" t="str">
            <v/>
          </cell>
        </row>
        <row r="1315">
          <cell r="A1315">
            <v>1</v>
          </cell>
          <cell r="B1315">
            <v>4619009</v>
          </cell>
          <cell r="C1315" t="str">
            <v>ACHAT/REVENTE</v>
          </cell>
          <cell r="D1315" t="str">
            <v/>
          </cell>
          <cell r="E1315" t="str">
            <v>O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>
            <v>0</v>
          </cell>
          <cell r="AL1315">
            <v>0</v>
          </cell>
          <cell r="AM1315">
            <v>9</v>
          </cell>
          <cell r="AN1315" t="str">
            <v/>
          </cell>
          <cell r="AO1315">
            <v>0</v>
          </cell>
          <cell r="AP1315">
            <v>0</v>
          </cell>
          <cell r="AQ1315">
            <v>0</v>
          </cell>
          <cell r="AR1315">
            <v>760</v>
          </cell>
          <cell r="AS1315">
            <v>0</v>
          </cell>
          <cell r="AT1315" t="str">
            <v/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 t="str">
            <v/>
          </cell>
          <cell r="BK1315">
            <v>7000</v>
          </cell>
          <cell r="BL1315" t="str">
            <v>0</v>
          </cell>
          <cell r="BM1315" t="str">
            <v>1</v>
          </cell>
          <cell r="BN1315" t="str">
            <v/>
          </cell>
          <cell r="BO1315" t="str">
            <v/>
          </cell>
        </row>
        <row r="1316">
          <cell r="A1316">
            <v>1</v>
          </cell>
          <cell r="B1316">
            <v>4639009</v>
          </cell>
          <cell r="C1316" t="str">
            <v>ACHAT/REVENTE</v>
          </cell>
          <cell r="D1316" t="str">
            <v/>
          </cell>
          <cell r="E1316" t="str">
            <v>O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>
            <v>0</v>
          </cell>
          <cell r="AL1316">
            <v>0</v>
          </cell>
          <cell r="AM1316">
            <v>9</v>
          </cell>
          <cell r="AN1316" t="str">
            <v/>
          </cell>
          <cell r="AO1316">
            <v>0</v>
          </cell>
          <cell r="AP1316">
            <v>0</v>
          </cell>
          <cell r="AQ1316">
            <v>0</v>
          </cell>
          <cell r="AR1316">
            <v>710</v>
          </cell>
          <cell r="AS1316">
            <v>0</v>
          </cell>
          <cell r="AT1316" t="str">
            <v/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 t="str">
            <v/>
          </cell>
          <cell r="BK1316">
            <v>7000</v>
          </cell>
          <cell r="BL1316" t="str">
            <v>0</v>
          </cell>
          <cell r="BM1316" t="str">
            <v>1</v>
          </cell>
          <cell r="BN1316" t="str">
            <v/>
          </cell>
          <cell r="BO1316" t="str">
            <v/>
          </cell>
        </row>
        <row r="1317">
          <cell r="A1317">
            <v>1</v>
          </cell>
          <cell r="B1317">
            <v>4649009</v>
          </cell>
          <cell r="C1317" t="str">
            <v>ACHAT/REVENTE</v>
          </cell>
          <cell r="D1317" t="str">
            <v/>
          </cell>
          <cell r="E1317" t="str">
            <v>O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9</v>
          </cell>
          <cell r="AN1317" t="str">
            <v/>
          </cell>
          <cell r="AO1317">
            <v>0</v>
          </cell>
          <cell r="AP1317">
            <v>0</v>
          </cell>
          <cell r="AQ1317">
            <v>0</v>
          </cell>
          <cell r="AR1317">
            <v>660</v>
          </cell>
          <cell r="AS1317">
            <v>0</v>
          </cell>
          <cell r="AT1317" t="str">
            <v/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 t="str">
            <v/>
          </cell>
          <cell r="BK1317">
            <v>7000</v>
          </cell>
          <cell r="BL1317" t="str">
            <v>0</v>
          </cell>
          <cell r="BM1317" t="str">
            <v>1</v>
          </cell>
          <cell r="BN1317" t="str">
            <v/>
          </cell>
          <cell r="BO1317" t="str">
            <v/>
          </cell>
        </row>
        <row r="1318">
          <cell r="A1318">
            <v>1</v>
          </cell>
          <cell r="B1318">
            <v>4709009</v>
          </cell>
          <cell r="C1318" t="str">
            <v>ACHAT/REVENTE</v>
          </cell>
          <cell r="D1318" t="str">
            <v/>
          </cell>
          <cell r="E1318" t="str">
            <v>N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9</v>
          </cell>
          <cell r="AN1318" t="str">
            <v/>
          </cell>
          <cell r="AO1318">
            <v>0</v>
          </cell>
          <cell r="AP1318">
            <v>0</v>
          </cell>
          <cell r="AQ1318">
            <v>0</v>
          </cell>
          <cell r="AR1318">
            <v>660</v>
          </cell>
          <cell r="AS1318">
            <v>0</v>
          </cell>
          <cell r="AT1318" t="str">
            <v/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 t="str">
            <v/>
          </cell>
          <cell r="BK1318">
            <v>5000</v>
          </cell>
          <cell r="BL1318" t="str">
            <v>0</v>
          </cell>
          <cell r="BM1318" t="str">
            <v>1</v>
          </cell>
          <cell r="BN1318" t="str">
            <v/>
          </cell>
          <cell r="BO1318" t="str">
            <v/>
          </cell>
        </row>
        <row r="1319">
          <cell r="A1319">
            <v>1</v>
          </cell>
          <cell r="B1319">
            <v>4789009</v>
          </cell>
          <cell r="C1319" t="str">
            <v>ACHAT/REVENTE</v>
          </cell>
          <cell r="D1319" t="str">
            <v/>
          </cell>
          <cell r="E1319" t="str">
            <v>O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9</v>
          </cell>
          <cell r="AN1319" t="str">
            <v/>
          </cell>
          <cell r="AO1319">
            <v>0</v>
          </cell>
          <cell r="AP1319">
            <v>0</v>
          </cell>
          <cell r="AQ1319">
            <v>0</v>
          </cell>
          <cell r="AR1319">
            <v>800</v>
          </cell>
          <cell r="AS1319">
            <v>0</v>
          </cell>
          <cell r="AT1319" t="str">
            <v/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 t="str">
            <v/>
          </cell>
          <cell r="BK1319">
            <v>4100</v>
          </cell>
          <cell r="BL1319" t="str">
            <v>0</v>
          </cell>
          <cell r="BM1319" t="str">
            <v>1</v>
          </cell>
          <cell r="BN1319" t="str">
            <v/>
          </cell>
          <cell r="BO1319" t="str">
            <v/>
          </cell>
        </row>
        <row r="1320">
          <cell r="A1320">
            <v>1</v>
          </cell>
          <cell r="B1320">
            <v>4799009</v>
          </cell>
          <cell r="C1320" t="str">
            <v>ACHAT/REVENTE</v>
          </cell>
          <cell r="D1320" t="str">
            <v/>
          </cell>
          <cell r="E1320" t="str">
            <v>O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9</v>
          </cell>
          <cell r="AN1320" t="str">
            <v/>
          </cell>
          <cell r="AO1320">
            <v>0</v>
          </cell>
          <cell r="AP1320">
            <v>0</v>
          </cell>
          <cell r="AQ1320">
            <v>0</v>
          </cell>
          <cell r="AR1320">
            <v>800</v>
          </cell>
          <cell r="AS1320">
            <v>0</v>
          </cell>
          <cell r="AT1320" t="str">
            <v/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 t="str">
            <v/>
          </cell>
          <cell r="BK1320">
            <v>4100</v>
          </cell>
          <cell r="BL1320" t="str">
            <v>0</v>
          </cell>
          <cell r="BM1320" t="str">
            <v>1</v>
          </cell>
          <cell r="BN1320" t="str">
            <v/>
          </cell>
          <cell r="BO1320" t="str">
            <v/>
          </cell>
        </row>
        <row r="1321">
          <cell r="A1321">
            <v>1</v>
          </cell>
          <cell r="B1321">
            <v>4809009</v>
          </cell>
          <cell r="C1321" t="str">
            <v>ACHAT/REVENTE</v>
          </cell>
          <cell r="D1321" t="str">
            <v/>
          </cell>
          <cell r="E1321" t="str">
            <v>O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9</v>
          </cell>
          <cell r="AN1321" t="str">
            <v/>
          </cell>
          <cell r="AO1321">
            <v>0</v>
          </cell>
          <cell r="AP1321">
            <v>0</v>
          </cell>
          <cell r="AQ1321">
            <v>0</v>
          </cell>
          <cell r="AR1321">
            <v>800</v>
          </cell>
          <cell r="AS1321">
            <v>0</v>
          </cell>
          <cell r="AT1321" t="str">
            <v/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 t="str">
            <v/>
          </cell>
          <cell r="BK1321">
            <v>4100</v>
          </cell>
          <cell r="BL1321" t="str">
            <v>0</v>
          </cell>
          <cell r="BM1321" t="str">
            <v>1</v>
          </cell>
          <cell r="BN1321" t="str">
            <v/>
          </cell>
          <cell r="BO1321" t="str">
            <v/>
          </cell>
        </row>
        <row r="1322">
          <cell r="A1322">
            <v>1</v>
          </cell>
          <cell r="B1322">
            <v>4819009</v>
          </cell>
          <cell r="C1322" t="str">
            <v>ACHAT/REVENTE</v>
          </cell>
          <cell r="D1322" t="str">
            <v/>
          </cell>
          <cell r="E1322" t="str">
            <v>O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9</v>
          </cell>
          <cell r="AN1322" t="str">
            <v/>
          </cell>
          <cell r="AO1322">
            <v>0</v>
          </cell>
          <cell r="AP1322">
            <v>0</v>
          </cell>
          <cell r="AQ1322">
            <v>0</v>
          </cell>
          <cell r="AR1322">
            <v>800</v>
          </cell>
          <cell r="AS1322">
            <v>0</v>
          </cell>
          <cell r="AT1322" t="str">
            <v/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 t="str">
            <v/>
          </cell>
          <cell r="BK1322">
            <v>4100</v>
          </cell>
          <cell r="BL1322" t="str">
            <v>0</v>
          </cell>
          <cell r="BM1322" t="str">
            <v>1</v>
          </cell>
          <cell r="BN1322" t="str">
            <v/>
          </cell>
          <cell r="BO1322" t="str">
            <v/>
          </cell>
        </row>
        <row r="1323">
          <cell r="A1323">
            <v>1</v>
          </cell>
          <cell r="B1323">
            <v>4829009</v>
          </cell>
          <cell r="C1323" t="str">
            <v>ACHAT/REVENTE</v>
          </cell>
          <cell r="D1323" t="str">
            <v/>
          </cell>
          <cell r="E1323" t="str">
            <v>O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9</v>
          </cell>
          <cell r="AN1323" t="str">
            <v/>
          </cell>
          <cell r="AO1323">
            <v>0</v>
          </cell>
          <cell r="AP1323">
            <v>0</v>
          </cell>
          <cell r="AQ1323">
            <v>0</v>
          </cell>
          <cell r="AR1323">
            <v>800</v>
          </cell>
          <cell r="AS1323">
            <v>0</v>
          </cell>
          <cell r="AT1323" t="str">
            <v/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 t="str">
            <v/>
          </cell>
          <cell r="BK1323">
            <v>4100</v>
          </cell>
          <cell r="BL1323" t="str">
            <v>0</v>
          </cell>
          <cell r="BM1323" t="str">
            <v>1</v>
          </cell>
          <cell r="BN1323" t="str">
            <v/>
          </cell>
          <cell r="BO1323" t="str">
            <v/>
          </cell>
        </row>
        <row r="1324">
          <cell r="A1324">
            <v>1</v>
          </cell>
          <cell r="B1324">
            <v>4839009</v>
          </cell>
          <cell r="C1324" t="str">
            <v>ACHAT/REVENTE</v>
          </cell>
          <cell r="D1324" t="str">
            <v/>
          </cell>
          <cell r="E1324" t="str">
            <v>O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9</v>
          </cell>
          <cell r="AN1324" t="str">
            <v/>
          </cell>
          <cell r="AO1324">
            <v>0</v>
          </cell>
          <cell r="AP1324">
            <v>0</v>
          </cell>
          <cell r="AQ1324">
            <v>0</v>
          </cell>
          <cell r="AR1324">
            <v>800</v>
          </cell>
          <cell r="AS1324">
            <v>0</v>
          </cell>
          <cell r="AT1324" t="str">
            <v/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 t="str">
            <v/>
          </cell>
          <cell r="BK1324">
            <v>4100</v>
          </cell>
          <cell r="BL1324" t="str">
            <v>0</v>
          </cell>
          <cell r="BM1324" t="str">
            <v>1</v>
          </cell>
          <cell r="BN1324" t="str">
            <v/>
          </cell>
          <cell r="BO1324" t="str">
            <v/>
          </cell>
        </row>
        <row r="1325">
          <cell r="A1325">
            <v>1</v>
          </cell>
          <cell r="B1325">
            <v>4909009</v>
          </cell>
          <cell r="C1325" t="str">
            <v>ACHAT/REVENTE</v>
          </cell>
          <cell r="D1325" t="str">
            <v/>
          </cell>
          <cell r="E1325" t="str">
            <v>N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9</v>
          </cell>
          <cell r="AN1325" t="str">
            <v/>
          </cell>
          <cell r="AO1325">
            <v>0</v>
          </cell>
          <cell r="AP1325">
            <v>0</v>
          </cell>
          <cell r="AQ1325">
            <v>0</v>
          </cell>
          <cell r="AR1325">
            <v>800</v>
          </cell>
          <cell r="AS1325">
            <v>0</v>
          </cell>
          <cell r="AT1325" t="str">
            <v/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 t="str">
            <v/>
          </cell>
          <cell r="BK1325">
            <v>7200</v>
          </cell>
          <cell r="BL1325" t="str">
            <v>0</v>
          </cell>
          <cell r="BM1325" t="str">
            <v>1</v>
          </cell>
          <cell r="BN1325" t="str">
            <v/>
          </cell>
          <cell r="BO1325" t="str">
            <v/>
          </cell>
        </row>
        <row r="1326">
          <cell r="A1326">
            <v>1</v>
          </cell>
          <cell r="B1326">
            <v>4929009</v>
          </cell>
          <cell r="C1326" t="str">
            <v>ACHAT/REVENTE</v>
          </cell>
          <cell r="D1326" t="str">
            <v/>
          </cell>
          <cell r="E1326" t="str">
            <v>O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9</v>
          </cell>
          <cell r="AN1326" t="str">
            <v/>
          </cell>
          <cell r="AO1326">
            <v>0</v>
          </cell>
          <cell r="AP1326">
            <v>0</v>
          </cell>
          <cell r="AQ1326">
            <v>0</v>
          </cell>
          <cell r="AR1326">
            <v>810</v>
          </cell>
          <cell r="AS1326">
            <v>0</v>
          </cell>
          <cell r="AT1326" t="str">
            <v/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 t="str">
            <v/>
          </cell>
          <cell r="BK1326">
            <v>7200</v>
          </cell>
          <cell r="BL1326" t="str">
            <v>0</v>
          </cell>
          <cell r="BM1326" t="str">
            <v>1</v>
          </cell>
          <cell r="BN1326" t="str">
            <v/>
          </cell>
          <cell r="BO1326" t="str">
            <v/>
          </cell>
        </row>
        <row r="1327">
          <cell r="A1327">
            <v>1</v>
          </cell>
          <cell r="B1327">
            <v>4979009</v>
          </cell>
          <cell r="C1327" t="str">
            <v>ACHAT/REVENTE</v>
          </cell>
          <cell r="D1327" t="str">
            <v/>
          </cell>
          <cell r="E1327" t="str">
            <v>O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9</v>
          </cell>
          <cell r="AN1327" t="str">
            <v/>
          </cell>
          <cell r="AO1327">
            <v>0</v>
          </cell>
          <cell r="AP1327">
            <v>0</v>
          </cell>
          <cell r="AQ1327">
            <v>0</v>
          </cell>
          <cell r="AR1327">
            <v>810</v>
          </cell>
          <cell r="AS1327">
            <v>0</v>
          </cell>
          <cell r="AT1327" t="str">
            <v/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 t="str">
            <v/>
          </cell>
          <cell r="BK1327">
            <v>7200</v>
          </cell>
          <cell r="BL1327" t="str">
            <v>0</v>
          </cell>
          <cell r="BM1327" t="str">
            <v>1</v>
          </cell>
          <cell r="BN1327" t="str">
            <v/>
          </cell>
          <cell r="BO1327" t="str">
            <v/>
          </cell>
        </row>
        <row r="1328">
          <cell r="A1328">
            <v>1</v>
          </cell>
          <cell r="B1328">
            <v>4989009</v>
          </cell>
          <cell r="C1328" t="str">
            <v>ACHAT/REVENTE</v>
          </cell>
          <cell r="D1328" t="str">
            <v/>
          </cell>
          <cell r="E1328" t="str">
            <v>O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9</v>
          </cell>
          <cell r="AN1328" t="str">
            <v/>
          </cell>
          <cell r="AO1328">
            <v>0</v>
          </cell>
          <cell r="AP1328">
            <v>0</v>
          </cell>
          <cell r="AQ1328">
            <v>0</v>
          </cell>
          <cell r="AR1328">
            <v>810</v>
          </cell>
          <cell r="AS1328">
            <v>0</v>
          </cell>
          <cell r="AT1328" t="str">
            <v/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 t="str">
            <v/>
          </cell>
          <cell r="BK1328">
            <v>7200</v>
          </cell>
          <cell r="BL1328" t="str">
            <v>0</v>
          </cell>
          <cell r="BM1328" t="str">
            <v>1</v>
          </cell>
          <cell r="BN1328" t="str">
            <v/>
          </cell>
          <cell r="BO1328" t="str">
            <v/>
          </cell>
        </row>
        <row r="1329">
          <cell r="A1329">
            <v>1</v>
          </cell>
          <cell r="B1329">
            <v>5009009</v>
          </cell>
          <cell r="C1329" t="str">
            <v>ACHAT/REVENTE</v>
          </cell>
          <cell r="D1329" t="str">
            <v/>
          </cell>
          <cell r="E1329" t="str">
            <v>O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9</v>
          </cell>
          <cell r="AN1329" t="str">
            <v/>
          </cell>
          <cell r="AO1329">
            <v>0</v>
          </cell>
          <cell r="AP1329">
            <v>0</v>
          </cell>
          <cell r="AQ1329">
            <v>0</v>
          </cell>
          <cell r="AR1329">
            <v>810</v>
          </cell>
          <cell r="AS1329">
            <v>0</v>
          </cell>
          <cell r="AT1329" t="str">
            <v/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 t="str">
            <v/>
          </cell>
          <cell r="BK1329">
            <v>7200</v>
          </cell>
          <cell r="BL1329" t="str">
            <v>0</v>
          </cell>
          <cell r="BM1329" t="str">
            <v>1</v>
          </cell>
          <cell r="BN1329" t="str">
            <v/>
          </cell>
          <cell r="BO1329" t="str">
            <v/>
          </cell>
        </row>
        <row r="1330">
          <cell r="A1330">
            <v>1</v>
          </cell>
          <cell r="B1330">
            <v>5019009</v>
          </cell>
          <cell r="C1330" t="str">
            <v>ACHAT/REVENTE</v>
          </cell>
          <cell r="D1330" t="str">
            <v/>
          </cell>
          <cell r="E1330" t="str">
            <v>O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9</v>
          </cell>
          <cell r="AN1330" t="str">
            <v/>
          </cell>
          <cell r="AO1330">
            <v>0</v>
          </cell>
          <cell r="AP1330">
            <v>0</v>
          </cell>
          <cell r="AQ1330">
            <v>0</v>
          </cell>
          <cell r="AR1330">
            <v>810</v>
          </cell>
          <cell r="AS1330">
            <v>0</v>
          </cell>
          <cell r="AT1330" t="str">
            <v/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 t="str">
            <v/>
          </cell>
          <cell r="BK1330">
            <v>7200</v>
          </cell>
          <cell r="BL1330" t="str">
            <v>0</v>
          </cell>
          <cell r="BM1330" t="str">
            <v>1</v>
          </cell>
          <cell r="BN1330" t="str">
            <v/>
          </cell>
          <cell r="BO1330" t="str">
            <v/>
          </cell>
        </row>
        <row r="1331">
          <cell r="A1331">
            <v>1</v>
          </cell>
          <cell r="B1331">
            <v>5029009</v>
          </cell>
          <cell r="C1331" t="str">
            <v>ACHAT/REVENTE</v>
          </cell>
          <cell r="D1331" t="str">
            <v/>
          </cell>
          <cell r="E1331" t="str">
            <v>O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9</v>
          </cell>
          <cell r="AN1331" t="str">
            <v/>
          </cell>
          <cell r="AO1331">
            <v>0</v>
          </cell>
          <cell r="AP1331">
            <v>0</v>
          </cell>
          <cell r="AQ1331">
            <v>0</v>
          </cell>
          <cell r="AR1331">
            <v>810</v>
          </cell>
          <cell r="AS1331">
            <v>0</v>
          </cell>
          <cell r="AT1331" t="str">
            <v/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 t="str">
            <v/>
          </cell>
          <cell r="BK1331">
            <v>7200</v>
          </cell>
          <cell r="BL1331" t="str">
            <v>0</v>
          </cell>
          <cell r="BM1331" t="str">
            <v>1</v>
          </cell>
          <cell r="BN1331" t="str">
            <v/>
          </cell>
          <cell r="BO1331" t="str">
            <v/>
          </cell>
        </row>
        <row r="1332">
          <cell r="A1332">
            <v>1</v>
          </cell>
          <cell r="B1332">
            <v>5039009</v>
          </cell>
          <cell r="C1332" t="str">
            <v>ACHAT/REVENTE</v>
          </cell>
          <cell r="D1332" t="str">
            <v/>
          </cell>
          <cell r="E1332" t="str">
            <v>O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9</v>
          </cell>
          <cell r="AN1332" t="str">
            <v/>
          </cell>
          <cell r="AO1332">
            <v>0</v>
          </cell>
          <cell r="AP1332">
            <v>0</v>
          </cell>
          <cell r="AQ1332">
            <v>0</v>
          </cell>
          <cell r="AR1332">
            <v>810</v>
          </cell>
          <cell r="AS1332">
            <v>0</v>
          </cell>
          <cell r="AT1332" t="str">
            <v/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 t="str">
            <v/>
          </cell>
          <cell r="BK1332">
            <v>7200</v>
          </cell>
          <cell r="BL1332" t="str">
            <v>0</v>
          </cell>
          <cell r="BM1332" t="str">
            <v>1</v>
          </cell>
          <cell r="BN1332" t="str">
            <v/>
          </cell>
          <cell r="BO1332" t="str">
            <v/>
          </cell>
        </row>
        <row r="1333">
          <cell r="A1333">
            <v>1</v>
          </cell>
          <cell r="B1333">
            <v>5049009</v>
          </cell>
          <cell r="C1333" t="str">
            <v>ACHAT/REVENTE</v>
          </cell>
          <cell r="D1333" t="str">
            <v/>
          </cell>
          <cell r="E1333" t="str">
            <v>O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9</v>
          </cell>
          <cell r="AN1333" t="str">
            <v/>
          </cell>
          <cell r="AO1333">
            <v>0</v>
          </cell>
          <cell r="AP1333">
            <v>0</v>
          </cell>
          <cell r="AQ1333">
            <v>0</v>
          </cell>
          <cell r="AR1333">
            <v>660</v>
          </cell>
          <cell r="AS1333">
            <v>0</v>
          </cell>
          <cell r="AT1333" t="str">
            <v/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 t="str">
            <v/>
          </cell>
          <cell r="BK1333">
            <v>7200</v>
          </cell>
          <cell r="BL1333" t="str">
            <v>0</v>
          </cell>
          <cell r="BM1333" t="str">
            <v>1</v>
          </cell>
          <cell r="BN1333" t="str">
            <v/>
          </cell>
          <cell r="BO1333" t="str">
            <v/>
          </cell>
        </row>
        <row r="1334">
          <cell r="A1334">
            <v>1</v>
          </cell>
          <cell r="B1334">
            <v>5129009</v>
          </cell>
          <cell r="C1334" t="str">
            <v>ACHAT/REVENTE</v>
          </cell>
          <cell r="D1334" t="str">
            <v/>
          </cell>
          <cell r="E1334" t="str">
            <v>O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9</v>
          </cell>
          <cell r="AN1334" t="str">
            <v/>
          </cell>
          <cell r="AO1334">
            <v>0</v>
          </cell>
          <cell r="AP1334">
            <v>0</v>
          </cell>
          <cell r="AQ1334">
            <v>0</v>
          </cell>
          <cell r="AR1334">
            <v>820</v>
          </cell>
          <cell r="AS1334">
            <v>0</v>
          </cell>
          <cell r="AT1334" t="str">
            <v/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 t="str">
            <v/>
          </cell>
          <cell r="BK1334">
            <v>7300</v>
          </cell>
          <cell r="BL1334" t="str">
            <v>0</v>
          </cell>
          <cell r="BM1334" t="str">
            <v>1</v>
          </cell>
          <cell r="BN1334" t="str">
            <v/>
          </cell>
          <cell r="BO1334" t="str">
            <v/>
          </cell>
        </row>
        <row r="1335">
          <cell r="A1335">
            <v>1</v>
          </cell>
          <cell r="B1335">
            <v>5149009</v>
          </cell>
          <cell r="C1335" t="str">
            <v>ACHAT/REVENTE</v>
          </cell>
          <cell r="D1335" t="str">
            <v/>
          </cell>
          <cell r="E1335" t="str">
            <v>O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9</v>
          </cell>
          <cell r="AN1335" t="str">
            <v/>
          </cell>
          <cell r="AO1335">
            <v>0</v>
          </cell>
          <cell r="AP1335">
            <v>0</v>
          </cell>
          <cell r="AQ1335">
            <v>0</v>
          </cell>
          <cell r="AR1335">
            <v>820</v>
          </cell>
          <cell r="AS1335">
            <v>0</v>
          </cell>
          <cell r="AT1335" t="str">
            <v/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 t="str">
            <v/>
          </cell>
          <cell r="BK1335">
            <v>7300</v>
          </cell>
          <cell r="BL1335" t="str">
            <v>0</v>
          </cell>
          <cell r="BM1335" t="str">
            <v>1</v>
          </cell>
          <cell r="BN1335" t="str">
            <v/>
          </cell>
          <cell r="BO1335" t="str">
            <v/>
          </cell>
        </row>
        <row r="1336">
          <cell r="A1336">
            <v>1</v>
          </cell>
          <cell r="B1336">
            <v>5169009</v>
          </cell>
          <cell r="C1336" t="str">
            <v>ACHAT/REVENTE</v>
          </cell>
          <cell r="D1336" t="str">
            <v/>
          </cell>
          <cell r="E1336" t="str">
            <v>O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9</v>
          </cell>
          <cell r="AN1336" t="str">
            <v/>
          </cell>
          <cell r="AO1336">
            <v>0</v>
          </cell>
          <cell r="AP1336">
            <v>0</v>
          </cell>
          <cell r="AQ1336">
            <v>0</v>
          </cell>
          <cell r="AR1336">
            <v>830</v>
          </cell>
          <cell r="AS1336">
            <v>0</v>
          </cell>
          <cell r="AT1336" t="str">
            <v/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 t="str">
            <v/>
          </cell>
          <cell r="BK1336">
            <v>7300</v>
          </cell>
          <cell r="BL1336" t="str">
            <v>0</v>
          </cell>
          <cell r="BM1336" t="str">
            <v>1</v>
          </cell>
          <cell r="BN1336" t="str">
            <v/>
          </cell>
          <cell r="BO1336" t="str">
            <v/>
          </cell>
        </row>
        <row r="1337">
          <cell r="A1337">
            <v>1</v>
          </cell>
          <cell r="B1337">
            <v>5209009</v>
          </cell>
          <cell r="C1337" t="str">
            <v>ACHAT/REVENTE</v>
          </cell>
          <cell r="D1337" t="str">
            <v/>
          </cell>
          <cell r="E1337" t="str">
            <v>O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9</v>
          </cell>
          <cell r="AN1337" t="str">
            <v/>
          </cell>
          <cell r="AO1337">
            <v>0</v>
          </cell>
          <cell r="AP1337">
            <v>0</v>
          </cell>
          <cell r="AQ1337">
            <v>0</v>
          </cell>
          <cell r="AR1337">
            <v>840</v>
          </cell>
          <cell r="AS1337">
            <v>0</v>
          </cell>
          <cell r="AT1337" t="str">
            <v/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 t="str">
            <v/>
          </cell>
          <cell r="BK1337">
            <v>8000</v>
          </cell>
          <cell r="BL1337" t="str">
            <v>0</v>
          </cell>
          <cell r="BM1337" t="str">
            <v>1</v>
          </cell>
          <cell r="BN1337" t="str">
            <v/>
          </cell>
          <cell r="BO1337" t="str">
            <v/>
          </cell>
        </row>
        <row r="1338">
          <cell r="A1338">
            <v>1</v>
          </cell>
          <cell r="B1338">
            <v>5219009</v>
          </cell>
          <cell r="C1338" t="str">
            <v>ACHAT/REVENTE</v>
          </cell>
          <cell r="D1338" t="str">
            <v/>
          </cell>
          <cell r="E1338" t="str">
            <v>O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9</v>
          </cell>
          <cell r="AN1338" t="str">
            <v/>
          </cell>
          <cell r="AO1338">
            <v>0</v>
          </cell>
          <cell r="AP1338">
            <v>0</v>
          </cell>
          <cell r="AQ1338">
            <v>0</v>
          </cell>
          <cell r="AR1338">
            <v>810</v>
          </cell>
          <cell r="AS1338">
            <v>0</v>
          </cell>
          <cell r="AT1338" t="str">
            <v/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 t="str">
            <v/>
          </cell>
          <cell r="BK1338">
            <v>8000</v>
          </cell>
          <cell r="BL1338" t="str">
            <v>0</v>
          </cell>
          <cell r="BM1338" t="str">
            <v>1</v>
          </cell>
          <cell r="BN1338" t="str">
            <v/>
          </cell>
          <cell r="BO1338" t="str">
            <v/>
          </cell>
        </row>
        <row r="1339">
          <cell r="A1339">
            <v>1</v>
          </cell>
          <cell r="B1339">
            <v>5259009</v>
          </cell>
          <cell r="C1339" t="str">
            <v>ACHAT/REVENTE</v>
          </cell>
          <cell r="D1339" t="str">
            <v/>
          </cell>
          <cell r="E1339" t="str">
            <v>O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9</v>
          </cell>
          <cell r="AN1339" t="str">
            <v/>
          </cell>
          <cell r="AO1339">
            <v>0</v>
          </cell>
          <cell r="AP1339">
            <v>0</v>
          </cell>
          <cell r="AQ1339">
            <v>0</v>
          </cell>
          <cell r="AR1339">
            <v>810</v>
          </cell>
          <cell r="AS1339">
            <v>0</v>
          </cell>
          <cell r="AT1339" t="str">
            <v/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 t="str">
            <v/>
          </cell>
          <cell r="BK1339">
            <v>8000</v>
          </cell>
          <cell r="BL1339" t="str">
            <v>0</v>
          </cell>
          <cell r="BM1339" t="str">
            <v>1</v>
          </cell>
          <cell r="BN1339" t="str">
            <v/>
          </cell>
          <cell r="BO1339" t="str">
            <v/>
          </cell>
        </row>
        <row r="1340">
          <cell r="A1340">
            <v>1</v>
          </cell>
          <cell r="B1340">
            <v>5319009</v>
          </cell>
          <cell r="C1340" t="str">
            <v>ACHAT/REVENTE</v>
          </cell>
          <cell r="D1340" t="str">
            <v/>
          </cell>
          <cell r="E1340" t="str">
            <v>O</v>
          </cell>
          <cell r="F1340">
            <v>0</v>
          </cell>
          <cell r="G1340">
            <v>0</v>
          </cell>
          <cell r="H1340">
            <v>0</v>
          </cell>
          <cell r="I1340">
            <v>7656.8</v>
          </cell>
          <cell r="J1340">
            <v>7656.8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9</v>
          </cell>
          <cell r="AN1340" t="str">
            <v/>
          </cell>
          <cell r="AO1340">
            <v>0</v>
          </cell>
          <cell r="AP1340">
            <v>0</v>
          </cell>
          <cell r="AQ1340">
            <v>0</v>
          </cell>
          <cell r="AR1340">
            <v>810</v>
          </cell>
          <cell r="AS1340">
            <v>0</v>
          </cell>
          <cell r="AT1340" t="str">
            <v/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 t="str">
            <v/>
          </cell>
          <cell r="BK1340">
            <v>8000</v>
          </cell>
          <cell r="BL1340" t="str">
            <v>0</v>
          </cell>
          <cell r="BM1340" t="str">
            <v>1</v>
          </cell>
          <cell r="BN1340" t="str">
            <v/>
          </cell>
          <cell r="BO1340" t="str">
            <v/>
          </cell>
        </row>
        <row r="1341">
          <cell r="A1341">
            <v>1</v>
          </cell>
          <cell r="B1341">
            <v>5359009</v>
          </cell>
          <cell r="C1341" t="str">
            <v>ACHAT/REVENTE</v>
          </cell>
          <cell r="D1341" t="str">
            <v/>
          </cell>
          <cell r="E1341" t="str">
            <v>N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9</v>
          </cell>
          <cell r="AN1341" t="str">
            <v/>
          </cell>
          <cell r="AO1341">
            <v>0</v>
          </cell>
          <cell r="AP1341">
            <v>0</v>
          </cell>
          <cell r="AQ1341">
            <v>0</v>
          </cell>
          <cell r="AR1341">
            <v>850</v>
          </cell>
          <cell r="AS1341">
            <v>0</v>
          </cell>
          <cell r="AT1341" t="str">
            <v/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 t="str">
            <v/>
          </cell>
          <cell r="BK1341">
            <v>8500</v>
          </cell>
          <cell r="BL1341" t="str">
            <v>0</v>
          </cell>
          <cell r="BM1341" t="str">
            <v>1</v>
          </cell>
          <cell r="BN1341" t="str">
            <v/>
          </cell>
          <cell r="BO1341" t="str">
            <v/>
          </cell>
        </row>
        <row r="1342">
          <cell r="A1342">
            <v>1</v>
          </cell>
          <cell r="B1342">
            <v>5399009</v>
          </cell>
          <cell r="C1342" t="str">
            <v>ACHAT/REVENTE</v>
          </cell>
          <cell r="D1342" t="str">
            <v/>
          </cell>
          <cell r="E1342" t="str">
            <v>N</v>
          </cell>
          <cell r="F1342">
            <v>0</v>
          </cell>
          <cell r="G1342">
            <v>0</v>
          </cell>
          <cell r="H1342">
            <v>-31394.1</v>
          </cell>
          <cell r="I1342">
            <v>18367.21</v>
          </cell>
          <cell r="J1342">
            <v>49761.31</v>
          </cell>
          <cell r="K1342">
            <v>0</v>
          </cell>
          <cell r="L1342">
            <v>0</v>
          </cell>
          <cell r="M1342">
            <v>15910.71</v>
          </cell>
          <cell r="N1342">
            <v>2777.74</v>
          </cell>
          <cell r="O1342">
            <v>-3167.69</v>
          </cell>
          <cell r="P1342">
            <v>-5609.44</v>
          </cell>
          <cell r="Q1342">
            <v>-16704.27</v>
          </cell>
          <cell r="R1342">
            <v>-26466.6</v>
          </cell>
          <cell r="S1342">
            <v>-34142.99</v>
          </cell>
          <cell r="T1342">
            <v>-25640.13</v>
          </cell>
          <cell r="U1342">
            <v>-26248.53</v>
          </cell>
          <cell r="V1342">
            <v>-21749.11</v>
          </cell>
          <cell r="W1342">
            <v>-27080.2</v>
          </cell>
          <cell r="X1342">
            <v>-31394.1</v>
          </cell>
          <cell r="Y1342">
            <v>-47304.81</v>
          </cell>
          <cell r="Z1342">
            <v>-380.86</v>
          </cell>
          <cell r="AA1342">
            <v>-2083.11</v>
          </cell>
          <cell r="AB1342">
            <v>-5276.29</v>
          </cell>
          <cell r="AC1342">
            <v>-6823.51</v>
          </cell>
          <cell r="AD1342">
            <v>-7109.51</v>
          </cell>
          <cell r="AE1342">
            <v>-16431.66</v>
          </cell>
          <cell r="AF1342">
            <v>-14901.66</v>
          </cell>
          <cell r="AG1342">
            <v>-27985.98</v>
          </cell>
          <cell r="AH1342">
            <v>-36251.06</v>
          </cell>
          <cell r="AI1342">
            <v>-42762.36</v>
          </cell>
          <cell r="AJ1342">
            <v>-54561.5</v>
          </cell>
          <cell r="AK1342">
            <v>-56920.5</v>
          </cell>
          <cell r="AL1342">
            <v>0</v>
          </cell>
          <cell r="AM1342">
            <v>9</v>
          </cell>
          <cell r="AN1342" t="str">
            <v/>
          </cell>
          <cell r="AO1342">
            <v>0</v>
          </cell>
          <cell r="AP1342">
            <v>0</v>
          </cell>
          <cell r="AQ1342">
            <v>0</v>
          </cell>
          <cell r="AR1342">
            <v>950</v>
          </cell>
          <cell r="AS1342">
            <v>0</v>
          </cell>
          <cell r="AT1342" t="str">
            <v/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 t="str">
            <v/>
          </cell>
          <cell r="BK1342">
            <v>8800</v>
          </cell>
          <cell r="BL1342" t="str">
            <v>0</v>
          </cell>
          <cell r="BM1342" t="str">
            <v>1</v>
          </cell>
          <cell r="BN1342" t="str">
            <v/>
          </cell>
          <cell r="BO1342" t="str">
            <v/>
          </cell>
        </row>
        <row r="1343">
          <cell r="A1343">
            <v>1</v>
          </cell>
          <cell r="B1343">
            <v>5409009</v>
          </cell>
          <cell r="C1343" t="str">
            <v>ACHAT/REVENTE</v>
          </cell>
          <cell r="D1343" t="str">
            <v/>
          </cell>
          <cell r="E1343" t="str">
            <v>N</v>
          </cell>
          <cell r="F1343">
            <v>0</v>
          </cell>
          <cell r="G1343">
            <v>0</v>
          </cell>
          <cell r="H1343">
            <v>-2018.1</v>
          </cell>
          <cell r="I1343">
            <v>1224.48</v>
          </cell>
          <cell r="J1343">
            <v>3242.58</v>
          </cell>
          <cell r="K1343">
            <v>0</v>
          </cell>
          <cell r="L1343">
            <v>0</v>
          </cell>
          <cell r="M1343">
            <v>1060.71</v>
          </cell>
          <cell r="N1343">
            <v>185.18</v>
          </cell>
          <cell r="O1343">
            <v>-211.18</v>
          </cell>
          <cell r="P1343">
            <v>-373.96</v>
          </cell>
          <cell r="Q1343">
            <v>-1113.6199999999999</v>
          </cell>
          <cell r="R1343">
            <v>-1764.44</v>
          </cell>
          <cell r="S1343">
            <v>-2276.19</v>
          </cell>
          <cell r="T1343">
            <v>-1709.33</v>
          </cell>
          <cell r="U1343">
            <v>-1749.89</v>
          </cell>
          <cell r="V1343">
            <v>-1449.93</v>
          </cell>
          <cell r="W1343">
            <v>-1730.51</v>
          </cell>
          <cell r="X1343">
            <v>-2018.1</v>
          </cell>
          <cell r="Y1343">
            <v>-3078.81</v>
          </cell>
          <cell r="Z1343">
            <v>-253.92</v>
          </cell>
          <cell r="AA1343">
            <v>-1388.76</v>
          </cell>
          <cell r="AB1343">
            <v>-3517.55</v>
          </cell>
          <cell r="AC1343">
            <v>-4549.03</v>
          </cell>
          <cell r="AD1343">
            <v>-4740.03</v>
          </cell>
          <cell r="AE1343">
            <v>-10954.8</v>
          </cell>
          <cell r="AF1343">
            <v>-9934.7999999999993</v>
          </cell>
          <cell r="AG1343">
            <v>-18657.68</v>
          </cell>
          <cell r="AH1343">
            <v>-24167.74</v>
          </cell>
          <cell r="AI1343">
            <v>-28508.6</v>
          </cell>
          <cell r="AJ1343">
            <v>-36374.69</v>
          </cell>
          <cell r="AK1343">
            <v>-37946.69</v>
          </cell>
          <cell r="AL1343">
            <v>0</v>
          </cell>
          <cell r="AM1343">
            <v>9</v>
          </cell>
          <cell r="AN1343" t="str">
            <v/>
          </cell>
          <cell r="AO1343">
            <v>0</v>
          </cell>
          <cell r="AP1343">
            <v>0</v>
          </cell>
          <cell r="AQ1343">
            <v>0</v>
          </cell>
          <cell r="AR1343">
            <v>960</v>
          </cell>
          <cell r="AS1343">
            <v>0</v>
          </cell>
          <cell r="AT1343" t="str">
            <v/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 t="str">
            <v/>
          </cell>
          <cell r="BK1343">
            <v>8900</v>
          </cell>
          <cell r="BL1343" t="str">
            <v>0</v>
          </cell>
          <cell r="BM1343" t="str">
            <v>1</v>
          </cell>
          <cell r="BN1343" t="str">
            <v/>
          </cell>
          <cell r="BO1343" t="str">
            <v/>
          </cell>
        </row>
        <row r="1344">
          <cell r="A1344">
            <v>2</v>
          </cell>
          <cell r="B1344">
            <v>4802012</v>
          </cell>
          <cell r="C1344" t="str">
            <v>EXPEDITIONS</v>
          </cell>
          <cell r="D1344" t="str">
            <v>PLATEAUX NON RETOURNABLE</v>
          </cell>
          <cell r="E1344" t="str">
            <v>O</v>
          </cell>
          <cell r="F1344">
            <v>0</v>
          </cell>
          <cell r="G1344">
            <v>0</v>
          </cell>
          <cell r="H1344">
            <v>0</v>
          </cell>
          <cell r="I1344">
            <v>13200</v>
          </cell>
          <cell r="J1344">
            <v>13200</v>
          </cell>
          <cell r="K1344">
            <v>0</v>
          </cell>
          <cell r="L1344">
            <v>0</v>
          </cell>
          <cell r="M1344">
            <v>0</v>
          </cell>
          <cell r="N1344">
            <v>10560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-983.45</v>
          </cell>
          <cell r="AA1344">
            <v>13025.05</v>
          </cell>
          <cell r="AB1344">
            <v>19511.05</v>
          </cell>
          <cell r="AC1344">
            <v>26518.05</v>
          </cell>
          <cell r="AD1344">
            <v>33206.050000000003</v>
          </cell>
          <cell r="AE1344">
            <v>47188.55</v>
          </cell>
          <cell r="AF1344">
            <v>62012.55</v>
          </cell>
          <cell r="AG1344">
            <v>76585.05</v>
          </cell>
          <cell r="AH1344">
            <v>97071.75</v>
          </cell>
          <cell r="AI1344">
            <v>117095.6</v>
          </cell>
          <cell r="AJ1344">
            <v>130894.35</v>
          </cell>
          <cell r="AK1344">
            <v>157058.07999999999</v>
          </cell>
          <cell r="AL1344">
            <v>0</v>
          </cell>
          <cell r="AM1344">
            <v>2</v>
          </cell>
          <cell r="AN1344" t="str">
            <v/>
          </cell>
          <cell r="AO1344">
            <v>0</v>
          </cell>
          <cell r="AP1344">
            <v>0</v>
          </cell>
          <cell r="AQ1344">
            <v>0</v>
          </cell>
          <cell r="AR1344">
            <v>800</v>
          </cell>
          <cell r="AS1344">
            <v>0</v>
          </cell>
          <cell r="AT1344" t="str">
            <v/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 t="str">
            <v/>
          </cell>
          <cell r="BK1344">
            <v>4100</v>
          </cell>
          <cell r="BL1344" t="str">
            <v>0</v>
          </cell>
          <cell r="BM1344" t="str">
            <v>1</v>
          </cell>
          <cell r="BN1344" t="str">
            <v/>
          </cell>
          <cell r="BO1344" t="str">
            <v/>
          </cell>
        </row>
        <row r="1345">
          <cell r="A1345">
            <v>1</v>
          </cell>
          <cell r="B1345">
            <v>5202099</v>
          </cell>
          <cell r="C1345" t="str">
            <v>AUTRES REVENUS</v>
          </cell>
          <cell r="D1345" t="str">
            <v>GAINS OU PERTE DE CHANGES</v>
          </cell>
          <cell r="E1345" t="str">
            <v>O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9</v>
          </cell>
          <cell r="AN1345" t="str">
            <v/>
          </cell>
          <cell r="AO1345">
            <v>0</v>
          </cell>
          <cell r="AP1345">
            <v>0</v>
          </cell>
          <cell r="AQ1345">
            <v>0</v>
          </cell>
          <cell r="AR1345">
            <v>840</v>
          </cell>
          <cell r="AS1345">
            <v>0</v>
          </cell>
          <cell r="AT1345" t="str">
            <v/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 t="str">
            <v/>
          </cell>
          <cell r="BK1345">
            <v>8000</v>
          </cell>
          <cell r="BL1345" t="str">
            <v>0</v>
          </cell>
          <cell r="BM1345" t="str">
            <v>1</v>
          </cell>
          <cell r="BN1345" t="str">
            <v/>
          </cell>
          <cell r="BO1345" t="str">
            <v/>
          </cell>
        </row>
        <row r="1346">
          <cell r="A1346">
            <v>1</v>
          </cell>
          <cell r="B1346">
            <v>4250552</v>
          </cell>
          <cell r="C1346" t="str">
            <v>M.O.D.</v>
          </cell>
          <cell r="D1346" t="str">
            <v>TWL - SHRINK WRAP</v>
          </cell>
          <cell r="E1346" t="str">
            <v>O</v>
          </cell>
          <cell r="F1346">
            <v>0</v>
          </cell>
          <cell r="G1346">
            <v>0</v>
          </cell>
          <cell r="H1346">
            <v>66197.509999999995</v>
          </cell>
          <cell r="I1346">
            <v>71769.11</v>
          </cell>
          <cell r="J1346">
            <v>5571.6</v>
          </cell>
          <cell r="K1346">
            <v>0</v>
          </cell>
          <cell r="L1346">
            <v>8298.9</v>
          </cell>
          <cell r="M1346">
            <v>4861.29</v>
          </cell>
          <cell r="N1346">
            <v>12992.63</v>
          </cell>
          <cell r="O1346">
            <v>17621.39</v>
          </cell>
          <cell r="P1346">
            <v>24130.16</v>
          </cell>
          <cell r="Q1346">
            <v>30185.29</v>
          </cell>
          <cell r="R1346">
            <v>36068.47</v>
          </cell>
          <cell r="S1346">
            <v>41253.199999999997</v>
          </cell>
          <cell r="T1346">
            <v>45110.12</v>
          </cell>
          <cell r="U1346">
            <v>53496.480000000003</v>
          </cell>
          <cell r="V1346">
            <v>57864</v>
          </cell>
          <cell r="W1346">
            <v>61336.22</v>
          </cell>
          <cell r="X1346">
            <v>66197.509999999995</v>
          </cell>
          <cell r="Y1346">
            <v>69635.12</v>
          </cell>
          <cell r="Z1346">
            <v>11123.31</v>
          </cell>
          <cell r="AA1346">
            <v>20828.18</v>
          </cell>
          <cell r="AB1346">
            <v>31473.42</v>
          </cell>
          <cell r="AC1346">
            <v>40679.620000000003</v>
          </cell>
          <cell r="AD1346">
            <v>47204.83</v>
          </cell>
          <cell r="AE1346">
            <v>59710.7</v>
          </cell>
          <cell r="AF1346">
            <v>71391.929999999993</v>
          </cell>
          <cell r="AG1346">
            <v>89839.71</v>
          </cell>
          <cell r="AH1346">
            <v>100241.96</v>
          </cell>
          <cell r="AI1346">
            <v>112541.98</v>
          </cell>
          <cell r="AJ1346">
            <v>122667.2</v>
          </cell>
          <cell r="AK1346">
            <v>134082.29</v>
          </cell>
          <cell r="AL1346">
            <v>0</v>
          </cell>
          <cell r="AM1346">
            <v>2</v>
          </cell>
          <cell r="AN1346" t="str">
            <v/>
          </cell>
          <cell r="AO1346">
            <v>0</v>
          </cell>
          <cell r="AP1346">
            <v>0</v>
          </cell>
          <cell r="AQ1346">
            <v>0</v>
          </cell>
          <cell r="AR1346">
            <v>690</v>
          </cell>
          <cell r="AS1346">
            <v>0</v>
          </cell>
          <cell r="AT1346" t="str">
            <v/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 t="str">
            <v/>
          </cell>
          <cell r="BK1346">
            <v>6000</v>
          </cell>
          <cell r="BL1346" t="str">
            <v>0</v>
          </cell>
          <cell r="BM1346" t="str">
            <v>1</v>
          </cell>
          <cell r="BN1346" t="str">
            <v/>
          </cell>
          <cell r="BO1346" t="str">
            <v/>
          </cell>
        </row>
        <row r="1347">
          <cell r="A1347">
            <v>1</v>
          </cell>
          <cell r="B1347">
            <v>4223202</v>
          </cell>
          <cell r="C1347" t="str">
            <v>MATIERE PREMIERE   ACHATS</v>
          </cell>
          <cell r="D1347" t="str">
            <v>BLANC 20 LBS</v>
          </cell>
          <cell r="E1347" t="str">
            <v>O</v>
          </cell>
          <cell r="F1347">
            <v>0</v>
          </cell>
          <cell r="G1347">
            <v>0</v>
          </cell>
          <cell r="H1347">
            <v>-10974.18</v>
          </cell>
          <cell r="I1347">
            <v>100901.32</v>
          </cell>
          <cell r="J1347">
            <v>111875.5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-22375.1</v>
          </cell>
          <cell r="Q1347">
            <v>-10974.18</v>
          </cell>
          <cell r="R1347">
            <v>-10974.18</v>
          </cell>
          <cell r="S1347">
            <v>-10974.18</v>
          </cell>
          <cell r="T1347">
            <v>-10974.18</v>
          </cell>
          <cell r="U1347">
            <v>-10974.18</v>
          </cell>
          <cell r="V1347">
            <v>-10974.18</v>
          </cell>
          <cell r="W1347">
            <v>-10974.18</v>
          </cell>
          <cell r="X1347">
            <v>-10974.18</v>
          </cell>
          <cell r="Y1347">
            <v>-10974.18</v>
          </cell>
          <cell r="Z1347">
            <v>0</v>
          </cell>
          <cell r="AA1347">
            <v>0</v>
          </cell>
          <cell r="AB1347">
            <v>8615.25</v>
          </cell>
          <cell r="AC1347">
            <v>8615.25</v>
          </cell>
          <cell r="AD1347">
            <v>40433.11</v>
          </cell>
          <cell r="AE1347">
            <v>104567.88</v>
          </cell>
          <cell r="AF1347">
            <v>104567.88</v>
          </cell>
          <cell r="AG1347">
            <v>104567.88</v>
          </cell>
          <cell r="AH1347">
            <v>233406.09</v>
          </cell>
          <cell r="AI1347">
            <v>330022.02</v>
          </cell>
          <cell r="AJ1347">
            <v>423298.31</v>
          </cell>
          <cell r="AK1347">
            <v>517465.12</v>
          </cell>
          <cell r="AL1347">
            <v>0</v>
          </cell>
          <cell r="AM1347">
            <v>2</v>
          </cell>
          <cell r="AN1347" t="str">
            <v/>
          </cell>
          <cell r="AO1347">
            <v>0</v>
          </cell>
          <cell r="AP1347">
            <v>0</v>
          </cell>
          <cell r="AQ1347">
            <v>0</v>
          </cell>
          <cell r="AR1347">
            <v>660</v>
          </cell>
          <cell r="AS1347">
            <v>0</v>
          </cell>
          <cell r="AT1347" t="str">
            <v/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1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 t="str">
            <v/>
          </cell>
          <cell r="BK1347">
            <v>5100</v>
          </cell>
          <cell r="BL1347" t="str">
            <v>0</v>
          </cell>
          <cell r="BM1347" t="str">
            <v>1</v>
          </cell>
          <cell r="BN1347" t="str">
            <v/>
          </cell>
          <cell r="BO1347" t="str">
            <v/>
          </cell>
        </row>
        <row r="1348">
          <cell r="A1348">
            <v>1</v>
          </cell>
          <cell r="B1348">
            <v>1332791</v>
          </cell>
          <cell r="C1348" t="str">
            <v>CATTERPILLAR</v>
          </cell>
          <cell r="D1348" t="str">
            <v/>
          </cell>
          <cell r="E1348" t="str">
            <v>O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47920.25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>
            <v>0</v>
          </cell>
          <cell r="AL1348">
            <v>0</v>
          </cell>
          <cell r="AM1348">
            <v>1</v>
          </cell>
          <cell r="AN1348" t="str">
            <v/>
          </cell>
          <cell r="AO1348">
            <v>0</v>
          </cell>
          <cell r="AP1348">
            <v>0</v>
          </cell>
          <cell r="AQ1348">
            <v>0</v>
          </cell>
          <cell r="AR1348">
            <v>290</v>
          </cell>
          <cell r="AS1348">
            <v>0</v>
          </cell>
          <cell r="AT1348" t="str">
            <v/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240</v>
          </cell>
          <cell r="BJ1348" t="str">
            <v/>
          </cell>
          <cell r="BK1348">
            <v>1700</v>
          </cell>
          <cell r="BL1348" t="str">
            <v>1</v>
          </cell>
          <cell r="BM1348" t="str">
            <v>1</v>
          </cell>
          <cell r="BN1348" t="str">
            <v/>
          </cell>
          <cell r="BO1348" t="str">
            <v/>
          </cell>
        </row>
        <row r="1349">
          <cell r="A1349">
            <v>1</v>
          </cell>
          <cell r="B1349">
            <v>1262300</v>
          </cell>
          <cell r="C1349" t="str">
            <v>INFORMATIQUE</v>
          </cell>
          <cell r="D1349" t="str">
            <v>TELXON POUR EXPEDITION</v>
          </cell>
          <cell r="E1349" t="str">
            <v>N</v>
          </cell>
          <cell r="F1349">
            <v>0</v>
          </cell>
          <cell r="G1349">
            <v>0</v>
          </cell>
          <cell r="H1349">
            <v>60824.36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60824.36</v>
          </cell>
          <cell r="O1349">
            <v>60824.36</v>
          </cell>
          <cell r="P1349">
            <v>60824.36</v>
          </cell>
          <cell r="Q1349">
            <v>60824.36</v>
          </cell>
          <cell r="R1349">
            <v>60824.36</v>
          </cell>
          <cell r="S1349">
            <v>60824.36</v>
          </cell>
          <cell r="T1349">
            <v>60824.36</v>
          </cell>
          <cell r="U1349">
            <v>60824.36</v>
          </cell>
          <cell r="V1349">
            <v>60824.36</v>
          </cell>
          <cell r="W1349">
            <v>60824.36</v>
          </cell>
          <cell r="X1349">
            <v>60824.36</v>
          </cell>
          <cell r="Y1349">
            <v>60824.36</v>
          </cell>
          <cell r="Z1349">
            <v>-3088.95</v>
          </cell>
          <cell r="AA1349">
            <v>-3088.95</v>
          </cell>
          <cell r="AB1349">
            <v>-3088.95</v>
          </cell>
          <cell r="AC1349">
            <v>42754.05</v>
          </cell>
          <cell r="AD1349">
            <v>47304.05</v>
          </cell>
          <cell r="AE1349">
            <v>47304.05</v>
          </cell>
          <cell r="AF1349">
            <v>47304.05</v>
          </cell>
          <cell r="AG1349">
            <v>47304.05</v>
          </cell>
          <cell r="AH1349">
            <v>57632.05</v>
          </cell>
          <cell r="AI1349">
            <v>60824.36</v>
          </cell>
          <cell r="AJ1349">
            <v>60824.36</v>
          </cell>
          <cell r="AK1349">
            <v>60824.36</v>
          </cell>
          <cell r="AL1349">
            <v>0</v>
          </cell>
          <cell r="AM1349">
            <v>0</v>
          </cell>
          <cell r="AN1349" t="str">
            <v/>
          </cell>
          <cell r="AO1349">
            <v>0</v>
          </cell>
          <cell r="AP1349">
            <v>0</v>
          </cell>
          <cell r="AQ1349">
            <v>0</v>
          </cell>
          <cell r="AR1349">
            <v>310</v>
          </cell>
          <cell r="AS1349">
            <v>0</v>
          </cell>
          <cell r="AT1349" t="str">
            <v/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36</v>
          </cell>
          <cell r="BJ1349" t="str">
            <v/>
          </cell>
          <cell r="BK1349">
            <v>1700</v>
          </cell>
          <cell r="BL1349" t="str">
            <v>1</v>
          </cell>
          <cell r="BM1349" t="str">
            <v>1</v>
          </cell>
          <cell r="BN1349" t="str">
            <v/>
          </cell>
          <cell r="BO1349" t="str">
            <v/>
          </cell>
        </row>
        <row r="1350">
          <cell r="A1350">
            <v>1</v>
          </cell>
          <cell r="B1350">
            <v>4631002</v>
          </cell>
          <cell r="C1350" t="str">
            <v>ENTREPOSAGE</v>
          </cell>
          <cell r="D1350" t="str">
            <v>BENNETSVILLE</v>
          </cell>
          <cell r="E1350" t="str">
            <v>O</v>
          </cell>
          <cell r="F1350">
            <v>0</v>
          </cell>
          <cell r="G1350">
            <v>0</v>
          </cell>
          <cell r="H1350">
            <v>120609.92</v>
          </cell>
          <cell r="I1350">
            <v>251007.26</v>
          </cell>
          <cell r="J1350">
            <v>130397.34</v>
          </cell>
          <cell r="K1350">
            <v>0</v>
          </cell>
          <cell r="L1350">
            <v>14043.83</v>
          </cell>
          <cell r="M1350">
            <v>0</v>
          </cell>
          <cell r="N1350">
            <v>1525</v>
          </cell>
          <cell r="O1350">
            <v>9334.5400000000009</v>
          </cell>
          <cell r="P1350">
            <v>28886.12</v>
          </cell>
          <cell r="Q1350">
            <v>39136.120000000003</v>
          </cell>
          <cell r="R1350">
            <v>51642.37</v>
          </cell>
          <cell r="S1350">
            <v>66262.320000000007</v>
          </cell>
          <cell r="T1350">
            <v>81095.600000000006</v>
          </cell>
          <cell r="U1350">
            <v>94167.42</v>
          </cell>
          <cell r="V1350">
            <v>106025.43</v>
          </cell>
          <cell r="W1350">
            <v>106025.43</v>
          </cell>
          <cell r="X1350">
            <v>120609.92</v>
          </cell>
          <cell r="Y1350">
            <v>134653.75</v>
          </cell>
          <cell r="Z1350">
            <v>0</v>
          </cell>
          <cell r="AA1350">
            <v>0</v>
          </cell>
          <cell r="AB1350">
            <v>48.24</v>
          </cell>
          <cell r="AC1350">
            <v>48.24</v>
          </cell>
          <cell r="AD1350">
            <v>48.24</v>
          </cell>
          <cell r="AE1350">
            <v>48.24</v>
          </cell>
          <cell r="AF1350">
            <v>50048.24</v>
          </cell>
          <cell r="AG1350">
            <v>2144.88</v>
          </cell>
          <cell r="AH1350">
            <v>54763.4</v>
          </cell>
          <cell r="AI1350">
            <v>65126.559999999998</v>
          </cell>
          <cell r="AJ1350">
            <v>64334.15</v>
          </cell>
          <cell r="AK1350">
            <v>87423.06</v>
          </cell>
          <cell r="AL1350">
            <v>0</v>
          </cell>
          <cell r="AM1350">
            <v>2</v>
          </cell>
          <cell r="AN1350" t="str">
            <v/>
          </cell>
          <cell r="AO1350">
            <v>0</v>
          </cell>
          <cell r="AP1350">
            <v>0</v>
          </cell>
          <cell r="AQ1350">
            <v>0</v>
          </cell>
          <cell r="AR1350">
            <v>710</v>
          </cell>
          <cell r="AS1350">
            <v>0</v>
          </cell>
          <cell r="AT1350" t="str">
            <v/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 t="str">
            <v/>
          </cell>
          <cell r="BK1350">
            <v>7000</v>
          </cell>
          <cell r="BL1350" t="str">
            <v>0</v>
          </cell>
          <cell r="BM1350" t="str">
            <v>1</v>
          </cell>
          <cell r="BN1350" t="str">
            <v/>
          </cell>
          <cell r="BO1350" t="str">
            <v/>
          </cell>
        </row>
        <row r="1351">
          <cell r="A1351">
            <v>1</v>
          </cell>
          <cell r="B1351">
            <v>4131002</v>
          </cell>
          <cell r="C1351" t="str">
            <v>ESCOMPTE</v>
          </cell>
          <cell r="D1351" t="str">
            <v>VENTE SUD PAR BENNET</v>
          </cell>
          <cell r="E1351" t="str">
            <v>O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2</v>
          </cell>
          <cell r="AN1351" t="str">
            <v/>
          </cell>
          <cell r="AO1351">
            <v>0</v>
          </cell>
          <cell r="AP1351">
            <v>0</v>
          </cell>
          <cell r="AQ1351">
            <v>0</v>
          </cell>
          <cell r="AR1351">
            <v>600</v>
          </cell>
          <cell r="AS1351">
            <v>0</v>
          </cell>
          <cell r="AT1351" t="str">
            <v/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 t="str">
            <v/>
          </cell>
          <cell r="BK1351">
            <v>4300</v>
          </cell>
          <cell r="BL1351" t="str">
            <v>0</v>
          </cell>
          <cell r="BM1351" t="str">
            <v>1</v>
          </cell>
          <cell r="BN1351" t="str">
            <v/>
          </cell>
          <cell r="BO1351" t="str">
            <v/>
          </cell>
        </row>
        <row r="1352">
          <cell r="A1352">
            <v>1</v>
          </cell>
          <cell r="B1352">
            <v>4141002</v>
          </cell>
          <cell r="C1352" t="str">
            <v>TRANSPORT</v>
          </cell>
          <cell r="D1352" t="str">
            <v>SUD U.S PAR BENNET</v>
          </cell>
          <cell r="E1352" t="str">
            <v>O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0</v>
          </cell>
          <cell r="AK1352">
            <v>0</v>
          </cell>
          <cell r="AL1352">
            <v>0</v>
          </cell>
          <cell r="AM1352">
            <v>2</v>
          </cell>
          <cell r="AN1352" t="str">
            <v/>
          </cell>
          <cell r="AO1352">
            <v>0</v>
          </cell>
          <cell r="AP1352">
            <v>0</v>
          </cell>
          <cell r="AQ1352">
            <v>0</v>
          </cell>
          <cell r="AR1352">
            <v>610</v>
          </cell>
          <cell r="AS1352">
            <v>0</v>
          </cell>
          <cell r="AT1352" t="str">
            <v/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 t="str">
            <v/>
          </cell>
          <cell r="BK1352">
            <v>4200</v>
          </cell>
          <cell r="BL1352" t="str">
            <v>0</v>
          </cell>
          <cell r="BM1352" t="str">
            <v>1</v>
          </cell>
          <cell r="BN1352" t="str">
            <v/>
          </cell>
          <cell r="BO1352" t="str">
            <v/>
          </cell>
        </row>
        <row r="1353">
          <cell r="A1353">
            <v>1</v>
          </cell>
          <cell r="B1353">
            <v>4811002</v>
          </cell>
          <cell r="C1353" t="str">
            <v>FRAIS DE VENTES SUD</v>
          </cell>
          <cell r="D1353" t="str">
            <v>3%BROK .9% ADM 3%PROFIT</v>
          </cell>
          <cell r="E1353" t="str">
            <v>O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>
            <v>0</v>
          </cell>
          <cell r="AL1353">
            <v>0</v>
          </cell>
          <cell r="AM1353">
            <v>2</v>
          </cell>
          <cell r="AN1353" t="str">
            <v/>
          </cell>
          <cell r="AO1353">
            <v>0</v>
          </cell>
          <cell r="AP1353">
            <v>0</v>
          </cell>
          <cell r="AQ1353">
            <v>0</v>
          </cell>
          <cell r="AR1353">
            <v>800</v>
          </cell>
          <cell r="AS1353">
            <v>0</v>
          </cell>
          <cell r="AT1353" t="str">
            <v/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 t="str">
            <v/>
          </cell>
          <cell r="BK1353">
            <v>4100</v>
          </cell>
          <cell r="BL1353" t="str">
            <v>0</v>
          </cell>
          <cell r="BM1353" t="str">
            <v>1</v>
          </cell>
          <cell r="BN1353" t="str">
            <v/>
          </cell>
          <cell r="BO1353" t="str">
            <v/>
          </cell>
        </row>
        <row r="1354">
          <cell r="A1354">
            <v>1</v>
          </cell>
          <cell r="B1354">
            <v>5212002</v>
          </cell>
          <cell r="C1354" t="str">
            <v>AUTRE DÉPENSE</v>
          </cell>
          <cell r="D1354" t="str">
            <v>ACHATS REVENTES SERVIETTE</v>
          </cell>
          <cell r="E1354" t="str">
            <v>O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2</v>
          </cell>
          <cell r="AN1354" t="str">
            <v/>
          </cell>
          <cell r="AO1354">
            <v>0</v>
          </cell>
          <cell r="AP1354">
            <v>0</v>
          </cell>
          <cell r="AQ1354">
            <v>0</v>
          </cell>
          <cell r="AR1354">
            <v>600</v>
          </cell>
          <cell r="AS1354">
            <v>0</v>
          </cell>
          <cell r="AT1354" t="str">
            <v/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 t="str">
            <v/>
          </cell>
          <cell r="BK1354">
            <v>8000</v>
          </cell>
          <cell r="BL1354" t="str">
            <v>0</v>
          </cell>
          <cell r="BM1354" t="str">
            <v>1</v>
          </cell>
          <cell r="BN1354" t="str">
            <v/>
          </cell>
          <cell r="BO1354" t="str">
            <v/>
          </cell>
        </row>
        <row r="1355">
          <cell r="A1355">
            <v>1</v>
          </cell>
          <cell r="B1355">
            <v>4220031</v>
          </cell>
          <cell r="C1355" t="str">
            <v>MATIERE PREMIERE   ACHATS</v>
          </cell>
          <cell r="D1355" t="str">
            <v>MIX-HIGH GRADE</v>
          </cell>
          <cell r="E1355" t="str">
            <v>O</v>
          </cell>
          <cell r="F1355">
            <v>0</v>
          </cell>
          <cell r="G1355">
            <v>0</v>
          </cell>
          <cell r="H1355">
            <v>48998.94</v>
          </cell>
          <cell r="I1355">
            <v>75986.350000000006</v>
          </cell>
          <cell r="J1355">
            <v>26987.41</v>
          </cell>
          <cell r="K1355">
            <v>0</v>
          </cell>
          <cell r="L1355">
            <v>8670.0400000000009</v>
          </cell>
          <cell r="M1355">
            <v>3478.22</v>
          </cell>
          <cell r="N1355">
            <v>1853.1</v>
          </cell>
          <cell r="O1355">
            <v>8701.17</v>
          </cell>
          <cell r="P1355">
            <v>13959.54</v>
          </cell>
          <cell r="Q1355">
            <v>25555.81</v>
          </cell>
          <cell r="R1355">
            <v>31333.98</v>
          </cell>
          <cell r="S1355">
            <v>31838.93</v>
          </cell>
          <cell r="T1355">
            <v>39132.949999999997</v>
          </cell>
          <cell r="U1355">
            <v>38954.83</v>
          </cell>
          <cell r="V1355">
            <v>43792.12</v>
          </cell>
          <cell r="W1355">
            <v>46509.94</v>
          </cell>
          <cell r="X1355">
            <v>48998.94</v>
          </cell>
          <cell r="Y1355">
            <v>54190.76</v>
          </cell>
          <cell r="Z1355">
            <v>21074.45</v>
          </cell>
          <cell r="AA1355">
            <v>32753.4</v>
          </cell>
          <cell r="AB1355">
            <v>50112.4</v>
          </cell>
          <cell r="AC1355">
            <v>72396.08</v>
          </cell>
          <cell r="AD1355">
            <v>86943.61</v>
          </cell>
          <cell r="AE1355">
            <v>109395.64</v>
          </cell>
          <cell r="AF1355">
            <v>137151.98000000001</v>
          </cell>
          <cell r="AG1355">
            <v>150267.84</v>
          </cell>
          <cell r="AH1355">
            <v>155865.23000000001</v>
          </cell>
          <cell r="AI1355">
            <v>159295.66</v>
          </cell>
          <cell r="AJ1355">
            <v>167712.78</v>
          </cell>
          <cell r="AK1355">
            <v>181465.41</v>
          </cell>
          <cell r="AL1355">
            <v>0</v>
          </cell>
          <cell r="AM1355">
            <v>1</v>
          </cell>
          <cell r="AN1355" t="str">
            <v/>
          </cell>
          <cell r="AO1355">
            <v>0</v>
          </cell>
          <cell r="AP1355">
            <v>0</v>
          </cell>
          <cell r="AQ1355">
            <v>0</v>
          </cell>
          <cell r="AR1355">
            <v>660</v>
          </cell>
          <cell r="AS1355">
            <v>0</v>
          </cell>
          <cell r="AT1355" t="str">
            <v/>
          </cell>
          <cell r="AU1355">
            <v>31</v>
          </cell>
          <cell r="AV1355">
            <v>0</v>
          </cell>
          <cell r="AW1355">
            <v>52.17</v>
          </cell>
          <cell r="AX1355">
            <v>0</v>
          </cell>
          <cell r="AY1355">
            <v>0</v>
          </cell>
          <cell r="AZ1355">
            <v>25.29</v>
          </cell>
          <cell r="BA1355">
            <v>0</v>
          </cell>
          <cell r="BB1355">
            <v>0</v>
          </cell>
          <cell r="BC1355">
            <v>1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 t="str">
            <v/>
          </cell>
          <cell r="BK1355">
            <v>5100</v>
          </cell>
          <cell r="BL1355" t="str">
            <v>0</v>
          </cell>
          <cell r="BM1355" t="str">
            <v>1</v>
          </cell>
          <cell r="BN1355" t="str">
            <v/>
          </cell>
          <cell r="BO1355" t="str">
            <v/>
          </cell>
        </row>
        <row r="1356">
          <cell r="A1356">
            <v>1</v>
          </cell>
          <cell r="B1356">
            <v>4210031</v>
          </cell>
          <cell r="C1356" t="str">
            <v>INV MAT PREM</v>
          </cell>
          <cell r="D1356" t="str">
            <v>MIX-HIGH GRADE</v>
          </cell>
          <cell r="E1356" t="str">
            <v>O</v>
          </cell>
          <cell r="F1356">
            <v>0</v>
          </cell>
          <cell r="G1356">
            <v>0</v>
          </cell>
          <cell r="H1356">
            <v>343</v>
          </cell>
          <cell r="I1356">
            <v>10400.15</v>
          </cell>
          <cell r="J1356">
            <v>10743.15</v>
          </cell>
          <cell r="K1356">
            <v>0</v>
          </cell>
          <cell r="L1356">
            <v>343</v>
          </cell>
          <cell r="M1356">
            <v>0</v>
          </cell>
          <cell r="N1356">
            <v>1442.48</v>
          </cell>
          <cell r="O1356">
            <v>1241</v>
          </cell>
          <cell r="P1356">
            <v>1514.87</v>
          </cell>
          <cell r="Q1356">
            <v>3172.06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343</v>
          </cell>
          <cell r="Y1356">
            <v>0</v>
          </cell>
          <cell r="Z1356">
            <v>3102</v>
          </cell>
          <cell r="AA1356">
            <v>0</v>
          </cell>
          <cell r="AB1356">
            <v>0</v>
          </cell>
          <cell r="AC1356">
            <v>2148</v>
          </cell>
          <cell r="AD1356">
            <v>0</v>
          </cell>
          <cell r="AE1356">
            <v>2635.72</v>
          </cell>
          <cell r="AF1356">
            <v>4215.58</v>
          </cell>
          <cell r="AG1356">
            <v>0</v>
          </cell>
          <cell r="AH1356">
            <v>2088</v>
          </cell>
          <cell r="AI1356">
            <v>0</v>
          </cell>
          <cell r="AJ1356">
            <v>0</v>
          </cell>
          <cell r="AK1356">
            <v>789.19</v>
          </cell>
          <cell r="AL1356">
            <v>0</v>
          </cell>
          <cell r="AM1356">
            <v>1</v>
          </cell>
          <cell r="AN1356" t="str">
            <v/>
          </cell>
          <cell r="AO1356">
            <v>0</v>
          </cell>
          <cell r="AP1356">
            <v>0</v>
          </cell>
          <cell r="AQ1356">
            <v>0</v>
          </cell>
          <cell r="AR1356">
            <v>650</v>
          </cell>
          <cell r="AS1356">
            <v>0</v>
          </cell>
          <cell r="AT1356" t="str">
            <v/>
          </cell>
          <cell r="AU1356">
            <v>0</v>
          </cell>
          <cell r="AV1356">
            <v>3.16</v>
          </cell>
          <cell r="AW1356">
            <v>0</v>
          </cell>
          <cell r="AX1356">
            <v>0</v>
          </cell>
          <cell r="AY1356">
            <v>0</v>
          </cell>
          <cell r="AZ1356">
            <v>-3.16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 t="str">
            <v/>
          </cell>
          <cell r="BK1356">
            <v>5100</v>
          </cell>
          <cell r="BL1356" t="str">
            <v>0</v>
          </cell>
          <cell r="BM1356" t="str">
            <v>1</v>
          </cell>
          <cell r="BN1356" t="str">
            <v/>
          </cell>
          <cell r="BO1356" t="str">
            <v/>
          </cell>
        </row>
        <row r="1357">
          <cell r="A1357">
            <v>1</v>
          </cell>
          <cell r="B1357">
            <v>4242301</v>
          </cell>
          <cell r="C1357" t="str">
            <v>ENVIRONNEMENT</v>
          </cell>
          <cell r="D1357" t="str">
            <v>DIBAC 230 DUBOIS</v>
          </cell>
          <cell r="E1357" t="str">
            <v>O</v>
          </cell>
          <cell r="F1357">
            <v>0</v>
          </cell>
          <cell r="G1357">
            <v>0</v>
          </cell>
          <cell r="H1357">
            <v>644</v>
          </cell>
          <cell r="I1357">
            <v>6813.28</v>
          </cell>
          <cell r="J1357">
            <v>6169.28</v>
          </cell>
          <cell r="K1357">
            <v>0</v>
          </cell>
          <cell r="L1357">
            <v>519</v>
          </cell>
          <cell r="M1357">
            <v>519</v>
          </cell>
          <cell r="N1357">
            <v>0</v>
          </cell>
          <cell r="O1357">
            <v>0</v>
          </cell>
          <cell r="P1357">
            <v>207.24</v>
          </cell>
          <cell r="Q1357">
            <v>296.12</v>
          </cell>
          <cell r="R1357">
            <v>607.24</v>
          </cell>
          <cell r="S1357">
            <v>643.79999999999995</v>
          </cell>
          <cell r="T1357">
            <v>643.79999999999995</v>
          </cell>
          <cell r="U1357">
            <v>643.79999999999995</v>
          </cell>
          <cell r="V1357">
            <v>643.79999999999995</v>
          </cell>
          <cell r="W1357">
            <v>644</v>
          </cell>
          <cell r="X1357">
            <v>644</v>
          </cell>
          <cell r="Y1357">
            <v>644</v>
          </cell>
          <cell r="Z1357">
            <v>0</v>
          </cell>
          <cell r="AA1357">
            <v>603.22</v>
          </cell>
          <cell r="AB1357">
            <v>789.34</v>
          </cell>
          <cell r="AC1357">
            <v>1161</v>
          </cell>
          <cell r="AD1357">
            <v>1443.15</v>
          </cell>
          <cell r="AE1357">
            <v>1921.22</v>
          </cell>
          <cell r="AF1357">
            <v>3039</v>
          </cell>
          <cell r="AG1357">
            <v>2879.47</v>
          </cell>
          <cell r="AH1357">
            <v>3072.52</v>
          </cell>
          <cell r="AI1357">
            <v>3327.36</v>
          </cell>
          <cell r="AJ1357">
            <v>3502.92</v>
          </cell>
          <cell r="AK1357">
            <v>3704.22</v>
          </cell>
          <cell r="AL1357">
            <v>0</v>
          </cell>
          <cell r="AM1357">
            <v>1</v>
          </cell>
          <cell r="AN1357" t="str">
            <v/>
          </cell>
          <cell r="AO1357">
            <v>0</v>
          </cell>
          <cell r="AP1357">
            <v>0</v>
          </cell>
          <cell r="AQ1357">
            <v>0</v>
          </cell>
          <cell r="AR1357">
            <v>740</v>
          </cell>
          <cell r="AS1357">
            <v>0</v>
          </cell>
          <cell r="AT1357" t="str">
            <v/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1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 t="str">
            <v/>
          </cell>
          <cell r="BK1357">
            <v>6300</v>
          </cell>
          <cell r="BL1357" t="str">
            <v>0</v>
          </cell>
          <cell r="BM1357" t="str">
            <v>1</v>
          </cell>
          <cell r="BN1357" t="str">
            <v/>
          </cell>
          <cell r="BO1357" t="str">
            <v/>
          </cell>
        </row>
        <row r="1358">
          <cell r="A1358">
            <v>1</v>
          </cell>
          <cell r="B1358">
            <v>4312301</v>
          </cell>
          <cell r="C1358" t="str">
            <v>CHIMIQUES</v>
          </cell>
          <cell r="D1358" t="str">
            <v>EX-CELL DUBOIS</v>
          </cell>
          <cell r="E1358" t="str">
            <v>O</v>
          </cell>
          <cell r="F1358">
            <v>0</v>
          </cell>
          <cell r="G1358">
            <v>0</v>
          </cell>
          <cell r="H1358">
            <v>25459.26</v>
          </cell>
          <cell r="I1358">
            <v>62051.87</v>
          </cell>
          <cell r="J1358">
            <v>36592.61</v>
          </cell>
          <cell r="K1358">
            <v>0</v>
          </cell>
          <cell r="L1358">
            <v>8590</v>
          </cell>
          <cell r="M1358">
            <v>4299</v>
          </cell>
          <cell r="N1358">
            <v>1422.85</v>
          </cell>
          <cell r="O1358">
            <v>3437.11</v>
          </cell>
          <cell r="P1358">
            <v>5992.03</v>
          </cell>
          <cell r="Q1358">
            <v>7367.32</v>
          </cell>
          <cell r="R1358">
            <v>10280.84</v>
          </cell>
          <cell r="S1358">
            <v>12733.5</v>
          </cell>
          <cell r="T1358">
            <v>15339.98</v>
          </cell>
          <cell r="U1358">
            <v>17893.259999999998</v>
          </cell>
          <cell r="V1358">
            <v>19876.86</v>
          </cell>
          <cell r="W1358">
            <v>22855.26</v>
          </cell>
          <cell r="X1358">
            <v>25459.26</v>
          </cell>
          <cell r="Y1358">
            <v>29750.26</v>
          </cell>
          <cell r="Z1358">
            <v>1316.68</v>
          </cell>
          <cell r="AA1358">
            <v>1454.66</v>
          </cell>
          <cell r="AB1358">
            <v>3530.06</v>
          </cell>
          <cell r="AC1358">
            <v>5229.26</v>
          </cell>
          <cell r="AD1358">
            <v>8230.16</v>
          </cell>
          <cell r="AE1358">
            <v>9179.66</v>
          </cell>
          <cell r="AF1358">
            <v>9599.66</v>
          </cell>
          <cell r="AG1358">
            <v>11579.66</v>
          </cell>
          <cell r="AH1358">
            <v>13358.06</v>
          </cell>
          <cell r="AI1358">
            <v>16192.46</v>
          </cell>
          <cell r="AJ1358">
            <v>17693.66</v>
          </cell>
          <cell r="AK1358">
            <v>19034.18</v>
          </cell>
          <cell r="AL1358">
            <v>0</v>
          </cell>
          <cell r="AM1358">
            <v>1</v>
          </cell>
          <cell r="AN1358" t="str">
            <v/>
          </cell>
          <cell r="AO1358">
            <v>0</v>
          </cell>
          <cell r="AP1358">
            <v>0</v>
          </cell>
          <cell r="AQ1358">
            <v>0</v>
          </cell>
          <cell r="AR1358">
            <v>660</v>
          </cell>
          <cell r="AS1358">
            <v>0</v>
          </cell>
          <cell r="AT1358" t="str">
            <v/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1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 t="str">
            <v/>
          </cell>
          <cell r="BK1358">
            <v>6200</v>
          </cell>
          <cell r="BL1358" t="str">
            <v>0</v>
          </cell>
          <cell r="BM1358" t="str">
            <v>1</v>
          </cell>
          <cell r="BN1358" t="str">
            <v/>
          </cell>
          <cell r="BO1358" t="str">
            <v/>
          </cell>
        </row>
        <row r="1359">
          <cell r="A1359">
            <v>1</v>
          </cell>
          <cell r="B1359">
            <v>5401002</v>
          </cell>
          <cell r="C1359" t="str">
            <v>IMPOT REPORTE</v>
          </cell>
          <cell r="D1359" t="str">
            <v>ESSUIE-MAINS</v>
          </cell>
          <cell r="E1359" t="str">
            <v>N</v>
          </cell>
          <cell r="F1359">
            <v>0</v>
          </cell>
          <cell r="G1359">
            <v>0</v>
          </cell>
          <cell r="H1359">
            <v>74634.62</v>
          </cell>
          <cell r="I1359">
            <v>90023.28</v>
          </cell>
          <cell r="J1359">
            <v>15388.66</v>
          </cell>
          <cell r="K1359">
            <v>0</v>
          </cell>
          <cell r="L1359">
            <v>6231.83</v>
          </cell>
          <cell r="M1359">
            <v>0</v>
          </cell>
          <cell r="N1359">
            <v>6180.17</v>
          </cell>
          <cell r="O1359">
            <v>2147.3000000000002</v>
          </cell>
          <cell r="P1359">
            <v>5705.15</v>
          </cell>
          <cell r="Q1359">
            <v>11933.1</v>
          </cell>
          <cell r="R1359">
            <v>21165.63</v>
          </cell>
          <cell r="S1359">
            <v>30639.3</v>
          </cell>
          <cell r="T1359">
            <v>43546.48</v>
          </cell>
          <cell r="U1359">
            <v>52617.48</v>
          </cell>
          <cell r="V1359">
            <v>59071.39</v>
          </cell>
          <cell r="W1359">
            <v>65735.95</v>
          </cell>
          <cell r="X1359">
            <v>74634.62</v>
          </cell>
          <cell r="Y1359">
            <v>80866.45</v>
          </cell>
          <cell r="Z1359">
            <v>61182.2</v>
          </cell>
          <cell r="AA1359">
            <v>106857.37</v>
          </cell>
          <cell r="AB1359">
            <v>142592.6</v>
          </cell>
          <cell r="AC1359">
            <v>173126.8</v>
          </cell>
          <cell r="AD1359">
            <v>225259.8</v>
          </cell>
          <cell r="AE1359">
            <v>285376.17</v>
          </cell>
          <cell r="AF1359">
            <v>371831.17</v>
          </cell>
          <cell r="AG1359">
            <v>455531.59</v>
          </cell>
          <cell r="AH1359">
            <v>485093.77</v>
          </cell>
          <cell r="AI1359">
            <v>510953.53</v>
          </cell>
          <cell r="AJ1359">
            <v>551339.42000000004</v>
          </cell>
          <cell r="AK1359">
            <v>593759.42000000004</v>
          </cell>
          <cell r="AL1359">
            <v>0</v>
          </cell>
          <cell r="AM1359">
            <v>2</v>
          </cell>
          <cell r="AN1359" t="str">
            <v/>
          </cell>
          <cell r="AO1359">
            <v>0</v>
          </cell>
          <cell r="AP1359">
            <v>0</v>
          </cell>
          <cell r="AQ1359">
            <v>0</v>
          </cell>
          <cell r="AR1359">
            <v>960</v>
          </cell>
          <cell r="AS1359">
            <v>0</v>
          </cell>
          <cell r="AT1359" t="str">
            <v/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 t="str">
            <v/>
          </cell>
          <cell r="BK1359">
            <v>8900</v>
          </cell>
          <cell r="BL1359" t="str">
            <v>0</v>
          </cell>
          <cell r="BM1359" t="str">
            <v>1</v>
          </cell>
          <cell r="BN1359" t="str">
            <v/>
          </cell>
          <cell r="BO1359" t="str">
            <v/>
          </cell>
        </row>
        <row r="1360">
          <cell r="A1360">
            <v>1</v>
          </cell>
          <cell r="B1360">
            <v>5401003</v>
          </cell>
          <cell r="C1360" t="str">
            <v>IMPOT REPORTE</v>
          </cell>
          <cell r="D1360" t="str">
            <v>SACS</v>
          </cell>
          <cell r="E1360" t="str">
            <v>N</v>
          </cell>
          <cell r="F1360">
            <v>0</v>
          </cell>
          <cell r="G1360">
            <v>0</v>
          </cell>
          <cell r="H1360">
            <v>-6823.3</v>
          </cell>
          <cell r="I1360">
            <v>2706.44</v>
          </cell>
          <cell r="J1360">
            <v>9529.74</v>
          </cell>
          <cell r="K1360">
            <v>0</v>
          </cell>
          <cell r="L1360">
            <v>0</v>
          </cell>
          <cell r="M1360">
            <v>2719.08</v>
          </cell>
          <cell r="N1360">
            <v>-1054.82</v>
          </cell>
          <cell r="O1360">
            <v>-1207.53</v>
          </cell>
          <cell r="P1360">
            <v>-1862.99</v>
          </cell>
          <cell r="Q1360">
            <v>-2210.81</v>
          </cell>
          <cell r="R1360">
            <v>-2609.41</v>
          </cell>
          <cell r="S1360">
            <v>-3411.57</v>
          </cell>
          <cell r="T1360">
            <v>-2818.1</v>
          </cell>
          <cell r="U1360">
            <v>-4142.3100000000004</v>
          </cell>
          <cell r="V1360">
            <v>-5647.21</v>
          </cell>
          <cell r="W1360">
            <v>-6278</v>
          </cell>
          <cell r="X1360">
            <v>-6823.3</v>
          </cell>
          <cell r="Y1360">
            <v>-9542.3799999999992</v>
          </cell>
          <cell r="Z1360">
            <v>-10420.969999999999</v>
          </cell>
          <cell r="AA1360">
            <v>-14407.89</v>
          </cell>
          <cell r="AB1360">
            <v>-5649.73</v>
          </cell>
          <cell r="AC1360">
            <v>-17582.71</v>
          </cell>
          <cell r="AD1360">
            <v>-23553.71</v>
          </cell>
          <cell r="AE1360">
            <v>-22601.73</v>
          </cell>
          <cell r="AF1360">
            <v>-26731.73</v>
          </cell>
          <cell r="AG1360">
            <v>-32017.31</v>
          </cell>
          <cell r="AH1360">
            <v>-31220.87</v>
          </cell>
          <cell r="AI1360">
            <v>-40206.370000000003</v>
          </cell>
          <cell r="AJ1360">
            <v>-34657.760000000002</v>
          </cell>
          <cell r="AK1360">
            <v>-36067.760000000002</v>
          </cell>
          <cell r="AL1360">
            <v>0</v>
          </cell>
          <cell r="AM1360">
            <v>3</v>
          </cell>
          <cell r="AN1360" t="str">
            <v/>
          </cell>
          <cell r="AO1360">
            <v>0</v>
          </cell>
          <cell r="AP1360">
            <v>0</v>
          </cell>
          <cell r="AQ1360">
            <v>0</v>
          </cell>
          <cell r="AR1360">
            <v>960</v>
          </cell>
          <cell r="AS1360">
            <v>0</v>
          </cell>
          <cell r="AT1360" t="str">
            <v/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 t="str">
            <v/>
          </cell>
          <cell r="BK1360">
            <v>8900</v>
          </cell>
          <cell r="BL1360" t="str">
            <v>0</v>
          </cell>
          <cell r="BM1360" t="str">
            <v>1</v>
          </cell>
          <cell r="BN1360" t="str">
            <v/>
          </cell>
          <cell r="BO1360" t="str">
            <v/>
          </cell>
        </row>
        <row r="1361">
          <cell r="A1361">
            <v>1</v>
          </cell>
          <cell r="B1361">
            <v>5251012</v>
          </cell>
          <cell r="C1361" t="str">
            <v>FRAIS DE GESTION</v>
          </cell>
          <cell r="D1361" t="str">
            <v>ESSUIE-MAINS</v>
          </cell>
          <cell r="E1361" t="str">
            <v>O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0</v>
          </cell>
          <cell r="AK1361">
            <v>0</v>
          </cell>
          <cell r="AL1361">
            <v>0</v>
          </cell>
          <cell r="AM1361">
            <v>2</v>
          </cell>
          <cell r="AN1361" t="str">
            <v/>
          </cell>
          <cell r="AO1361">
            <v>0</v>
          </cell>
          <cell r="AP1361">
            <v>0</v>
          </cell>
          <cell r="AQ1361">
            <v>0</v>
          </cell>
          <cell r="AR1361">
            <v>690</v>
          </cell>
          <cell r="AS1361">
            <v>0</v>
          </cell>
          <cell r="AT1361" t="str">
            <v/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 t="str">
            <v/>
          </cell>
          <cell r="BK1361">
            <v>8000</v>
          </cell>
          <cell r="BL1361" t="str">
            <v>0</v>
          </cell>
          <cell r="BM1361" t="str">
            <v>1</v>
          </cell>
          <cell r="BN1361" t="str">
            <v/>
          </cell>
          <cell r="BO1361" t="str">
            <v/>
          </cell>
        </row>
        <row r="1362">
          <cell r="A1362">
            <v>1</v>
          </cell>
          <cell r="B1362">
            <v>5251013</v>
          </cell>
          <cell r="C1362" t="str">
            <v>FRAIS DE GESTION</v>
          </cell>
          <cell r="D1362" t="str">
            <v>SACS</v>
          </cell>
          <cell r="E1362" t="str">
            <v>O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0</v>
          </cell>
          <cell r="AK1362">
            <v>0</v>
          </cell>
          <cell r="AL1362">
            <v>0</v>
          </cell>
          <cell r="AM1362">
            <v>3</v>
          </cell>
          <cell r="AN1362" t="str">
            <v/>
          </cell>
          <cell r="AO1362">
            <v>0</v>
          </cell>
          <cell r="AP1362">
            <v>0</v>
          </cell>
          <cell r="AQ1362">
            <v>0</v>
          </cell>
          <cell r="AR1362">
            <v>690</v>
          </cell>
          <cell r="AS1362">
            <v>0</v>
          </cell>
          <cell r="AT1362" t="str">
            <v/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 t="str">
            <v/>
          </cell>
          <cell r="BK1362">
            <v>8000</v>
          </cell>
          <cell r="BL1362" t="str">
            <v>0</v>
          </cell>
          <cell r="BM1362" t="str">
            <v>1</v>
          </cell>
          <cell r="BN1362" t="str">
            <v/>
          </cell>
          <cell r="BO1362" t="str">
            <v/>
          </cell>
        </row>
        <row r="1363">
          <cell r="A1363">
            <v>1</v>
          </cell>
          <cell r="B1363">
            <v>4271012</v>
          </cell>
          <cell r="C1363" t="str">
            <v>SOUS-TRAITANCE</v>
          </cell>
          <cell r="D1363" t="str">
            <v>PLI SIMPLE</v>
          </cell>
          <cell r="E1363" t="str">
            <v>O</v>
          </cell>
          <cell r="F1363">
            <v>0</v>
          </cell>
          <cell r="G1363">
            <v>0</v>
          </cell>
          <cell r="H1363">
            <v>0</v>
          </cell>
          <cell r="I1363">
            <v>18900</v>
          </cell>
          <cell r="J1363">
            <v>18900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18900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-6210</v>
          </cell>
          <cell r="AC1363">
            <v>1044.52</v>
          </cell>
          <cell r="AD1363">
            <v>1044.52</v>
          </cell>
          <cell r="AE1363">
            <v>1044.52</v>
          </cell>
          <cell r="AF1363">
            <v>1044.52</v>
          </cell>
          <cell r="AG1363">
            <v>1044.52</v>
          </cell>
          <cell r="AH1363">
            <v>1044.52</v>
          </cell>
          <cell r="AI1363">
            <v>1044.52</v>
          </cell>
          <cell r="AJ1363">
            <v>1044.52</v>
          </cell>
          <cell r="AK1363">
            <v>5191.92</v>
          </cell>
          <cell r="AL1363">
            <v>0</v>
          </cell>
          <cell r="AM1363">
            <v>2</v>
          </cell>
          <cell r="AN1363" t="str">
            <v/>
          </cell>
          <cell r="AO1363">
            <v>0</v>
          </cell>
          <cell r="AP1363">
            <v>0</v>
          </cell>
          <cell r="AQ1363">
            <v>0</v>
          </cell>
          <cell r="AR1363">
            <v>702</v>
          </cell>
          <cell r="AS1363">
            <v>0</v>
          </cell>
          <cell r="AT1363" t="str">
            <v/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 t="str">
            <v/>
          </cell>
          <cell r="BK1363">
            <v>6300</v>
          </cell>
          <cell r="BL1363" t="str">
            <v>0</v>
          </cell>
          <cell r="BM1363" t="str">
            <v>1</v>
          </cell>
          <cell r="BN1363" t="str">
            <v/>
          </cell>
          <cell r="BO1363" t="str">
            <v/>
          </cell>
        </row>
        <row r="1364">
          <cell r="A1364">
            <v>1</v>
          </cell>
          <cell r="B1364">
            <v>4271022</v>
          </cell>
          <cell r="C1364" t="str">
            <v>SOUS-TRAITANCE 101756</v>
          </cell>
          <cell r="D1364" t="str">
            <v>ROULEAUX       101767</v>
          </cell>
          <cell r="E1364" t="str">
            <v>O</v>
          </cell>
          <cell r="F1364">
            <v>0</v>
          </cell>
          <cell r="G1364">
            <v>0</v>
          </cell>
          <cell r="H1364">
            <v>815103.71</v>
          </cell>
          <cell r="I1364">
            <v>984385.81</v>
          </cell>
          <cell r="J1364">
            <v>169282.1</v>
          </cell>
          <cell r="K1364">
            <v>0</v>
          </cell>
          <cell r="L1364">
            <v>177610.77</v>
          </cell>
          <cell r="M1364">
            <v>35534.019999999997</v>
          </cell>
          <cell r="N1364">
            <v>7428.9</v>
          </cell>
          <cell r="O1364">
            <v>196426.53</v>
          </cell>
          <cell r="P1364">
            <v>196426.53</v>
          </cell>
          <cell r="Q1364">
            <v>196426.53</v>
          </cell>
          <cell r="R1364">
            <v>219062.32</v>
          </cell>
          <cell r="S1364">
            <v>383219.83</v>
          </cell>
          <cell r="T1364">
            <v>434285.24</v>
          </cell>
          <cell r="U1364">
            <v>435460.3</v>
          </cell>
          <cell r="V1364">
            <v>465525.78</v>
          </cell>
          <cell r="W1364">
            <v>612739.23</v>
          </cell>
          <cell r="X1364">
            <v>815103.71</v>
          </cell>
          <cell r="Y1364">
            <v>957180.46</v>
          </cell>
          <cell r="Z1364">
            <v>31919.7</v>
          </cell>
          <cell r="AA1364">
            <v>115661.39</v>
          </cell>
          <cell r="AB1364">
            <v>342737.39</v>
          </cell>
          <cell r="AC1364">
            <v>502431.19</v>
          </cell>
          <cell r="AD1364">
            <v>701167.46</v>
          </cell>
          <cell r="AE1364">
            <v>819120.88</v>
          </cell>
          <cell r="AF1364">
            <v>1051324.17</v>
          </cell>
          <cell r="AG1364">
            <v>1167378.97</v>
          </cell>
          <cell r="AH1364">
            <v>1283974.04</v>
          </cell>
          <cell r="AI1364">
            <v>1632269.51</v>
          </cell>
          <cell r="AJ1364">
            <v>1849809.81</v>
          </cell>
          <cell r="AK1364">
            <v>1856248.41</v>
          </cell>
          <cell r="AL1364">
            <v>0</v>
          </cell>
          <cell r="AM1364">
            <v>2</v>
          </cell>
          <cell r="AN1364" t="str">
            <v/>
          </cell>
          <cell r="AO1364">
            <v>0</v>
          </cell>
          <cell r="AP1364">
            <v>0</v>
          </cell>
          <cell r="AQ1364">
            <v>0</v>
          </cell>
          <cell r="AR1364">
            <v>702</v>
          </cell>
          <cell r="AS1364">
            <v>0</v>
          </cell>
          <cell r="AT1364" t="str">
            <v/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20756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 t="str">
            <v/>
          </cell>
          <cell r="BK1364">
            <v>6300</v>
          </cell>
          <cell r="BL1364" t="str">
            <v>0</v>
          </cell>
          <cell r="BM1364" t="str">
            <v>1</v>
          </cell>
          <cell r="BN1364" t="str">
            <v/>
          </cell>
          <cell r="BO1364" t="str">
            <v/>
          </cell>
        </row>
        <row r="1365">
          <cell r="A1365">
            <v>1</v>
          </cell>
          <cell r="B1365">
            <v>1372760</v>
          </cell>
          <cell r="C1365" t="str">
            <v>MATERIEL ROULANT</v>
          </cell>
          <cell r="D1365" t="str">
            <v>CHARIOT A PINCE 72"</v>
          </cell>
          <cell r="E1365" t="str">
            <v>O</v>
          </cell>
          <cell r="F1365">
            <v>0</v>
          </cell>
          <cell r="G1365">
            <v>72500</v>
          </cell>
          <cell r="H1365">
            <v>67866.559999999998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67866.559999999998</v>
          </cell>
          <cell r="O1365">
            <v>67866.559999999998</v>
          </cell>
          <cell r="P1365">
            <v>67866.559999999998</v>
          </cell>
          <cell r="Q1365">
            <v>67866.559999999998</v>
          </cell>
          <cell r="R1365">
            <v>67866.559999999998</v>
          </cell>
          <cell r="S1365">
            <v>67866.559999999998</v>
          </cell>
          <cell r="T1365">
            <v>67866.559999999998</v>
          </cell>
          <cell r="U1365">
            <v>67866.559999999998</v>
          </cell>
          <cell r="V1365">
            <v>67866.559999999998</v>
          </cell>
          <cell r="W1365">
            <v>67866.559999999998</v>
          </cell>
          <cell r="X1365">
            <v>67866.559999999998</v>
          </cell>
          <cell r="Y1365">
            <v>67866.559999999998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  <cell r="AF1365">
            <v>67866.559999999998</v>
          </cell>
          <cell r="AG1365">
            <v>67866.559999999998</v>
          </cell>
          <cell r="AH1365">
            <v>67866.559999999998</v>
          </cell>
          <cell r="AI1365">
            <v>67866.559999999998</v>
          </cell>
          <cell r="AJ1365">
            <v>67866.559999999998</v>
          </cell>
          <cell r="AK1365">
            <v>67866.559999999998</v>
          </cell>
          <cell r="AL1365">
            <v>0</v>
          </cell>
          <cell r="AM1365">
            <v>0</v>
          </cell>
          <cell r="AN1365" t="str">
            <v/>
          </cell>
          <cell r="AO1365">
            <v>0</v>
          </cell>
          <cell r="AP1365">
            <v>0</v>
          </cell>
          <cell r="AQ1365">
            <v>0</v>
          </cell>
          <cell r="AR1365">
            <v>320</v>
          </cell>
          <cell r="AS1365">
            <v>0</v>
          </cell>
          <cell r="AT1365" t="str">
            <v/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60</v>
          </cell>
          <cell r="BJ1365" t="str">
            <v/>
          </cell>
          <cell r="BK1365">
            <v>1700</v>
          </cell>
          <cell r="BL1365" t="str">
            <v>1</v>
          </cell>
          <cell r="BM1365" t="str">
            <v>1</v>
          </cell>
          <cell r="BN1365" t="str">
            <v/>
          </cell>
          <cell r="BO1365" t="str">
            <v/>
          </cell>
        </row>
        <row r="1366">
          <cell r="A1366">
            <v>1</v>
          </cell>
          <cell r="B1366">
            <v>1332821</v>
          </cell>
          <cell r="C1366" t="str">
            <v>OPTIMISATION FILTRE</v>
          </cell>
          <cell r="D1366" t="str">
            <v>RONNINGEN-PETTER</v>
          </cell>
          <cell r="E1366" t="str">
            <v>O</v>
          </cell>
          <cell r="F1366">
            <v>0</v>
          </cell>
          <cell r="G1366">
            <v>20000</v>
          </cell>
          <cell r="H1366">
            <v>13110.4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13110.4</v>
          </cell>
          <cell r="O1366">
            <v>13110.4</v>
          </cell>
          <cell r="P1366">
            <v>13110.4</v>
          </cell>
          <cell r="Q1366">
            <v>13110.4</v>
          </cell>
          <cell r="R1366">
            <v>13110.4</v>
          </cell>
          <cell r="S1366">
            <v>13110.4</v>
          </cell>
          <cell r="T1366">
            <v>13110.4</v>
          </cell>
          <cell r="U1366">
            <v>13110.4</v>
          </cell>
          <cell r="V1366">
            <v>13110.4</v>
          </cell>
          <cell r="W1366">
            <v>13110.4</v>
          </cell>
          <cell r="X1366">
            <v>13110.4</v>
          </cell>
          <cell r="Y1366">
            <v>13110.4</v>
          </cell>
          <cell r="Z1366">
            <v>11413.05</v>
          </cell>
          <cell r="AA1366">
            <v>13007.85</v>
          </cell>
          <cell r="AB1366">
            <v>14146.22</v>
          </cell>
          <cell r="AC1366">
            <v>14146.22</v>
          </cell>
          <cell r="AD1366">
            <v>14260.64</v>
          </cell>
          <cell r="AE1366">
            <v>14260.64</v>
          </cell>
          <cell r="AF1366">
            <v>14260.64</v>
          </cell>
          <cell r="AG1366">
            <v>14260.64</v>
          </cell>
          <cell r="AH1366">
            <v>13110.4</v>
          </cell>
          <cell r="AI1366">
            <v>13110.4</v>
          </cell>
          <cell r="AJ1366">
            <v>13110.4</v>
          </cell>
          <cell r="AK1366">
            <v>13110.4</v>
          </cell>
          <cell r="AL1366">
            <v>0</v>
          </cell>
          <cell r="AM1366">
            <v>1</v>
          </cell>
          <cell r="AN1366" t="str">
            <v/>
          </cell>
          <cell r="AO1366">
            <v>0</v>
          </cell>
          <cell r="AP1366">
            <v>0</v>
          </cell>
          <cell r="AQ1366">
            <v>0</v>
          </cell>
          <cell r="AR1366">
            <v>290</v>
          </cell>
          <cell r="AS1366">
            <v>0</v>
          </cell>
          <cell r="AT1366" t="str">
            <v/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240</v>
          </cell>
          <cell r="BJ1366" t="str">
            <v/>
          </cell>
          <cell r="BK1366">
            <v>1700</v>
          </cell>
          <cell r="BL1366" t="str">
            <v>1</v>
          </cell>
          <cell r="BM1366" t="str">
            <v>1</v>
          </cell>
          <cell r="BN1366" t="str">
            <v/>
          </cell>
          <cell r="BO1366" t="str">
            <v/>
          </cell>
        </row>
        <row r="1367">
          <cell r="A1367">
            <v>1</v>
          </cell>
          <cell r="B1367">
            <v>1332811</v>
          </cell>
          <cell r="C1367" t="str">
            <v>LUBRIFICATION</v>
          </cell>
          <cell r="D1367" t="str">
            <v>MACHINE A PAPIER</v>
          </cell>
          <cell r="E1367" t="str">
            <v>O</v>
          </cell>
          <cell r="F1367">
            <v>0</v>
          </cell>
          <cell r="G1367">
            <v>10000</v>
          </cell>
          <cell r="H1367">
            <v>11609.2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11609.2</v>
          </cell>
          <cell r="O1367">
            <v>11609.2</v>
          </cell>
          <cell r="P1367">
            <v>11609.2</v>
          </cell>
          <cell r="Q1367">
            <v>11609.2</v>
          </cell>
          <cell r="R1367">
            <v>11609.2</v>
          </cell>
          <cell r="S1367">
            <v>11609.2</v>
          </cell>
          <cell r="T1367">
            <v>11609.2</v>
          </cell>
          <cell r="U1367">
            <v>11609.2</v>
          </cell>
          <cell r="V1367">
            <v>11609.2</v>
          </cell>
          <cell r="W1367">
            <v>11609.2</v>
          </cell>
          <cell r="X1367">
            <v>11609.2</v>
          </cell>
          <cell r="Y1367">
            <v>11609.2</v>
          </cell>
          <cell r="Z1367">
            <v>11609.2</v>
          </cell>
          <cell r="AA1367">
            <v>11609.2</v>
          </cell>
          <cell r="AB1367">
            <v>11609.2</v>
          </cell>
          <cell r="AC1367">
            <v>11609.2</v>
          </cell>
          <cell r="AD1367">
            <v>11609.2</v>
          </cell>
          <cell r="AE1367">
            <v>11609.2</v>
          </cell>
          <cell r="AF1367">
            <v>11609.2</v>
          </cell>
          <cell r="AG1367">
            <v>11609.2</v>
          </cell>
          <cell r="AH1367">
            <v>11609.2</v>
          </cell>
          <cell r="AI1367">
            <v>11609.2</v>
          </cell>
          <cell r="AJ1367">
            <v>11609.2</v>
          </cell>
          <cell r="AK1367">
            <v>11609.2</v>
          </cell>
          <cell r="AL1367">
            <v>0</v>
          </cell>
          <cell r="AM1367">
            <v>1</v>
          </cell>
          <cell r="AN1367" t="str">
            <v/>
          </cell>
          <cell r="AO1367">
            <v>0</v>
          </cell>
          <cell r="AP1367">
            <v>0</v>
          </cell>
          <cell r="AQ1367">
            <v>0</v>
          </cell>
          <cell r="AR1367">
            <v>290</v>
          </cell>
          <cell r="AS1367">
            <v>0</v>
          </cell>
          <cell r="AT1367" t="str">
            <v/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240</v>
          </cell>
          <cell r="BJ1367" t="str">
            <v/>
          </cell>
          <cell r="BK1367">
            <v>1700</v>
          </cell>
          <cell r="BL1367" t="str">
            <v>1</v>
          </cell>
          <cell r="BM1367" t="str">
            <v>1</v>
          </cell>
          <cell r="BN1367" t="str">
            <v/>
          </cell>
          <cell r="BO1367" t="str">
            <v/>
          </cell>
        </row>
        <row r="1368">
          <cell r="A1368">
            <v>1</v>
          </cell>
          <cell r="B1368">
            <v>1332861</v>
          </cell>
          <cell r="C1368" t="str">
            <v>REDUCTION ET FILTRATION</v>
          </cell>
          <cell r="D1368" t="str">
            <v>D'EAU</v>
          </cell>
          <cell r="E1368" t="str">
            <v>O</v>
          </cell>
          <cell r="F1368">
            <v>0</v>
          </cell>
          <cell r="G1368">
            <v>700000</v>
          </cell>
          <cell r="H1368">
            <v>3699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3699</v>
          </cell>
          <cell r="O1368">
            <v>3699</v>
          </cell>
          <cell r="P1368">
            <v>3699</v>
          </cell>
          <cell r="Q1368">
            <v>3699</v>
          </cell>
          <cell r="R1368">
            <v>3699</v>
          </cell>
          <cell r="S1368">
            <v>3699</v>
          </cell>
          <cell r="T1368">
            <v>3699</v>
          </cell>
          <cell r="U1368">
            <v>3699</v>
          </cell>
          <cell r="V1368">
            <v>3699</v>
          </cell>
          <cell r="W1368">
            <v>3699</v>
          </cell>
          <cell r="X1368">
            <v>3699</v>
          </cell>
          <cell r="Y1368">
            <v>3699</v>
          </cell>
          <cell r="Z1368">
            <v>3699</v>
          </cell>
          <cell r="AA1368">
            <v>3699</v>
          </cell>
          <cell r="AB1368">
            <v>3699</v>
          </cell>
          <cell r="AC1368">
            <v>3699</v>
          </cell>
          <cell r="AD1368">
            <v>3699</v>
          </cell>
          <cell r="AE1368">
            <v>3699</v>
          </cell>
          <cell r="AF1368">
            <v>3699</v>
          </cell>
          <cell r="AG1368">
            <v>3699</v>
          </cell>
          <cell r="AH1368">
            <v>3699</v>
          </cell>
          <cell r="AI1368">
            <v>3699</v>
          </cell>
          <cell r="AJ1368">
            <v>3699</v>
          </cell>
          <cell r="AK1368">
            <v>3699</v>
          </cell>
          <cell r="AL1368">
            <v>0</v>
          </cell>
          <cell r="AM1368">
            <v>1</v>
          </cell>
          <cell r="AN1368" t="str">
            <v/>
          </cell>
          <cell r="AO1368">
            <v>0</v>
          </cell>
          <cell r="AP1368">
            <v>0</v>
          </cell>
          <cell r="AQ1368">
            <v>0</v>
          </cell>
          <cell r="AR1368">
            <v>290</v>
          </cell>
          <cell r="AS1368">
            <v>0</v>
          </cell>
          <cell r="AT1368" t="str">
            <v/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240</v>
          </cell>
          <cell r="BJ1368" t="str">
            <v/>
          </cell>
          <cell r="BK1368">
            <v>1700</v>
          </cell>
          <cell r="BL1368" t="str">
            <v>1</v>
          </cell>
          <cell r="BM1368" t="str">
            <v>1</v>
          </cell>
          <cell r="BN1368" t="str">
            <v/>
          </cell>
          <cell r="BO1368" t="str">
            <v/>
          </cell>
        </row>
        <row r="1369">
          <cell r="A1369">
            <v>1</v>
          </cell>
          <cell r="B1369">
            <v>1372550</v>
          </cell>
          <cell r="C1369" t="str">
            <v>MATERIEL ROULANT</v>
          </cell>
          <cell r="D1369" t="str">
            <v>TRANSPALLET HEWIT</v>
          </cell>
          <cell r="E1369" t="str">
            <v>O</v>
          </cell>
          <cell r="F1369">
            <v>0</v>
          </cell>
          <cell r="G1369">
            <v>0</v>
          </cell>
          <cell r="H1369">
            <v>4995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4995</v>
          </cell>
          <cell r="O1369">
            <v>4995</v>
          </cell>
          <cell r="P1369">
            <v>4995</v>
          </cell>
          <cell r="Q1369">
            <v>4995</v>
          </cell>
          <cell r="R1369">
            <v>4995</v>
          </cell>
          <cell r="S1369">
            <v>4995</v>
          </cell>
          <cell r="T1369">
            <v>4995</v>
          </cell>
          <cell r="U1369">
            <v>4995</v>
          </cell>
          <cell r="V1369">
            <v>4995</v>
          </cell>
          <cell r="W1369">
            <v>4995</v>
          </cell>
          <cell r="X1369">
            <v>4995</v>
          </cell>
          <cell r="Y1369">
            <v>4995</v>
          </cell>
          <cell r="Z1369">
            <v>0</v>
          </cell>
          <cell r="AA1369">
            <v>0</v>
          </cell>
          <cell r="AB1369">
            <v>4995</v>
          </cell>
          <cell r="AC1369">
            <v>4995</v>
          </cell>
          <cell r="AD1369">
            <v>4995</v>
          </cell>
          <cell r="AE1369">
            <v>4995</v>
          </cell>
          <cell r="AF1369">
            <v>4995</v>
          </cell>
          <cell r="AG1369">
            <v>4995</v>
          </cell>
          <cell r="AH1369">
            <v>4995</v>
          </cell>
          <cell r="AI1369">
            <v>4995</v>
          </cell>
          <cell r="AJ1369">
            <v>4995</v>
          </cell>
          <cell r="AK1369">
            <v>4995</v>
          </cell>
          <cell r="AL1369">
            <v>0</v>
          </cell>
          <cell r="AM1369">
            <v>0</v>
          </cell>
          <cell r="AN1369" t="str">
            <v/>
          </cell>
          <cell r="AO1369">
            <v>0</v>
          </cell>
          <cell r="AP1369">
            <v>0</v>
          </cell>
          <cell r="AQ1369">
            <v>0</v>
          </cell>
          <cell r="AR1369">
            <v>320</v>
          </cell>
          <cell r="AS1369">
            <v>0</v>
          </cell>
          <cell r="AT1369" t="str">
            <v/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60</v>
          </cell>
          <cell r="BJ1369" t="str">
            <v/>
          </cell>
          <cell r="BK1369">
            <v>1700</v>
          </cell>
          <cell r="BL1369" t="str">
            <v>1</v>
          </cell>
          <cell r="BM1369" t="str">
            <v>1</v>
          </cell>
          <cell r="BN1369" t="str">
            <v/>
          </cell>
          <cell r="BO1369" t="str">
            <v/>
          </cell>
        </row>
        <row r="1370">
          <cell r="A1370">
            <v>1</v>
          </cell>
          <cell r="B1370">
            <v>1332550</v>
          </cell>
          <cell r="C1370" t="str">
            <v>CHARIOT ELECTRIQUE</v>
          </cell>
          <cell r="D1370" t="str">
            <v>TYPE TRANSPALETTE</v>
          </cell>
          <cell r="E1370" t="str">
            <v>O</v>
          </cell>
          <cell r="F1370">
            <v>0</v>
          </cell>
          <cell r="G1370">
            <v>6000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4995</v>
          </cell>
          <cell r="AA1370">
            <v>4995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>
            <v>0</v>
          </cell>
          <cell r="AL1370">
            <v>0</v>
          </cell>
          <cell r="AM1370">
            <v>0</v>
          </cell>
          <cell r="AN1370" t="str">
            <v/>
          </cell>
          <cell r="AO1370">
            <v>0</v>
          </cell>
          <cell r="AP1370">
            <v>0</v>
          </cell>
          <cell r="AQ1370">
            <v>0</v>
          </cell>
          <cell r="AR1370">
            <v>290</v>
          </cell>
          <cell r="AS1370">
            <v>0</v>
          </cell>
          <cell r="AT1370" t="str">
            <v/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240</v>
          </cell>
          <cell r="BJ1370" t="str">
            <v/>
          </cell>
          <cell r="BK1370">
            <v>1700</v>
          </cell>
          <cell r="BL1370" t="str">
            <v>1</v>
          </cell>
          <cell r="BM1370" t="str">
            <v>1</v>
          </cell>
          <cell r="BN1370" t="str">
            <v/>
          </cell>
          <cell r="BO1370" t="str">
            <v/>
          </cell>
        </row>
        <row r="1371">
          <cell r="A1371">
            <v>1</v>
          </cell>
          <cell r="B1371">
            <v>1332831</v>
          </cell>
          <cell r="C1371" t="str">
            <v>PROTECTION POUR</v>
          </cell>
          <cell r="D1371" t="str">
            <v>PRODUITS CHIMIQUES</v>
          </cell>
          <cell r="E1371" t="str">
            <v>O</v>
          </cell>
          <cell r="F1371">
            <v>0</v>
          </cell>
          <cell r="G1371">
            <v>10000</v>
          </cell>
          <cell r="H1371">
            <v>7276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7276</v>
          </cell>
          <cell r="O1371">
            <v>7276</v>
          </cell>
          <cell r="P1371">
            <v>7276</v>
          </cell>
          <cell r="Q1371">
            <v>7276</v>
          </cell>
          <cell r="R1371">
            <v>7276</v>
          </cell>
          <cell r="S1371">
            <v>7276</v>
          </cell>
          <cell r="T1371">
            <v>7276</v>
          </cell>
          <cell r="U1371">
            <v>7276</v>
          </cell>
          <cell r="V1371">
            <v>7276</v>
          </cell>
          <cell r="W1371">
            <v>7276</v>
          </cell>
          <cell r="X1371">
            <v>7276</v>
          </cell>
          <cell r="Y1371">
            <v>7276</v>
          </cell>
          <cell r="Z1371">
            <v>7276</v>
          </cell>
          <cell r="AA1371">
            <v>7276</v>
          </cell>
          <cell r="AB1371">
            <v>7276</v>
          </cell>
          <cell r="AC1371">
            <v>7276</v>
          </cell>
          <cell r="AD1371">
            <v>7276</v>
          </cell>
          <cell r="AE1371">
            <v>7276</v>
          </cell>
          <cell r="AF1371">
            <v>7276</v>
          </cell>
          <cell r="AG1371">
            <v>7276</v>
          </cell>
          <cell r="AH1371">
            <v>7276</v>
          </cell>
          <cell r="AI1371">
            <v>7276</v>
          </cell>
          <cell r="AJ1371">
            <v>7276</v>
          </cell>
          <cell r="AK1371">
            <v>7276</v>
          </cell>
          <cell r="AL1371">
            <v>0</v>
          </cell>
          <cell r="AM1371">
            <v>1</v>
          </cell>
          <cell r="AN1371" t="str">
            <v/>
          </cell>
          <cell r="AO1371">
            <v>0</v>
          </cell>
          <cell r="AP1371">
            <v>0</v>
          </cell>
          <cell r="AQ1371">
            <v>0</v>
          </cell>
          <cell r="AR1371">
            <v>290</v>
          </cell>
          <cell r="AS1371">
            <v>0</v>
          </cell>
          <cell r="AT1371" t="str">
            <v/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240</v>
          </cell>
          <cell r="BJ1371" t="str">
            <v/>
          </cell>
          <cell r="BK1371">
            <v>1700</v>
          </cell>
          <cell r="BL1371" t="str">
            <v>1</v>
          </cell>
          <cell r="BM1371" t="str">
            <v>1</v>
          </cell>
          <cell r="BN1371" t="str">
            <v/>
          </cell>
          <cell r="BO1371" t="str">
            <v/>
          </cell>
        </row>
        <row r="1372">
          <cell r="A1372">
            <v>1</v>
          </cell>
          <cell r="B1372">
            <v>4801021</v>
          </cell>
          <cell r="C1372" t="str">
            <v>EXPÉDITIONS</v>
          </cell>
          <cell r="D1372" t="str">
            <v>ETIQUETTES RLX GEANTS</v>
          </cell>
          <cell r="E1372" t="str">
            <v>O</v>
          </cell>
          <cell r="F1372">
            <v>0</v>
          </cell>
          <cell r="G1372">
            <v>0</v>
          </cell>
          <cell r="H1372">
            <v>8500</v>
          </cell>
          <cell r="I1372">
            <v>8500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8500</v>
          </cell>
          <cell r="O1372">
            <v>8500</v>
          </cell>
          <cell r="P1372">
            <v>8500</v>
          </cell>
          <cell r="Q1372">
            <v>8500</v>
          </cell>
          <cell r="R1372">
            <v>8500</v>
          </cell>
          <cell r="S1372">
            <v>8500</v>
          </cell>
          <cell r="T1372">
            <v>8500</v>
          </cell>
          <cell r="U1372">
            <v>8500</v>
          </cell>
          <cell r="V1372">
            <v>8500</v>
          </cell>
          <cell r="W1372">
            <v>8500</v>
          </cell>
          <cell r="X1372">
            <v>8500</v>
          </cell>
          <cell r="Y1372">
            <v>8500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>
            <v>0</v>
          </cell>
          <cell r="AL1372">
            <v>0</v>
          </cell>
          <cell r="AM1372">
            <v>1</v>
          </cell>
          <cell r="AN1372" t="str">
            <v/>
          </cell>
          <cell r="AO1372">
            <v>0</v>
          </cell>
          <cell r="AP1372">
            <v>0</v>
          </cell>
          <cell r="AQ1372">
            <v>0</v>
          </cell>
          <cell r="AR1372">
            <v>800</v>
          </cell>
          <cell r="AS1372">
            <v>0</v>
          </cell>
          <cell r="AT1372" t="str">
            <v/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 t="str">
            <v/>
          </cell>
          <cell r="BK1372">
            <v>7100</v>
          </cell>
          <cell r="BL1372" t="str">
            <v>0</v>
          </cell>
          <cell r="BM1372" t="str">
            <v>1</v>
          </cell>
          <cell r="BN1372" t="str">
            <v/>
          </cell>
          <cell r="BO1372" t="str">
            <v/>
          </cell>
        </row>
        <row r="1373">
          <cell r="A1373">
            <v>1</v>
          </cell>
          <cell r="B1373">
            <v>4119013</v>
          </cell>
          <cell r="C1373" t="str">
            <v>VENTES SAC GROCERY KRAFT</v>
          </cell>
          <cell r="D1373" t="str">
            <v>N-I(45LBS ET MOINS)</v>
          </cell>
          <cell r="E1373" t="str">
            <v>O</v>
          </cell>
          <cell r="F1373">
            <v>0</v>
          </cell>
          <cell r="G1373">
            <v>0</v>
          </cell>
          <cell r="H1373">
            <v>4573.46</v>
          </cell>
          <cell r="I1373">
            <v>71.510000000000005</v>
          </cell>
          <cell r="J1373">
            <v>4644.97</v>
          </cell>
          <cell r="K1373">
            <v>0</v>
          </cell>
          <cell r="L1373">
            <v>0</v>
          </cell>
          <cell r="M1373">
            <v>328.79</v>
          </cell>
          <cell r="N1373">
            <v>273.98</v>
          </cell>
          <cell r="O1373">
            <v>220.62</v>
          </cell>
          <cell r="P1373">
            <v>688.5</v>
          </cell>
          <cell r="Q1373">
            <v>1001.62</v>
          </cell>
          <cell r="R1373">
            <v>1388.61</v>
          </cell>
          <cell r="S1373">
            <v>2144.0300000000002</v>
          </cell>
          <cell r="T1373">
            <v>2184.09</v>
          </cell>
          <cell r="U1373">
            <v>2476.63</v>
          </cell>
          <cell r="V1373">
            <v>3038.71</v>
          </cell>
          <cell r="W1373">
            <v>3184.28</v>
          </cell>
          <cell r="X1373">
            <v>4573.46</v>
          </cell>
          <cell r="Y1373">
            <v>4902.25</v>
          </cell>
          <cell r="Z1373">
            <v>1552.96</v>
          </cell>
          <cell r="AA1373">
            <v>2419.31</v>
          </cell>
          <cell r="AB1373">
            <v>2950.11</v>
          </cell>
          <cell r="AC1373">
            <v>4377.18</v>
          </cell>
          <cell r="AD1373">
            <v>5733.64</v>
          </cell>
          <cell r="AE1373">
            <v>6869.33</v>
          </cell>
          <cell r="AF1373">
            <v>9484.02</v>
          </cell>
          <cell r="AG1373">
            <v>10198.93</v>
          </cell>
          <cell r="AH1373">
            <v>11790.94</v>
          </cell>
          <cell r="AI1373">
            <v>13646.57</v>
          </cell>
          <cell r="AJ1373">
            <v>15161.1</v>
          </cell>
          <cell r="AK1373">
            <v>17384.38</v>
          </cell>
          <cell r="AL1373">
            <v>0</v>
          </cell>
          <cell r="AM1373">
            <v>3</v>
          </cell>
          <cell r="AN1373" t="str">
            <v/>
          </cell>
          <cell r="AO1373">
            <v>0</v>
          </cell>
          <cell r="AP1373">
            <v>0</v>
          </cell>
          <cell r="AQ1373">
            <v>0</v>
          </cell>
          <cell r="AR1373">
            <v>600</v>
          </cell>
          <cell r="AS1373">
            <v>0</v>
          </cell>
          <cell r="AT1373" t="str">
            <v/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3300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 t="str">
            <v/>
          </cell>
          <cell r="BK1373">
            <v>4000</v>
          </cell>
          <cell r="BL1373" t="str">
            <v>0</v>
          </cell>
          <cell r="BM1373" t="str">
            <v>1</v>
          </cell>
          <cell r="BN1373" t="str">
            <v/>
          </cell>
          <cell r="BO1373" t="str">
            <v/>
          </cell>
        </row>
        <row r="1374">
          <cell r="A1374">
            <v>1</v>
          </cell>
          <cell r="B1374">
            <v>4119023</v>
          </cell>
          <cell r="C1374" t="str">
            <v>VENTES SAC GROCERY KRAFT</v>
          </cell>
          <cell r="D1374" t="str">
            <v>N-I (50LBS ET PLUS)</v>
          </cell>
          <cell r="E1374" t="str">
            <v>O</v>
          </cell>
          <cell r="F1374">
            <v>0</v>
          </cell>
          <cell r="G1374">
            <v>0</v>
          </cell>
          <cell r="H1374">
            <v>50823.82</v>
          </cell>
          <cell r="I1374">
            <v>338.46</v>
          </cell>
          <cell r="J1374">
            <v>51162.28</v>
          </cell>
          <cell r="K1374">
            <v>0</v>
          </cell>
          <cell r="L1374">
            <v>0</v>
          </cell>
          <cell r="M1374">
            <v>2172.31</v>
          </cell>
          <cell r="N1374">
            <v>3576.84</v>
          </cell>
          <cell r="O1374">
            <v>7760.46</v>
          </cell>
          <cell r="P1374">
            <v>15309.65</v>
          </cell>
          <cell r="Q1374">
            <v>18370.580000000002</v>
          </cell>
          <cell r="R1374">
            <v>22932.05</v>
          </cell>
          <cell r="S1374">
            <v>26408.880000000001</v>
          </cell>
          <cell r="T1374">
            <v>31011.14</v>
          </cell>
          <cell r="U1374">
            <v>39416.01</v>
          </cell>
          <cell r="V1374">
            <v>43906.01</v>
          </cell>
          <cell r="W1374">
            <v>48792.5</v>
          </cell>
          <cell r="X1374">
            <v>50823.82</v>
          </cell>
          <cell r="Y1374">
            <v>52996.13</v>
          </cell>
          <cell r="Z1374">
            <v>4804.42</v>
          </cell>
          <cell r="AA1374">
            <v>9726.4</v>
          </cell>
          <cell r="AB1374">
            <v>19107.490000000002</v>
          </cell>
          <cell r="AC1374">
            <v>24017.73</v>
          </cell>
          <cell r="AD1374">
            <v>31763.55</v>
          </cell>
          <cell r="AE1374">
            <v>38810.04</v>
          </cell>
          <cell r="AF1374">
            <v>43465.82</v>
          </cell>
          <cell r="AG1374">
            <v>51109.17</v>
          </cell>
          <cell r="AH1374">
            <v>54715.31</v>
          </cell>
          <cell r="AI1374">
            <v>62016.92</v>
          </cell>
          <cell r="AJ1374">
            <v>68421.77</v>
          </cell>
          <cell r="AK1374">
            <v>72316.3</v>
          </cell>
          <cell r="AL1374">
            <v>0</v>
          </cell>
          <cell r="AM1374">
            <v>3</v>
          </cell>
          <cell r="AN1374" t="str">
            <v/>
          </cell>
          <cell r="AO1374">
            <v>0</v>
          </cell>
          <cell r="AP1374">
            <v>0</v>
          </cell>
          <cell r="AQ1374">
            <v>0</v>
          </cell>
          <cell r="AR1374">
            <v>600</v>
          </cell>
          <cell r="AS1374">
            <v>0</v>
          </cell>
          <cell r="AT1374" t="str">
            <v/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3310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 t="str">
            <v/>
          </cell>
          <cell r="BK1374">
            <v>4000</v>
          </cell>
          <cell r="BL1374" t="str">
            <v>0</v>
          </cell>
          <cell r="BM1374" t="str">
            <v>1</v>
          </cell>
          <cell r="BN1374" t="str">
            <v/>
          </cell>
          <cell r="BO1374" t="str">
            <v/>
          </cell>
        </row>
        <row r="1375">
          <cell r="A1375">
            <v>1</v>
          </cell>
          <cell r="B1375">
            <v>4119033</v>
          </cell>
          <cell r="C1375" t="str">
            <v>VENTES SAC GROCERY KRAFT</v>
          </cell>
          <cell r="D1375" t="str">
            <v>IMP (45LBS ET MOINS)</v>
          </cell>
          <cell r="E1375" t="str">
            <v>O</v>
          </cell>
          <cell r="F1375">
            <v>0</v>
          </cell>
          <cell r="G1375">
            <v>0</v>
          </cell>
          <cell r="H1375">
            <v>2397271.85</v>
          </cell>
          <cell r="I1375">
            <v>12311.8</v>
          </cell>
          <cell r="J1375">
            <v>2409583.65</v>
          </cell>
          <cell r="K1375">
            <v>0</v>
          </cell>
          <cell r="L1375">
            <v>0</v>
          </cell>
          <cell r="M1375">
            <v>200492.05</v>
          </cell>
          <cell r="N1375">
            <v>183877.83</v>
          </cell>
          <cell r="O1375">
            <v>346307.6</v>
          </cell>
          <cell r="P1375">
            <v>566363.52</v>
          </cell>
          <cell r="Q1375">
            <v>781172.64</v>
          </cell>
          <cell r="R1375">
            <v>1018405.38</v>
          </cell>
          <cell r="S1375">
            <v>1256312.47</v>
          </cell>
          <cell r="T1375">
            <v>1508177.64</v>
          </cell>
          <cell r="U1375">
            <v>1698568.01</v>
          </cell>
          <cell r="V1375">
            <v>1947057.1</v>
          </cell>
          <cell r="W1375">
            <v>2154648.08</v>
          </cell>
          <cell r="X1375">
            <v>2397271.85</v>
          </cell>
          <cell r="Y1375">
            <v>2597763.9</v>
          </cell>
          <cell r="Z1375">
            <v>174155.36</v>
          </cell>
          <cell r="AA1375">
            <v>364539.97</v>
          </cell>
          <cell r="AB1375">
            <v>570700.05000000005</v>
          </cell>
          <cell r="AC1375">
            <v>752695.45</v>
          </cell>
          <cell r="AD1375">
            <v>1013584.84</v>
          </cell>
          <cell r="AE1375">
            <v>1298506.79</v>
          </cell>
          <cell r="AF1375">
            <v>1578153.65</v>
          </cell>
          <cell r="AG1375">
            <v>1766604.95</v>
          </cell>
          <cell r="AH1375">
            <v>2011661.88</v>
          </cell>
          <cell r="AI1375">
            <v>2210887.21</v>
          </cell>
          <cell r="AJ1375">
            <v>2474221.12</v>
          </cell>
          <cell r="AK1375">
            <v>2705048.81</v>
          </cell>
          <cell r="AL1375">
            <v>0</v>
          </cell>
          <cell r="AM1375">
            <v>3</v>
          </cell>
          <cell r="AN1375" t="str">
            <v/>
          </cell>
          <cell r="AO1375">
            <v>0</v>
          </cell>
          <cell r="AP1375">
            <v>0</v>
          </cell>
          <cell r="AQ1375">
            <v>0</v>
          </cell>
          <cell r="AR1375">
            <v>600</v>
          </cell>
          <cell r="AS1375">
            <v>0</v>
          </cell>
          <cell r="AT1375" t="str">
            <v/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3320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 t="str">
            <v/>
          </cell>
          <cell r="BK1375">
            <v>4000</v>
          </cell>
          <cell r="BL1375" t="str">
            <v>0</v>
          </cell>
          <cell r="BM1375" t="str">
            <v>1</v>
          </cell>
          <cell r="BN1375" t="str">
            <v/>
          </cell>
          <cell r="BO1375" t="str">
            <v/>
          </cell>
        </row>
        <row r="1376">
          <cell r="A1376">
            <v>1</v>
          </cell>
          <cell r="B1376">
            <v>4119043</v>
          </cell>
          <cell r="C1376" t="str">
            <v>VENTES SAC GROCERY KRAFT</v>
          </cell>
          <cell r="D1376" t="str">
            <v>IMP (50LBS ET PLUS)</v>
          </cell>
          <cell r="E1376" t="str">
            <v>O</v>
          </cell>
          <cell r="F1376">
            <v>0</v>
          </cell>
          <cell r="G1376">
            <v>0</v>
          </cell>
          <cell r="H1376">
            <v>76094.210000000006</v>
          </cell>
          <cell r="I1376">
            <v>414.35</v>
          </cell>
          <cell r="J1376">
            <v>76508.56</v>
          </cell>
          <cell r="K1376">
            <v>0</v>
          </cell>
          <cell r="L1376">
            <v>0</v>
          </cell>
          <cell r="M1376">
            <v>1757.77</v>
          </cell>
          <cell r="N1376">
            <v>11121.4</v>
          </cell>
          <cell r="O1376">
            <v>13431.21</v>
          </cell>
          <cell r="P1376">
            <v>25062.68</v>
          </cell>
          <cell r="Q1376">
            <v>41211.25</v>
          </cell>
          <cell r="R1376">
            <v>52525.1</v>
          </cell>
          <cell r="S1376">
            <v>56825.760000000002</v>
          </cell>
          <cell r="T1376">
            <v>62327.64</v>
          </cell>
          <cell r="U1376">
            <v>65224.53</v>
          </cell>
          <cell r="V1376">
            <v>67491.08</v>
          </cell>
          <cell r="W1376">
            <v>69798.490000000005</v>
          </cell>
          <cell r="X1376">
            <v>76094.210000000006</v>
          </cell>
          <cell r="Y1376">
            <v>77851.98</v>
          </cell>
          <cell r="Z1376">
            <v>6333.03</v>
          </cell>
          <cell r="AA1376">
            <v>13052.76</v>
          </cell>
          <cell r="AB1376">
            <v>18597.72</v>
          </cell>
          <cell r="AC1376">
            <v>29493.93</v>
          </cell>
          <cell r="AD1376">
            <v>40440.44</v>
          </cell>
          <cell r="AE1376">
            <v>61774.34</v>
          </cell>
          <cell r="AF1376">
            <v>77057.929999999993</v>
          </cell>
          <cell r="AG1376">
            <v>86881.39</v>
          </cell>
          <cell r="AH1376">
            <v>93223.37</v>
          </cell>
          <cell r="AI1376">
            <v>112695.14</v>
          </cell>
          <cell r="AJ1376">
            <v>126337.5</v>
          </cell>
          <cell r="AK1376">
            <v>152191.54</v>
          </cell>
          <cell r="AL1376">
            <v>0</v>
          </cell>
          <cell r="AM1376">
            <v>3</v>
          </cell>
          <cell r="AN1376" t="str">
            <v/>
          </cell>
          <cell r="AO1376">
            <v>0</v>
          </cell>
          <cell r="AP1376">
            <v>0</v>
          </cell>
          <cell r="AQ1376">
            <v>0</v>
          </cell>
          <cell r="AR1376">
            <v>600</v>
          </cell>
          <cell r="AS1376">
            <v>0</v>
          </cell>
          <cell r="AT1376" t="str">
            <v/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3330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 t="str">
            <v/>
          </cell>
          <cell r="BK1376">
            <v>4000</v>
          </cell>
          <cell r="BL1376" t="str">
            <v>0</v>
          </cell>
          <cell r="BM1376" t="str">
            <v>1</v>
          </cell>
          <cell r="BN1376" t="str">
            <v/>
          </cell>
          <cell r="BO1376" t="str">
            <v/>
          </cell>
        </row>
        <row r="1377">
          <cell r="A1377">
            <v>1</v>
          </cell>
          <cell r="B1377">
            <v>4119053</v>
          </cell>
          <cell r="C1377" t="str">
            <v>VENTES SAC GROCERY</v>
          </cell>
          <cell r="D1377" t="str">
            <v>WHITE N-I</v>
          </cell>
          <cell r="E1377" t="str">
            <v>O</v>
          </cell>
          <cell r="F1377">
            <v>0</v>
          </cell>
          <cell r="G1377">
            <v>0</v>
          </cell>
          <cell r="H1377">
            <v>292365.92</v>
          </cell>
          <cell r="I1377">
            <v>1744.47</v>
          </cell>
          <cell r="J1377">
            <v>294110.39</v>
          </cell>
          <cell r="K1377">
            <v>0</v>
          </cell>
          <cell r="L1377">
            <v>0</v>
          </cell>
          <cell r="M1377">
            <v>11202.61</v>
          </cell>
          <cell r="N1377">
            <v>28403.41</v>
          </cell>
          <cell r="O1377">
            <v>57667.1</v>
          </cell>
          <cell r="P1377">
            <v>100638.21</v>
          </cell>
          <cell r="Q1377">
            <v>135925</v>
          </cell>
          <cell r="R1377">
            <v>178947.28</v>
          </cell>
          <cell r="S1377">
            <v>223620.25</v>
          </cell>
          <cell r="T1377">
            <v>244032.33</v>
          </cell>
          <cell r="U1377">
            <v>261804.66</v>
          </cell>
          <cell r="V1377">
            <v>267288.59000000003</v>
          </cell>
          <cell r="W1377">
            <v>282640.61</v>
          </cell>
          <cell r="X1377">
            <v>292365.92</v>
          </cell>
          <cell r="Y1377">
            <v>303568.53000000003</v>
          </cell>
          <cell r="Z1377">
            <v>48319.5</v>
          </cell>
          <cell r="AA1377">
            <v>67916.66</v>
          </cell>
          <cell r="AB1377">
            <v>80921.03</v>
          </cell>
          <cell r="AC1377">
            <v>121728.94</v>
          </cell>
          <cell r="AD1377">
            <v>149518.24</v>
          </cell>
          <cell r="AE1377">
            <v>226370.59</v>
          </cell>
          <cell r="AF1377">
            <v>261046.51</v>
          </cell>
          <cell r="AG1377">
            <v>289250.84999999998</v>
          </cell>
          <cell r="AH1377">
            <v>346412.48</v>
          </cell>
          <cell r="AI1377">
            <v>403174.68</v>
          </cell>
          <cell r="AJ1377">
            <v>457717.77</v>
          </cell>
          <cell r="AK1377">
            <v>532797.44999999995</v>
          </cell>
          <cell r="AL1377">
            <v>0</v>
          </cell>
          <cell r="AM1377">
            <v>3</v>
          </cell>
          <cell r="AN1377" t="str">
            <v/>
          </cell>
          <cell r="AO1377">
            <v>0</v>
          </cell>
          <cell r="AP1377">
            <v>0</v>
          </cell>
          <cell r="AQ1377">
            <v>0</v>
          </cell>
          <cell r="AR1377">
            <v>600</v>
          </cell>
          <cell r="AS1377">
            <v>0</v>
          </cell>
          <cell r="AT1377" t="str">
            <v/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3340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 t="str">
            <v/>
          </cell>
          <cell r="BK1377">
            <v>4000</v>
          </cell>
          <cell r="BL1377" t="str">
            <v>0</v>
          </cell>
          <cell r="BM1377" t="str">
            <v>1</v>
          </cell>
          <cell r="BN1377" t="str">
            <v/>
          </cell>
          <cell r="BO1377" t="str">
            <v/>
          </cell>
        </row>
        <row r="1378">
          <cell r="A1378">
            <v>1</v>
          </cell>
          <cell r="B1378">
            <v>4119063</v>
          </cell>
          <cell r="C1378" t="str">
            <v>VENTES SAC GROCERY</v>
          </cell>
          <cell r="D1378" t="str">
            <v>WHITE IMP</v>
          </cell>
          <cell r="E1378" t="str">
            <v>O</v>
          </cell>
          <cell r="F1378">
            <v>0</v>
          </cell>
          <cell r="G1378">
            <v>0</v>
          </cell>
          <cell r="H1378">
            <v>559541.18999999994</v>
          </cell>
          <cell r="I1378">
            <v>2522.02</v>
          </cell>
          <cell r="J1378">
            <v>562063.21</v>
          </cell>
          <cell r="K1378">
            <v>0</v>
          </cell>
          <cell r="L1378">
            <v>0</v>
          </cell>
          <cell r="M1378">
            <v>39034.800000000003</v>
          </cell>
          <cell r="N1378">
            <v>65837.89</v>
          </cell>
          <cell r="O1378">
            <v>87466.67</v>
          </cell>
          <cell r="P1378">
            <v>160371.71</v>
          </cell>
          <cell r="Q1378">
            <v>180918.22</v>
          </cell>
          <cell r="R1378">
            <v>255600.36</v>
          </cell>
          <cell r="S1378">
            <v>292135.08</v>
          </cell>
          <cell r="T1378">
            <v>325760.25</v>
          </cell>
          <cell r="U1378">
            <v>359658.8</v>
          </cell>
          <cell r="V1378">
            <v>424925.2</v>
          </cell>
          <cell r="W1378">
            <v>460784.24</v>
          </cell>
          <cell r="X1378">
            <v>559541.18999999994</v>
          </cell>
          <cell r="Y1378">
            <v>598575.99</v>
          </cell>
          <cell r="Z1378">
            <v>26200.94</v>
          </cell>
          <cell r="AA1378">
            <v>51685.5</v>
          </cell>
          <cell r="AB1378">
            <v>94228.32</v>
          </cell>
          <cell r="AC1378">
            <v>133151.82999999999</v>
          </cell>
          <cell r="AD1378">
            <v>175191.02</v>
          </cell>
          <cell r="AE1378">
            <v>208008.78</v>
          </cell>
          <cell r="AF1378">
            <v>237086.36</v>
          </cell>
          <cell r="AG1378">
            <v>267507.28000000003</v>
          </cell>
          <cell r="AH1378">
            <v>329735.99</v>
          </cell>
          <cell r="AI1378">
            <v>358610.38</v>
          </cell>
          <cell r="AJ1378">
            <v>400675.9</v>
          </cell>
          <cell r="AK1378">
            <v>436711.04</v>
          </cell>
          <cell r="AL1378">
            <v>0</v>
          </cell>
          <cell r="AM1378">
            <v>3</v>
          </cell>
          <cell r="AN1378" t="str">
            <v/>
          </cell>
          <cell r="AO1378">
            <v>0</v>
          </cell>
          <cell r="AP1378">
            <v>0</v>
          </cell>
          <cell r="AQ1378">
            <v>0</v>
          </cell>
          <cell r="AR1378">
            <v>600</v>
          </cell>
          <cell r="AS1378">
            <v>0</v>
          </cell>
          <cell r="AT1378" t="str">
            <v/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3350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 t="str">
            <v/>
          </cell>
          <cell r="BK1378">
            <v>4000</v>
          </cell>
          <cell r="BL1378" t="str">
            <v>0</v>
          </cell>
          <cell r="BM1378" t="str">
            <v>1</v>
          </cell>
          <cell r="BN1378" t="str">
            <v/>
          </cell>
          <cell r="BO1378" t="str">
            <v/>
          </cell>
        </row>
        <row r="1379">
          <cell r="A1379">
            <v>1</v>
          </cell>
          <cell r="B1379">
            <v>4119073</v>
          </cell>
          <cell r="C1379" t="str">
            <v>VENTES SAC GROCERY</v>
          </cell>
          <cell r="D1379" t="str">
            <v>SPC N-I</v>
          </cell>
          <cell r="E1379" t="str">
            <v>O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3</v>
          </cell>
          <cell r="AN1379" t="str">
            <v/>
          </cell>
          <cell r="AO1379">
            <v>0</v>
          </cell>
          <cell r="AP1379">
            <v>0</v>
          </cell>
          <cell r="AQ1379">
            <v>0</v>
          </cell>
          <cell r="AR1379">
            <v>600</v>
          </cell>
          <cell r="AS1379">
            <v>0</v>
          </cell>
          <cell r="AT1379" t="str">
            <v/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3360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 t="str">
            <v/>
          </cell>
          <cell r="BK1379">
            <v>4000</v>
          </cell>
          <cell r="BL1379" t="str">
            <v>0</v>
          </cell>
          <cell r="BM1379" t="str">
            <v>1</v>
          </cell>
          <cell r="BN1379" t="str">
            <v/>
          </cell>
          <cell r="BO1379" t="str">
            <v/>
          </cell>
        </row>
        <row r="1380">
          <cell r="A1380">
            <v>1</v>
          </cell>
          <cell r="B1380">
            <v>4119083</v>
          </cell>
          <cell r="C1380" t="str">
            <v>VENTES SAC GROCERY</v>
          </cell>
          <cell r="D1380" t="str">
            <v>SPC IMP</v>
          </cell>
          <cell r="E1380" t="str">
            <v>O</v>
          </cell>
          <cell r="F1380">
            <v>0</v>
          </cell>
          <cell r="G1380">
            <v>0</v>
          </cell>
          <cell r="H1380">
            <v>102592.4</v>
          </cell>
          <cell r="I1380">
            <v>546.92999999999995</v>
          </cell>
          <cell r="J1380">
            <v>103139.33</v>
          </cell>
          <cell r="K1380">
            <v>0</v>
          </cell>
          <cell r="L1380">
            <v>0</v>
          </cell>
          <cell r="M1380">
            <v>9550.51</v>
          </cell>
          <cell r="N1380">
            <v>6543.28</v>
          </cell>
          <cell r="O1380">
            <v>18567.810000000001</v>
          </cell>
          <cell r="P1380">
            <v>36161.93</v>
          </cell>
          <cell r="Q1380">
            <v>44244.9</v>
          </cell>
          <cell r="R1380">
            <v>51168.01</v>
          </cell>
          <cell r="S1380">
            <v>61566.19</v>
          </cell>
          <cell r="T1380">
            <v>72675.12</v>
          </cell>
          <cell r="U1380">
            <v>79410.34</v>
          </cell>
          <cell r="V1380">
            <v>86576.47</v>
          </cell>
          <cell r="W1380">
            <v>91658.09</v>
          </cell>
          <cell r="X1380">
            <v>102592.4</v>
          </cell>
          <cell r="Y1380">
            <v>112142.91</v>
          </cell>
          <cell r="Z1380">
            <v>5617.06</v>
          </cell>
          <cell r="AA1380">
            <v>14882.37</v>
          </cell>
          <cell r="AB1380">
            <v>23968</v>
          </cell>
          <cell r="AC1380">
            <v>33099.24</v>
          </cell>
          <cell r="AD1380">
            <v>42016.1</v>
          </cell>
          <cell r="AE1380">
            <v>55748.32</v>
          </cell>
          <cell r="AF1380">
            <v>68721.240000000005</v>
          </cell>
          <cell r="AG1380">
            <v>81960.36</v>
          </cell>
          <cell r="AH1380">
            <v>94125.93</v>
          </cell>
          <cell r="AI1380">
            <v>104028.69</v>
          </cell>
          <cell r="AJ1380">
            <v>114007.73</v>
          </cell>
          <cell r="AK1380">
            <v>126148.86</v>
          </cell>
          <cell r="AL1380">
            <v>0</v>
          </cell>
          <cell r="AM1380">
            <v>3</v>
          </cell>
          <cell r="AN1380" t="str">
            <v/>
          </cell>
          <cell r="AO1380">
            <v>0</v>
          </cell>
          <cell r="AP1380">
            <v>0</v>
          </cell>
          <cell r="AQ1380">
            <v>0</v>
          </cell>
          <cell r="AR1380">
            <v>600</v>
          </cell>
          <cell r="AS1380">
            <v>0</v>
          </cell>
          <cell r="AT1380" t="str">
            <v/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3370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 t="str">
            <v/>
          </cell>
          <cell r="BK1380">
            <v>4000</v>
          </cell>
          <cell r="BL1380" t="str">
            <v>0</v>
          </cell>
          <cell r="BM1380" t="str">
            <v>1</v>
          </cell>
          <cell r="BN1380" t="str">
            <v/>
          </cell>
          <cell r="BO1380" t="str">
            <v/>
          </cell>
        </row>
        <row r="1381">
          <cell r="A1381">
            <v>1</v>
          </cell>
          <cell r="B1381">
            <v>4119213</v>
          </cell>
          <cell r="C1381" t="str">
            <v>VENTES SAC SACK KRAFT</v>
          </cell>
          <cell r="D1381" t="str">
            <v>N-I (45LBS ET MOINS)</v>
          </cell>
          <cell r="E1381" t="str">
            <v>O</v>
          </cell>
          <cell r="F1381">
            <v>0</v>
          </cell>
          <cell r="G1381">
            <v>0</v>
          </cell>
          <cell r="H1381">
            <v>38997.64</v>
          </cell>
          <cell r="I1381">
            <v>957.28</v>
          </cell>
          <cell r="J1381">
            <v>39954.92</v>
          </cell>
          <cell r="K1381">
            <v>0</v>
          </cell>
          <cell r="L1381">
            <v>0</v>
          </cell>
          <cell r="M1381">
            <v>6719.35</v>
          </cell>
          <cell r="N1381">
            <v>657.6</v>
          </cell>
          <cell r="O1381">
            <v>9132.5499999999993</v>
          </cell>
          <cell r="P1381">
            <v>14941.75</v>
          </cell>
          <cell r="Q1381">
            <v>21227.51</v>
          </cell>
          <cell r="R1381">
            <v>24179.91</v>
          </cell>
          <cell r="S1381">
            <v>23522.31</v>
          </cell>
          <cell r="T1381">
            <v>29838.29</v>
          </cell>
          <cell r="U1381">
            <v>36557.64</v>
          </cell>
          <cell r="V1381">
            <v>36557.64</v>
          </cell>
          <cell r="W1381">
            <v>38997.64</v>
          </cell>
          <cell r="X1381">
            <v>38997.64</v>
          </cell>
          <cell r="Y1381">
            <v>45716.99</v>
          </cell>
          <cell r="Z1381">
            <v>6176.1</v>
          </cell>
          <cell r="AA1381">
            <v>6176.1</v>
          </cell>
          <cell r="AB1381">
            <v>14299.26</v>
          </cell>
          <cell r="AC1381">
            <v>22130.16</v>
          </cell>
          <cell r="AD1381">
            <v>24368.16</v>
          </cell>
          <cell r="AE1381">
            <v>30544.26</v>
          </cell>
          <cell r="AF1381">
            <v>36720.36</v>
          </cell>
          <cell r="AG1381">
            <v>38958.36</v>
          </cell>
          <cell r="AH1381">
            <v>38958.36</v>
          </cell>
          <cell r="AI1381">
            <v>46903.86</v>
          </cell>
          <cell r="AJ1381">
            <v>46903.86</v>
          </cell>
          <cell r="AK1381">
            <v>55244.56</v>
          </cell>
          <cell r="AL1381">
            <v>0</v>
          </cell>
          <cell r="AM1381">
            <v>3</v>
          </cell>
          <cell r="AN1381" t="str">
            <v/>
          </cell>
          <cell r="AO1381">
            <v>0</v>
          </cell>
          <cell r="AP1381">
            <v>0</v>
          </cell>
          <cell r="AQ1381">
            <v>0</v>
          </cell>
          <cell r="AR1381">
            <v>600</v>
          </cell>
          <cell r="AS1381">
            <v>0</v>
          </cell>
          <cell r="AT1381" t="str">
            <v/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3400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 t="str">
            <v/>
          </cell>
          <cell r="BK1381">
            <v>4000</v>
          </cell>
          <cell r="BL1381" t="str">
            <v>0</v>
          </cell>
          <cell r="BM1381" t="str">
            <v>1</v>
          </cell>
          <cell r="BN1381" t="str">
            <v/>
          </cell>
          <cell r="BO1381" t="str">
            <v/>
          </cell>
        </row>
        <row r="1382">
          <cell r="A1382">
            <v>1</v>
          </cell>
          <cell r="B1382">
            <v>4119223</v>
          </cell>
          <cell r="C1382" t="str">
            <v>VENTES SAC SACK KRAFT</v>
          </cell>
          <cell r="D1382" t="str">
            <v>N-I (50LBS ET PLUS)</v>
          </cell>
          <cell r="E1382" t="str">
            <v>O</v>
          </cell>
          <cell r="F1382">
            <v>0</v>
          </cell>
          <cell r="G1382">
            <v>0</v>
          </cell>
          <cell r="H1382">
            <v>357680.19</v>
          </cell>
          <cell r="I1382">
            <v>1847.83</v>
          </cell>
          <cell r="J1382">
            <v>359528.02</v>
          </cell>
          <cell r="K1382">
            <v>0</v>
          </cell>
          <cell r="L1382">
            <v>0</v>
          </cell>
          <cell r="M1382">
            <v>37321.160000000003</v>
          </cell>
          <cell r="N1382">
            <v>37034.54</v>
          </cell>
          <cell r="O1382">
            <v>68923.259999999995</v>
          </cell>
          <cell r="P1382">
            <v>93979.19</v>
          </cell>
          <cell r="Q1382">
            <v>113669.11</v>
          </cell>
          <cell r="R1382">
            <v>148350.38</v>
          </cell>
          <cell r="S1382">
            <v>172785.02</v>
          </cell>
          <cell r="T1382">
            <v>222308.64</v>
          </cell>
          <cell r="U1382">
            <v>252111.86</v>
          </cell>
          <cell r="V1382">
            <v>280507.84000000003</v>
          </cell>
          <cell r="W1382">
            <v>315639.90000000002</v>
          </cell>
          <cell r="X1382">
            <v>357680.19</v>
          </cell>
          <cell r="Y1382">
            <v>395001.35</v>
          </cell>
          <cell r="Z1382">
            <v>27786.15</v>
          </cell>
          <cell r="AA1382">
            <v>59660.87</v>
          </cell>
          <cell r="AB1382">
            <v>86241.15</v>
          </cell>
          <cell r="AC1382">
            <v>121540.73</v>
          </cell>
          <cell r="AD1382">
            <v>144171.64000000001</v>
          </cell>
          <cell r="AE1382">
            <v>173300.58</v>
          </cell>
          <cell r="AF1382">
            <v>220611.61</v>
          </cell>
          <cell r="AG1382">
            <v>242650.55</v>
          </cell>
          <cell r="AH1382">
            <v>274127.09999999998</v>
          </cell>
          <cell r="AI1382">
            <v>295324.17</v>
          </cell>
          <cell r="AJ1382">
            <v>326379.34000000003</v>
          </cell>
          <cell r="AK1382">
            <v>385644.45</v>
          </cell>
          <cell r="AL1382">
            <v>0</v>
          </cell>
          <cell r="AM1382">
            <v>3</v>
          </cell>
          <cell r="AN1382" t="str">
            <v/>
          </cell>
          <cell r="AO1382">
            <v>0</v>
          </cell>
          <cell r="AP1382">
            <v>0</v>
          </cell>
          <cell r="AQ1382">
            <v>0</v>
          </cell>
          <cell r="AR1382">
            <v>600</v>
          </cell>
          <cell r="AS1382">
            <v>0</v>
          </cell>
          <cell r="AT1382" t="str">
            <v/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3410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 t="str">
            <v/>
          </cell>
          <cell r="BK1382">
            <v>4000</v>
          </cell>
          <cell r="BL1382" t="str">
            <v>0</v>
          </cell>
          <cell r="BM1382" t="str">
            <v>1</v>
          </cell>
          <cell r="BN1382" t="str">
            <v/>
          </cell>
          <cell r="BO1382" t="str">
            <v/>
          </cell>
        </row>
        <row r="1383">
          <cell r="A1383">
            <v>1</v>
          </cell>
          <cell r="B1383">
            <v>4119233</v>
          </cell>
          <cell r="C1383" t="str">
            <v>VENTES SAC SACK KRAFT</v>
          </cell>
          <cell r="D1383" t="str">
            <v>IMP (45LBS ET MOINS)</v>
          </cell>
          <cell r="E1383" t="str">
            <v>O</v>
          </cell>
          <cell r="F1383">
            <v>0</v>
          </cell>
          <cell r="G1383">
            <v>0</v>
          </cell>
          <cell r="H1383">
            <v>127692.7</v>
          </cell>
          <cell r="I1383">
            <v>898.99</v>
          </cell>
          <cell r="J1383">
            <v>128591.69</v>
          </cell>
          <cell r="K1383">
            <v>0</v>
          </cell>
          <cell r="L1383">
            <v>0</v>
          </cell>
          <cell r="M1383">
            <v>16459.32</v>
          </cell>
          <cell r="N1383">
            <v>14257.58</v>
          </cell>
          <cell r="O1383">
            <v>28263.7</v>
          </cell>
          <cell r="P1383">
            <v>34387.870000000003</v>
          </cell>
          <cell r="Q1383">
            <v>46556.89</v>
          </cell>
          <cell r="R1383">
            <v>55643.96</v>
          </cell>
          <cell r="S1383">
            <v>65136.97</v>
          </cell>
          <cell r="T1383">
            <v>78327.009999999995</v>
          </cell>
          <cell r="U1383">
            <v>101877.11</v>
          </cell>
          <cell r="V1383">
            <v>107620.57</v>
          </cell>
          <cell r="W1383">
            <v>117232.87</v>
          </cell>
          <cell r="X1383">
            <v>127692.7</v>
          </cell>
          <cell r="Y1383">
            <v>144152.01999999999</v>
          </cell>
          <cell r="Z1383">
            <v>9326.39</v>
          </cell>
          <cell r="AA1383">
            <v>15925.42</v>
          </cell>
          <cell r="AB1383">
            <v>24683.4</v>
          </cell>
          <cell r="AC1383">
            <v>32460.82</v>
          </cell>
          <cell r="AD1383">
            <v>45281.98</v>
          </cell>
          <cell r="AE1383">
            <v>57437.599999999999</v>
          </cell>
          <cell r="AF1383">
            <v>67272</v>
          </cell>
          <cell r="AG1383">
            <v>73842.94</v>
          </cell>
          <cell r="AH1383">
            <v>81277.5</v>
          </cell>
          <cell r="AI1383">
            <v>90485.47</v>
          </cell>
          <cell r="AJ1383">
            <v>100048.29</v>
          </cell>
          <cell r="AK1383">
            <v>106105.11</v>
          </cell>
          <cell r="AL1383">
            <v>0</v>
          </cell>
          <cell r="AM1383">
            <v>3</v>
          </cell>
          <cell r="AN1383" t="str">
            <v/>
          </cell>
          <cell r="AO1383">
            <v>0</v>
          </cell>
          <cell r="AP1383">
            <v>0</v>
          </cell>
          <cell r="AQ1383">
            <v>0</v>
          </cell>
          <cell r="AR1383">
            <v>600</v>
          </cell>
          <cell r="AS1383">
            <v>0</v>
          </cell>
          <cell r="AT1383" t="str">
            <v/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3420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 t="str">
            <v/>
          </cell>
          <cell r="BK1383">
            <v>4000</v>
          </cell>
          <cell r="BL1383" t="str">
            <v>0</v>
          </cell>
          <cell r="BM1383" t="str">
            <v>1</v>
          </cell>
          <cell r="BN1383" t="str">
            <v/>
          </cell>
          <cell r="BO1383" t="str">
            <v/>
          </cell>
        </row>
        <row r="1384">
          <cell r="A1384">
            <v>1</v>
          </cell>
          <cell r="B1384">
            <v>4119243</v>
          </cell>
          <cell r="C1384" t="str">
            <v>VENTES SAC SACK KRAFT</v>
          </cell>
          <cell r="D1384" t="str">
            <v>IMP (50LBS ET PLUS)</v>
          </cell>
          <cell r="E1384" t="str">
            <v>O</v>
          </cell>
          <cell r="F1384">
            <v>0</v>
          </cell>
          <cell r="G1384">
            <v>0</v>
          </cell>
          <cell r="H1384">
            <v>915768.58</v>
          </cell>
          <cell r="I1384">
            <v>4518.3999999999996</v>
          </cell>
          <cell r="J1384">
            <v>920286.98</v>
          </cell>
          <cell r="K1384">
            <v>0</v>
          </cell>
          <cell r="L1384">
            <v>0</v>
          </cell>
          <cell r="M1384">
            <v>133588.25</v>
          </cell>
          <cell r="N1384">
            <v>57460.52</v>
          </cell>
          <cell r="O1384">
            <v>107235.82</v>
          </cell>
          <cell r="P1384">
            <v>153828.35</v>
          </cell>
          <cell r="Q1384">
            <v>196603.12</v>
          </cell>
          <cell r="R1384">
            <v>215038.94</v>
          </cell>
          <cell r="S1384">
            <v>270921.96999999997</v>
          </cell>
          <cell r="T1384">
            <v>359616.85</v>
          </cell>
          <cell r="U1384">
            <v>488315.22</v>
          </cell>
          <cell r="V1384">
            <v>657883.29</v>
          </cell>
          <cell r="W1384">
            <v>825119.46</v>
          </cell>
          <cell r="X1384">
            <v>915768.58</v>
          </cell>
          <cell r="Y1384">
            <v>1049356.83</v>
          </cell>
          <cell r="Z1384">
            <v>151588</v>
          </cell>
          <cell r="AA1384">
            <v>283211.87</v>
          </cell>
          <cell r="AB1384">
            <v>413943.71</v>
          </cell>
          <cell r="AC1384">
            <v>509286.54</v>
          </cell>
          <cell r="AD1384">
            <v>664425.96</v>
          </cell>
          <cell r="AE1384">
            <v>765708.92</v>
          </cell>
          <cell r="AF1384">
            <v>941231.76</v>
          </cell>
          <cell r="AG1384">
            <v>1017288.93</v>
          </cell>
          <cell r="AH1384">
            <v>1117564.2</v>
          </cell>
          <cell r="AI1384">
            <v>1258851.1200000001</v>
          </cell>
          <cell r="AJ1384">
            <v>1386637.88</v>
          </cell>
          <cell r="AK1384">
            <v>1454067.64</v>
          </cell>
          <cell r="AL1384">
            <v>0</v>
          </cell>
          <cell r="AM1384">
            <v>3</v>
          </cell>
          <cell r="AN1384" t="str">
            <v/>
          </cell>
          <cell r="AO1384">
            <v>0</v>
          </cell>
          <cell r="AP1384">
            <v>0</v>
          </cell>
          <cell r="AQ1384">
            <v>0</v>
          </cell>
          <cell r="AR1384">
            <v>600</v>
          </cell>
          <cell r="AS1384">
            <v>0</v>
          </cell>
          <cell r="AT1384" t="str">
            <v/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3430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 t="str">
            <v/>
          </cell>
          <cell r="BK1384">
            <v>4000</v>
          </cell>
          <cell r="BL1384" t="str">
            <v>0</v>
          </cell>
          <cell r="BM1384" t="str">
            <v>1</v>
          </cell>
          <cell r="BN1384" t="str">
            <v/>
          </cell>
          <cell r="BO1384" t="str">
            <v/>
          </cell>
        </row>
        <row r="1385">
          <cell r="A1385">
            <v>1</v>
          </cell>
          <cell r="B1385">
            <v>4119253</v>
          </cell>
          <cell r="C1385" t="str">
            <v>VENTES SAC SACK</v>
          </cell>
          <cell r="D1385" t="str">
            <v>WHITE N-I</v>
          </cell>
          <cell r="E1385" t="str">
            <v>O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0</v>
          </cell>
          <cell r="AK1385">
            <v>0</v>
          </cell>
          <cell r="AL1385">
            <v>0</v>
          </cell>
          <cell r="AM1385">
            <v>3</v>
          </cell>
          <cell r="AN1385" t="str">
            <v/>
          </cell>
          <cell r="AO1385">
            <v>0</v>
          </cell>
          <cell r="AP1385">
            <v>0</v>
          </cell>
          <cell r="AQ1385">
            <v>0</v>
          </cell>
          <cell r="AR1385">
            <v>600</v>
          </cell>
          <cell r="AS1385">
            <v>0</v>
          </cell>
          <cell r="AT1385" t="str">
            <v/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3440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 t="str">
            <v/>
          </cell>
          <cell r="BK1385">
            <v>4000</v>
          </cell>
          <cell r="BL1385" t="str">
            <v>0</v>
          </cell>
          <cell r="BM1385" t="str">
            <v>1</v>
          </cell>
          <cell r="BN1385" t="str">
            <v/>
          </cell>
          <cell r="BO1385" t="str">
            <v/>
          </cell>
        </row>
        <row r="1386">
          <cell r="A1386">
            <v>1</v>
          </cell>
          <cell r="B1386">
            <v>4119263</v>
          </cell>
          <cell r="C1386" t="str">
            <v>VENTES SAC SACK</v>
          </cell>
          <cell r="D1386" t="str">
            <v>WHITE IMP</v>
          </cell>
          <cell r="E1386" t="str">
            <v>O</v>
          </cell>
          <cell r="F1386">
            <v>0</v>
          </cell>
          <cell r="G1386">
            <v>0</v>
          </cell>
          <cell r="H1386">
            <v>10614.73</v>
          </cell>
          <cell r="I1386">
            <v>88.21</v>
          </cell>
          <cell r="J1386">
            <v>10702.94</v>
          </cell>
          <cell r="K1386">
            <v>0</v>
          </cell>
          <cell r="L1386">
            <v>0</v>
          </cell>
          <cell r="M1386">
            <v>117.54</v>
          </cell>
          <cell r="N1386">
            <v>347.14</v>
          </cell>
          <cell r="O1386">
            <v>662.73</v>
          </cell>
          <cell r="P1386">
            <v>1420.35</v>
          </cell>
          <cell r="Q1386">
            <v>4060.29</v>
          </cell>
          <cell r="R1386">
            <v>5160.04</v>
          </cell>
          <cell r="S1386">
            <v>6309.1</v>
          </cell>
          <cell r="T1386">
            <v>7812.67</v>
          </cell>
          <cell r="U1386">
            <v>8606.67</v>
          </cell>
          <cell r="V1386">
            <v>9720.19</v>
          </cell>
          <cell r="W1386">
            <v>10642.81</v>
          </cell>
          <cell r="X1386">
            <v>10614.73</v>
          </cell>
          <cell r="Y1386">
            <v>10732.27</v>
          </cell>
          <cell r="Z1386">
            <v>135.04</v>
          </cell>
          <cell r="AA1386">
            <v>1114.08</v>
          </cell>
          <cell r="AB1386">
            <v>1331.57</v>
          </cell>
          <cell r="AC1386">
            <v>1975.65</v>
          </cell>
          <cell r="AD1386">
            <v>3110.7</v>
          </cell>
          <cell r="AE1386">
            <v>3587.8</v>
          </cell>
          <cell r="AF1386">
            <v>5107.7299999999996</v>
          </cell>
          <cell r="AG1386">
            <v>5861.2</v>
          </cell>
          <cell r="AH1386">
            <v>6816.83</v>
          </cell>
          <cell r="AI1386">
            <v>7551.24</v>
          </cell>
          <cell r="AJ1386">
            <v>7857.56</v>
          </cell>
          <cell r="AK1386">
            <v>9418.2000000000007</v>
          </cell>
          <cell r="AL1386">
            <v>0</v>
          </cell>
          <cell r="AM1386">
            <v>3</v>
          </cell>
          <cell r="AN1386" t="str">
            <v/>
          </cell>
          <cell r="AO1386">
            <v>0</v>
          </cell>
          <cell r="AP1386">
            <v>0</v>
          </cell>
          <cell r="AQ1386">
            <v>0</v>
          </cell>
          <cell r="AR1386">
            <v>600</v>
          </cell>
          <cell r="AS1386">
            <v>0</v>
          </cell>
          <cell r="AT1386" t="str">
            <v/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3450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 t="str">
            <v/>
          </cell>
          <cell r="BK1386">
            <v>4000</v>
          </cell>
          <cell r="BL1386" t="str">
            <v>0</v>
          </cell>
          <cell r="BM1386" t="str">
            <v>1</v>
          </cell>
          <cell r="BN1386" t="str">
            <v/>
          </cell>
          <cell r="BO1386" t="str">
            <v/>
          </cell>
        </row>
        <row r="1387">
          <cell r="A1387">
            <v>1</v>
          </cell>
          <cell r="B1387">
            <v>4119273</v>
          </cell>
          <cell r="C1387" t="str">
            <v>VENTES SAC SACK</v>
          </cell>
          <cell r="D1387" t="str">
            <v>SPC N-I</v>
          </cell>
          <cell r="E1387" t="str">
            <v>O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>
            <v>0</v>
          </cell>
          <cell r="AL1387">
            <v>0</v>
          </cell>
          <cell r="AM1387">
            <v>3</v>
          </cell>
          <cell r="AN1387" t="str">
            <v/>
          </cell>
          <cell r="AO1387">
            <v>0</v>
          </cell>
          <cell r="AP1387">
            <v>0</v>
          </cell>
          <cell r="AQ1387">
            <v>0</v>
          </cell>
          <cell r="AR1387">
            <v>600</v>
          </cell>
          <cell r="AS1387">
            <v>0</v>
          </cell>
          <cell r="AT1387" t="str">
            <v/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3460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 t="str">
            <v/>
          </cell>
          <cell r="BK1387">
            <v>4000</v>
          </cell>
          <cell r="BL1387" t="str">
            <v>0</v>
          </cell>
          <cell r="BM1387" t="str">
            <v>1</v>
          </cell>
          <cell r="BN1387" t="str">
            <v/>
          </cell>
          <cell r="BO1387" t="str">
            <v/>
          </cell>
        </row>
        <row r="1388">
          <cell r="A1388">
            <v>1</v>
          </cell>
          <cell r="B1388">
            <v>4119283</v>
          </cell>
          <cell r="C1388" t="str">
            <v>VENTES SAC SACK</v>
          </cell>
          <cell r="D1388" t="str">
            <v>SPC IMP</v>
          </cell>
          <cell r="E1388" t="str">
            <v>O</v>
          </cell>
          <cell r="F1388">
            <v>0</v>
          </cell>
          <cell r="G1388">
            <v>0</v>
          </cell>
          <cell r="H1388">
            <v>105270.25</v>
          </cell>
          <cell r="I1388">
            <v>825.73</v>
          </cell>
          <cell r="J1388">
            <v>106095.98</v>
          </cell>
          <cell r="K1388">
            <v>0</v>
          </cell>
          <cell r="L1388">
            <v>0</v>
          </cell>
          <cell r="M1388">
            <v>6754.76</v>
          </cell>
          <cell r="N1388">
            <v>7216.2</v>
          </cell>
          <cell r="O1388">
            <v>27310.73</v>
          </cell>
          <cell r="P1388">
            <v>35755.39</v>
          </cell>
          <cell r="Q1388">
            <v>35569.11</v>
          </cell>
          <cell r="R1388">
            <v>54211.41</v>
          </cell>
          <cell r="S1388">
            <v>62349.760000000002</v>
          </cell>
          <cell r="T1388">
            <v>78407.78</v>
          </cell>
          <cell r="U1388">
            <v>88272.8</v>
          </cell>
          <cell r="V1388">
            <v>91265.06</v>
          </cell>
          <cell r="W1388">
            <v>104296.08</v>
          </cell>
          <cell r="X1388">
            <v>105270.25</v>
          </cell>
          <cell r="Y1388">
            <v>112025.01</v>
          </cell>
          <cell r="Z1388">
            <v>3994.83</v>
          </cell>
          <cell r="AA1388">
            <v>6550.1</v>
          </cell>
          <cell r="AB1388">
            <v>21078.98</v>
          </cell>
          <cell r="AC1388">
            <v>41073.839999999997</v>
          </cell>
          <cell r="AD1388">
            <v>53430.74</v>
          </cell>
          <cell r="AE1388">
            <v>87809.55</v>
          </cell>
          <cell r="AF1388">
            <v>107747.29</v>
          </cell>
          <cell r="AG1388">
            <v>125383.54</v>
          </cell>
          <cell r="AH1388">
            <v>134622.51</v>
          </cell>
          <cell r="AI1388">
            <v>146786.93</v>
          </cell>
          <cell r="AJ1388">
            <v>149692.26</v>
          </cell>
          <cell r="AK1388">
            <v>149611.53</v>
          </cell>
          <cell r="AL1388">
            <v>0</v>
          </cell>
          <cell r="AM1388">
            <v>3</v>
          </cell>
          <cell r="AN1388" t="str">
            <v/>
          </cell>
          <cell r="AO1388">
            <v>0</v>
          </cell>
          <cell r="AP1388">
            <v>0</v>
          </cell>
          <cell r="AQ1388">
            <v>0</v>
          </cell>
          <cell r="AR1388">
            <v>600</v>
          </cell>
          <cell r="AS1388">
            <v>0</v>
          </cell>
          <cell r="AT1388" t="str">
            <v/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3470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 t="str">
            <v/>
          </cell>
          <cell r="BK1388">
            <v>4000</v>
          </cell>
          <cell r="BL1388" t="str">
            <v>0</v>
          </cell>
          <cell r="BM1388" t="str">
            <v>1</v>
          </cell>
          <cell r="BN1388" t="str">
            <v/>
          </cell>
          <cell r="BO1388" t="str">
            <v/>
          </cell>
        </row>
        <row r="1389">
          <cell r="A1389">
            <v>1</v>
          </cell>
          <cell r="B1389">
            <v>4119413</v>
          </cell>
          <cell r="C1389" t="str">
            <v>VENTES SAC F&amp;W KRAFT</v>
          </cell>
          <cell r="D1389" t="str">
            <v>N-I (45LBS ET MOINS)</v>
          </cell>
          <cell r="E1389" t="str">
            <v>O</v>
          </cell>
          <cell r="F1389">
            <v>0</v>
          </cell>
          <cell r="G1389">
            <v>0</v>
          </cell>
          <cell r="H1389">
            <v>190526.83</v>
          </cell>
          <cell r="I1389">
            <v>1122.4100000000001</v>
          </cell>
          <cell r="J1389">
            <v>191649.24</v>
          </cell>
          <cell r="K1389">
            <v>0</v>
          </cell>
          <cell r="L1389">
            <v>0</v>
          </cell>
          <cell r="M1389">
            <v>14261.8</v>
          </cell>
          <cell r="N1389">
            <v>13598.69</v>
          </cell>
          <cell r="O1389">
            <v>24657.48</v>
          </cell>
          <cell r="P1389">
            <v>47525.64</v>
          </cell>
          <cell r="Q1389">
            <v>69234.61</v>
          </cell>
          <cell r="R1389">
            <v>89052.01</v>
          </cell>
          <cell r="S1389">
            <v>110948.34</v>
          </cell>
          <cell r="T1389">
            <v>129345.02</v>
          </cell>
          <cell r="U1389">
            <v>149174.63</v>
          </cell>
          <cell r="V1389">
            <v>153775.98000000001</v>
          </cell>
          <cell r="W1389">
            <v>181354.47</v>
          </cell>
          <cell r="X1389">
            <v>190526.83</v>
          </cell>
          <cell r="Y1389">
            <v>204788.63</v>
          </cell>
          <cell r="Z1389">
            <v>12060.79</v>
          </cell>
          <cell r="AA1389">
            <v>31764.080000000002</v>
          </cell>
          <cell r="AB1389">
            <v>44775.75</v>
          </cell>
          <cell r="AC1389">
            <v>63495.63</v>
          </cell>
          <cell r="AD1389">
            <v>77429.61</v>
          </cell>
          <cell r="AE1389">
            <v>93537.19</v>
          </cell>
          <cell r="AF1389">
            <v>123810.84</v>
          </cell>
          <cell r="AG1389">
            <v>138686.48000000001</v>
          </cell>
          <cell r="AH1389">
            <v>166996.89000000001</v>
          </cell>
          <cell r="AI1389">
            <v>208175.77</v>
          </cell>
          <cell r="AJ1389">
            <v>304688.33</v>
          </cell>
          <cell r="AK1389">
            <v>363392.16</v>
          </cell>
          <cell r="AL1389">
            <v>0</v>
          </cell>
          <cell r="AM1389">
            <v>3</v>
          </cell>
          <cell r="AN1389" t="str">
            <v/>
          </cell>
          <cell r="AO1389">
            <v>0</v>
          </cell>
          <cell r="AP1389">
            <v>0</v>
          </cell>
          <cell r="AQ1389">
            <v>0</v>
          </cell>
          <cell r="AR1389">
            <v>600</v>
          </cell>
          <cell r="AS1389">
            <v>0</v>
          </cell>
          <cell r="AT1389" t="str">
            <v/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3600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 t="str">
            <v/>
          </cell>
          <cell r="BK1389">
            <v>4000</v>
          </cell>
          <cell r="BL1389" t="str">
            <v>0</v>
          </cell>
          <cell r="BM1389" t="str">
            <v>1</v>
          </cell>
          <cell r="BN1389" t="str">
            <v/>
          </cell>
          <cell r="BO1389" t="str">
            <v/>
          </cell>
        </row>
        <row r="1390">
          <cell r="A1390">
            <v>1</v>
          </cell>
          <cell r="B1390">
            <v>4119423</v>
          </cell>
          <cell r="C1390" t="str">
            <v>VENTES SAC F&amp;W KRAFT</v>
          </cell>
          <cell r="D1390" t="str">
            <v>N-I (50LBS ET PLUS)</v>
          </cell>
          <cell r="E1390" t="str">
            <v>O</v>
          </cell>
          <cell r="F1390">
            <v>0</v>
          </cell>
          <cell r="G1390">
            <v>0</v>
          </cell>
          <cell r="H1390">
            <v>52198.75</v>
          </cell>
          <cell r="I1390">
            <v>4584.38</v>
          </cell>
          <cell r="J1390">
            <v>56783.13</v>
          </cell>
          <cell r="K1390">
            <v>0</v>
          </cell>
          <cell r="L1390">
            <v>0</v>
          </cell>
          <cell r="M1390">
            <v>2756.46</v>
          </cell>
          <cell r="N1390">
            <v>2453.0700000000002</v>
          </cell>
          <cell r="O1390">
            <v>5699.03</v>
          </cell>
          <cell r="P1390">
            <v>10561.49</v>
          </cell>
          <cell r="Q1390">
            <v>19345.14</v>
          </cell>
          <cell r="R1390">
            <v>21816.87</v>
          </cell>
          <cell r="S1390">
            <v>35765.25</v>
          </cell>
          <cell r="T1390">
            <v>36965.300000000003</v>
          </cell>
          <cell r="U1390">
            <v>38410.74</v>
          </cell>
          <cell r="V1390">
            <v>34066.92</v>
          </cell>
          <cell r="W1390">
            <v>48429.68</v>
          </cell>
          <cell r="X1390">
            <v>52198.75</v>
          </cell>
          <cell r="Y1390">
            <v>54955.21</v>
          </cell>
          <cell r="Z1390">
            <v>6535.36</v>
          </cell>
          <cell r="AA1390">
            <v>12084.48</v>
          </cell>
          <cell r="AB1390">
            <v>21879.63</v>
          </cell>
          <cell r="AC1390">
            <v>31193.63</v>
          </cell>
          <cell r="AD1390">
            <v>36884.74</v>
          </cell>
          <cell r="AE1390">
            <v>45400.51</v>
          </cell>
          <cell r="AF1390">
            <v>61767.67</v>
          </cell>
          <cell r="AG1390">
            <v>64932.09</v>
          </cell>
          <cell r="AH1390">
            <v>69902.17</v>
          </cell>
          <cell r="AI1390">
            <v>90385.87</v>
          </cell>
          <cell r="AJ1390">
            <v>94870.15</v>
          </cell>
          <cell r="AK1390">
            <v>112138.29</v>
          </cell>
          <cell r="AL1390">
            <v>0</v>
          </cell>
          <cell r="AM1390">
            <v>3</v>
          </cell>
          <cell r="AN1390" t="str">
            <v/>
          </cell>
          <cell r="AO1390">
            <v>0</v>
          </cell>
          <cell r="AP1390">
            <v>0</v>
          </cell>
          <cell r="AQ1390">
            <v>0</v>
          </cell>
          <cell r="AR1390">
            <v>600</v>
          </cell>
          <cell r="AS1390">
            <v>0</v>
          </cell>
          <cell r="AT1390" t="str">
            <v/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3610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 t="str">
            <v/>
          </cell>
          <cell r="BK1390">
            <v>4000</v>
          </cell>
          <cell r="BL1390" t="str">
            <v>0</v>
          </cell>
          <cell r="BM1390" t="str">
            <v>1</v>
          </cell>
          <cell r="BN1390" t="str">
            <v/>
          </cell>
          <cell r="BO1390" t="str">
            <v/>
          </cell>
        </row>
        <row r="1391">
          <cell r="A1391">
            <v>1</v>
          </cell>
          <cell r="B1391">
            <v>4119433</v>
          </cell>
          <cell r="C1391" t="str">
            <v>VENTES SAC F&amp;W KRAFT</v>
          </cell>
          <cell r="D1391" t="str">
            <v>IMP (45LBS ET MOINS)</v>
          </cell>
          <cell r="E1391" t="str">
            <v>O</v>
          </cell>
          <cell r="F1391">
            <v>0</v>
          </cell>
          <cell r="G1391">
            <v>0</v>
          </cell>
          <cell r="H1391">
            <v>1341081.18</v>
          </cell>
          <cell r="I1391">
            <v>8893.61</v>
          </cell>
          <cell r="J1391">
            <v>1349974.79</v>
          </cell>
          <cell r="K1391">
            <v>0</v>
          </cell>
          <cell r="L1391">
            <v>0</v>
          </cell>
          <cell r="M1391">
            <v>24127.1</v>
          </cell>
          <cell r="N1391">
            <v>170021.28</v>
          </cell>
          <cell r="O1391">
            <v>260960.4</v>
          </cell>
          <cell r="P1391">
            <v>463715.65</v>
          </cell>
          <cell r="Q1391">
            <v>560612.91</v>
          </cell>
          <cell r="R1391">
            <v>781931.69</v>
          </cell>
          <cell r="S1391">
            <v>887986.46</v>
          </cell>
          <cell r="T1391">
            <v>1041369.77</v>
          </cell>
          <cell r="U1391">
            <v>1193490.47</v>
          </cell>
          <cell r="V1391">
            <v>1264071.8500000001</v>
          </cell>
          <cell r="W1391">
            <v>1272195.5900000001</v>
          </cell>
          <cell r="X1391">
            <v>1341081.18</v>
          </cell>
          <cell r="Y1391">
            <v>1365208.28</v>
          </cell>
          <cell r="Z1391">
            <v>197922.23</v>
          </cell>
          <cell r="AA1391">
            <v>353302.9</v>
          </cell>
          <cell r="AB1391">
            <v>450188.49</v>
          </cell>
          <cell r="AC1391">
            <v>642159.06999999995</v>
          </cell>
          <cell r="AD1391">
            <v>865858.38</v>
          </cell>
          <cell r="AE1391">
            <v>1139290.21</v>
          </cell>
          <cell r="AF1391">
            <v>1349961.64</v>
          </cell>
          <cell r="AG1391">
            <v>1546712.3</v>
          </cell>
          <cell r="AH1391">
            <v>1811985.47</v>
          </cell>
          <cell r="AI1391">
            <v>2120234.81</v>
          </cell>
          <cell r="AJ1391">
            <v>2378750.4300000002</v>
          </cell>
          <cell r="AK1391">
            <v>2671703.73</v>
          </cell>
          <cell r="AL1391">
            <v>0</v>
          </cell>
          <cell r="AM1391">
            <v>3</v>
          </cell>
          <cell r="AN1391" t="str">
            <v/>
          </cell>
          <cell r="AO1391">
            <v>0</v>
          </cell>
          <cell r="AP1391">
            <v>0</v>
          </cell>
          <cell r="AQ1391">
            <v>0</v>
          </cell>
          <cell r="AR1391">
            <v>600</v>
          </cell>
          <cell r="AS1391">
            <v>0</v>
          </cell>
          <cell r="AT1391" t="str">
            <v/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3620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 t="str">
            <v/>
          </cell>
          <cell r="BK1391">
            <v>4000</v>
          </cell>
          <cell r="BL1391" t="str">
            <v>0</v>
          </cell>
          <cell r="BM1391" t="str">
            <v>1</v>
          </cell>
          <cell r="BN1391" t="str">
            <v/>
          </cell>
          <cell r="BO1391" t="str">
            <v/>
          </cell>
        </row>
        <row r="1392">
          <cell r="A1392">
            <v>1</v>
          </cell>
          <cell r="B1392">
            <v>4119443</v>
          </cell>
          <cell r="C1392" t="str">
            <v>VENTES SAC F&amp;W KRAFT</v>
          </cell>
          <cell r="D1392" t="str">
            <v>IMP (50LBS ET PLUS)</v>
          </cell>
          <cell r="E1392" t="str">
            <v>O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3</v>
          </cell>
          <cell r="AN1392" t="str">
            <v/>
          </cell>
          <cell r="AO1392">
            <v>0</v>
          </cell>
          <cell r="AP1392">
            <v>0</v>
          </cell>
          <cell r="AQ1392">
            <v>0</v>
          </cell>
          <cell r="AR1392">
            <v>600</v>
          </cell>
          <cell r="AS1392">
            <v>0</v>
          </cell>
          <cell r="AT1392" t="str">
            <v/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3630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 t="str">
            <v/>
          </cell>
          <cell r="BK1392">
            <v>4000</v>
          </cell>
          <cell r="BL1392" t="str">
            <v>0</v>
          </cell>
          <cell r="BM1392" t="str">
            <v>1</v>
          </cell>
          <cell r="BN1392" t="str">
            <v/>
          </cell>
          <cell r="BO1392" t="str">
            <v/>
          </cell>
        </row>
        <row r="1393">
          <cell r="A1393">
            <v>1</v>
          </cell>
          <cell r="B1393">
            <v>4119453</v>
          </cell>
          <cell r="C1393" t="str">
            <v>VENTES SAC F&amp;W</v>
          </cell>
          <cell r="D1393" t="str">
            <v>WHITE N-I</v>
          </cell>
          <cell r="E1393" t="str">
            <v>O</v>
          </cell>
          <cell r="F1393">
            <v>0</v>
          </cell>
          <cell r="G1393">
            <v>0</v>
          </cell>
          <cell r="H1393">
            <v>119915.29</v>
          </cell>
          <cell r="I1393">
            <v>670.77</v>
          </cell>
          <cell r="J1393">
            <v>120586.06</v>
          </cell>
          <cell r="K1393">
            <v>0</v>
          </cell>
          <cell r="L1393">
            <v>0</v>
          </cell>
          <cell r="M1393">
            <v>11856.5</v>
          </cell>
          <cell r="N1393">
            <v>8915.43</v>
          </cell>
          <cell r="O1393">
            <v>14209.75</v>
          </cell>
          <cell r="P1393">
            <v>23291.37</v>
          </cell>
          <cell r="Q1393">
            <v>36924.49</v>
          </cell>
          <cell r="R1393">
            <v>46986.89</v>
          </cell>
          <cell r="S1393">
            <v>60513.97</v>
          </cell>
          <cell r="T1393">
            <v>73923.89</v>
          </cell>
          <cell r="U1393">
            <v>86797.86</v>
          </cell>
          <cell r="V1393">
            <v>98177.62</v>
          </cell>
          <cell r="W1393">
            <v>109928.45</v>
          </cell>
          <cell r="X1393">
            <v>119915.29</v>
          </cell>
          <cell r="Y1393">
            <v>131771.79</v>
          </cell>
          <cell r="Z1393">
            <v>13913.94</v>
          </cell>
          <cell r="AA1393">
            <v>16934.900000000001</v>
          </cell>
          <cell r="AB1393">
            <v>29604.76</v>
          </cell>
          <cell r="AC1393">
            <v>50086.98</v>
          </cell>
          <cell r="AD1393">
            <v>60166.7</v>
          </cell>
          <cell r="AE1393">
            <v>76436.429999999993</v>
          </cell>
          <cell r="AF1393">
            <v>92384.36</v>
          </cell>
          <cell r="AG1393">
            <v>102017.16</v>
          </cell>
          <cell r="AH1393">
            <v>115430.7</v>
          </cell>
          <cell r="AI1393">
            <v>125303.79</v>
          </cell>
          <cell r="AJ1393">
            <v>134514.99</v>
          </cell>
          <cell r="AK1393">
            <v>148428.56</v>
          </cell>
          <cell r="AL1393">
            <v>0</v>
          </cell>
          <cell r="AM1393">
            <v>3</v>
          </cell>
          <cell r="AN1393" t="str">
            <v/>
          </cell>
          <cell r="AO1393">
            <v>0</v>
          </cell>
          <cell r="AP1393">
            <v>0</v>
          </cell>
          <cell r="AQ1393">
            <v>0</v>
          </cell>
          <cell r="AR1393">
            <v>600</v>
          </cell>
          <cell r="AS1393">
            <v>0</v>
          </cell>
          <cell r="AT1393" t="str">
            <v/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3640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 t="str">
            <v/>
          </cell>
          <cell r="BK1393">
            <v>4000</v>
          </cell>
          <cell r="BL1393" t="str">
            <v>0</v>
          </cell>
          <cell r="BM1393" t="str">
            <v>1</v>
          </cell>
          <cell r="BN1393" t="str">
            <v/>
          </cell>
          <cell r="BO1393" t="str">
            <v/>
          </cell>
        </row>
        <row r="1394">
          <cell r="A1394">
            <v>1</v>
          </cell>
          <cell r="B1394">
            <v>4119463</v>
          </cell>
          <cell r="C1394" t="str">
            <v>VENTES SAC F&amp;W</v>
          </cell>
          <cell r="D1394" t="str">
            <v>WHITE IMP</v>
          </cell>
          <cell r="E1394" t="str">
            <v>O</v>
          </cell>
          <cell r="F1394">
            <v>0</v>
          </cell>
          <cell r="G1394">
            <v>0</v>
          </cell>
          <cell r="H1394">
            <v>197249.93</v>
          </cell>
          <cell r="I1394">
            <v>1252.93</v>
          </cell>
          <cell r="J1394">
            <v>198502.86</v>
          </cell>
          <cell r="K1394">
            <v>0</v>
          </cell>
          <cell r="L1394">
            <v>0</v>
          </cell>
          <cell r="M1394">
            <v>50894.94</v>
          </cell>
          <cell r="N1394">
            <v>26937.02</v>
          </cell>
          <cell r="O1394">
            <v>38643.89</v>
          </cell>
          <cell r="P1394">
            <v>59975.82</v>
          </cell>
          <cell r="Q1394">
            <v>67982.210000000006</v>
          </cell>
          <cell r="R1394">
            <v>78944.55</v>
          </cell>
          <cell r="S1394">
            <v>108045.07</v>
          </cell>
          <cell r="T1394">
            <v>121856.41</v>
          </cell>
          <cell r="U1394">
            <v>150827.35</v>
          </cell>
          <cell r="V1394">
            <v>165501.82</v>
          </cell>
          <cell r="W1394">
            <v>179200.75</v>
          </cell>
          <cell r="X1394">
            <v>197249.93</v>
          </cell>
          <cell r="Y1394">
            <v>248144.87</v>
          </cell>
          <cell r="Z1394">
            <v>14842.88</v>
          </cell>
          <cell r="AA1394">
            <v>42411.1</v>
          </cell>
          <cell r="AB1394">
            <v>70453.63</v>
          </cell>
          <cell r="AC1394">
            <v>83274.539999999994</v>
          </cell>
          <cell r="AD1394">
            <v>98863.11</v>
          </cell>
          <cell r="AE1394">
            <v>121275.78</v>
          </cell>
          <cell r="AF1394">
            <v>156387.54999999999</v>
          </cell>
          <cell r="AG1394">
            <v>177040.96</v>
          </cell>
          <cell r="AH1394">
            <v>199057.37</v>
          </cell>
          <cell r="AI1394">
            <v>233910.87</v>
          </cell>
          <cell r="AJ1394">
            <v>246335.14</v>
          </cell>
          <cell r="AK1394">
            <v>275296.32</v>
          </cell>
          <cell r="AL1394">
            <v>0</v>
          </cell>
          <cell r="AM1394">
            <v>3</v>
          </cell>
          <cell r="AN1394" t="str">
            <v/>
          </cell>
          <cell r="AO1394">
            <v>0</v>
          </cell>
          <cell r="AP1394">
            <v>0</v>
          </cell>
          <cell r="AQ1394">
            <v>0</v>
          </cell>
          <cell r="AR1394">
            <v>600</v>
          </cell>
          <cell r="AS1394">
            <v>0</v>
          </cell>
          <cell r="AT1394" t="str">
            <v/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3650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 t="str">
            <v/>
          </cell>
          <cell r="BK1394">
            <v>4000</v>
          </cell>
          <cell r="BL1394" t="str">
            <v>0</v>
          </cell>
          <cell r="BM1394" t="str">
            <v>1</v>
          </cell>
          <cell r="BN1394" t="str">
            <v/>
          </cell>
          <cell r="BO1394" t="str">
            <v/>
          </cell>
        </row>
        <row r="1395">
          <cell r="A1395">
            <v>1</v>
          </cell>
          <cell r="B1395">
            <v>4119473</v>
          </cell>
          <cell r="C1395" t="str">
            <v>VENTES SAC F&amp;W</v>
          </cell>
          <cell r="D1395" t="str">
            <v>SPC N-I</v>
          </cell>
          <cell r="E1395" t="str">
            <v>O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3</v>
          </cell>
          <cell r="AN1395" t="str">
            <v/>
          </cell>
          <cell r="AO1395">
            <v>0</v>
          </cell>
          <cell r="AP1395">
            <v>0</v>
          </cell>
          <cell r="AQ1395">
            <v>0</v>
          </cell>
          <cell r="AR1395">
            <v>600</v>
          </cell>
          <cell r="AS1395">
            <v>0</v>
          </cell>
          <cell r="AT1395" t="str">
            <v/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3660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 t="str">
            <v/>
          </cell>
          <cell r="BK1395">
            <v>4000</v>
          </cell>
          <cell r="BL1395" t="str">
            <v>0</v>
          </cell>
          <cell r="BM1395" t="str">
            <v>1</v>
          </cell>
          <cell r="BN1395" t="str">
            <v/>
          </cell>
          <cell r="BO1395" t="str">
            <v/>
          </cell>
        </row>
        <row r="1396">
          <cell r="A1396">
            <v>1</v>
          </cell>
          <cell r="B1396">
            <v>4119483</v>
          </cell>
          <cell r="C1396" t="str">
            <v>VENTES SAC F&amp;W</v>
          </cell>
          <cell r="D1396" t="str">
            <v>SPC IMP</v>
          </cell>
          <cell r="E1396" t="str">
            <v>O</v>
          </cell>
          <cell r="F1396">
            <v>0</v>
          </cell>
          <cell r="G1396">
            <v>0</v>
          </cell>
          <cell r="H1396">
            <v>234854.06</v>
          </cell>
          <cell r="I1396">
            <v>1781.18</v>
          </cell>
          <cell r="J1396">
            <v>236635.24</v>
          </cell>
          <cell r="K1396">
            <v>0</v>
          </cell>
          <cell r="L1396">
            <v>0</v>
          </cell>
          <cell r="M1396">
            <v>14463.68</v>
          </cell>
          <cell r="N1396">
            <v>16933.87</v>
          </cell>
          <cell r="O1396">
            <v>37688.839999999997</v>
          </cell>
          <cell r="P1396">
            <v>65043.519999999997</v>
          </cell>
          <cell r="Q1396">
            <v>85254.02</v>
          </cell>
          <cell r="R1396">
            <v>113942.55</v>
          </cell>
          <cell r="S1396">
            <v>138865.66</v>
          </cell>
          <cell r="T1396">
            <v>162178.89000000001</v>
          </cell>
          <cell r="U1396">
            <v>183909.53</v>
          </cell>
          <cell r="V1396">
            <v>199564.83</v>
          </cell>
          <cell r="W1396">
            <v>212478.37</v>
          </cell>
          <cell r="X1396">
            <v>234854.06</v>
          </cell>
          <cell r="Y1396">
            <v>249317.74</v>
          </cell>
          <cell r="Z1396">
            <v>17017.23</v>
          </cell>
          <cell r="AA1396">
            <v>40453.49</v>
          </cell>
          <cell r="AB1396">
            <v>70563.539999999994</v>
          </cell>
          <cell r="AC1396">
            <v>92251.71</v>
          </cell>
          <cell r="AD1396">
            <v>113806.57</v>
          </cell>
          <cell r="AE1396">
            <v>141946.82999999999</v>
          </cell>
          <cell r="AF1396">
            <v>173010.34</v>
          </cell>
          <cell r="AG1396">
            <v>190270.07</v>
          </cell>
          <cell r="AH1396">
            <v>203668.36</v>
          </cell>
          <cell r="AI1396">
            <v>219823.79</v>
          </cell>
          <cell r="AJ1396">
            <v>226175.8</v>
          </cell>
          <cell r="AK1396">
            <v>237791.15</v>
          </cell>
          <cell r="AL1396">
            <v>0</v>
          </cell>
          <cell r="AM1396">
            <v>3</v>
          </cell>
          <cell r="AN1396" t="str">
            <v/>
          </cell>
          <cell r="AO1396">
            <v>0</v>
          </cell>
          <cell r="AP1396">
            <v>0</v>
          </cell>
          <cell r="AQ1396">
            <v>0</v>
          </cell>
          <cell r="AR1396">
            <v>600</v>
          </cell>
          <cell r="AS1396">
            <v>0</v>
          </cell>
          <cell r="AT1396" t="str">
            <v/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3670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 t="str">
            <v/>
          </cell>
          <cell r="BK1396">
            <v>4000</v>
          </cell>
          <cell r="BL1396" t="str">
            <v>0</v>
          </cell>
          <cell r="BM1396" t="str">
            <v>1</v>
          </cell>
          <cell r="BN1396" t="str">
            <v/>
          </cell>
          <cell r="BO1396" t="str">
            <v/>
          </cell>
        </row>
        <row r="1397">
          <cell r="A1397">
            <v>1</v>
          </cell>
          <cell r="B1397">
            <v>4111221</v>
          </cell>
          <cell r="C1397" t="str">
            <v>PAPIER BRUN 22 LIVRES</v>
          </cell>
          <cell r="D1397" t="str">
            <v/>
          </cell>
          <cell r="E1397" t="str">
            <v>O</v>
          </cell>
          <cell r="F1397">
            <v>0</v>
          </cell>
          <cell r="G1397">
            <v>0</v>
          </cell>
          <cell r="H1397">
            <v>1012104.69</v>
          </cell>
          <cell r="I1397">
            <v>15475</v>
          </cell>
          <cell r="J1397">
            <v>1027579.69</v>
          </cell>
          <cell r="K1397">
            <v>0</v>
          </cell>
          <cell r="L1397">
            <v>0</v>
          </cell>
          <cell r="M1397">
            <v>142557.20000000001</v>
          </cell>
          <cell r="N1397">
            <v>0</v>
          </cell>
          <cell r="O1397">
            <v>30129.040000000001</v>
          </cell>
          <cell r="P1397">
            <v>85734.39</v>
          </cell>
          <cell r="Q1397">
            <v>144294.09</v>
          </cell>
          <cell r="R1397">
            <v>222194.4</v>
          </cell>
          <cell r="S1397">
            <v>281311.84999999998</v>
          </cell>
          <cell r="T1397">
            <v>379143.51</v>
          </cell>
          <cell r="U1397">
            <v>551476.62</v>
          </cell>
          <cell r="V1397">
            <v>759797.54</v>
          </cell>
          <cell r="W1397">
            <v>872782.1</v>
          </cell>
          <cell r="X1397">
            <v>1012104.69</v>
          </cell>
          <cell r="Y1397">
            <v>1154661.8899999999</v>
          </cell>
          <cell r="Z1397">
            <v>0</v>
          </cell>
          <cell r="AA1397">
            <v>5039.04</v>
          </cell>
          <cell r="AB1397">
            <v>10456.08</v>
          </cell>
          <cell r="AC1397">
            <v>23338.61</v>
          </cell>
          <cell r="AD1397">
            <v>36443.21</v>
          </cell>
          <cell r="AE1397">
            <v>63768.25</v>
          </cell>
          <cell r="AF1397">
            <v>124844.37</v>
          </cell>
          <cell r="AG1397">
            <v>222375.74</v>
          </cell>
          <cell r="AH1397">
            <v>285775.57</v>
          </cell>
          <cell r="AI1397">
            <v>366919.55</v>
          </cell>
          <cell r="AJ1397">
            <v>436758.88</v>
          </cell>
          <cell r="AK1397">
            <v>466520.93</v>
          </cell>
          <cell r="AL1397">
            <v>0</v>
          </cell>
          <cell r="AM1397">
            <v>1</v>
          </cell>
          <cell r="AN1397" t="str">
            <v/>
          </cell>
          <cell r="AO1397">
            <v>0</v>
          </cell>
          <cell r="AP1397">
            <v>0</v>
          </cell>
          <cell r="AQ1397">
            <v>0</v>
          </cell>
          <cell r="AR1397">
            <v>600</v>
          </cell>
          <cell r="AS1397">
            <v>0</v>
          </cell>
          <cell r="AT1397" t="str">
            <v/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30522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 t="str">
            <v/>
          </cell>
          <cell r="BK1397">
            <v>4000</v>
          </cell>
          <cell r="BL1397" t="str">
            <v>0</v>
          </cell>
          <cell r="BM1397" t="str">
            <v>1</v>
          </cell>
          <cell r="BN1397" t="str">
            <v/>
          </cell>
          <cell r="BO1397" t="str">
            <v/>
          </cell>
        </row>
        <row r="1398">
          <cell r="A1398">
            <v>1</v>
          </cell>
          <cell r="B1398">
            <v>4111271</v>
          </cell>
          <cell r="C1398" t="str">
            <v>PAPIER BRUN 27 LIVRES</v>
          </cell>
          <cell r="D1398" t="str">
            <v/>
          </cell>
          <cell r="E1398" t="str">
            <v>O</v>
          </cell>
          <cell r="F1398">
            <v>0</v>
          </cell>
          <cell r="G1398">
            <v>0</v>
          </cell>
          <cell r="H1398">
            <v>9251.17</v>
          </cell>
          <cell r="I1398">
            <v>0</v>
          </cell>
          <cell r="J1398">
            <v>9251.17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5816.96</v>
          </cell>
          <cell r="P1398">
            <v>5816.96</v>
          </cell>
          <cell r="Q1398">
            <v>5816.96</v>
          </cell>
          <cell r="R1398">
            <v>9251.17</v>
          </cell>
          <cell r="S1398">
            <v>9251.17</v>
          </cell>
          <cell r="T1398">
            <v>9251.17</v>
          </cell>
          <cell r="U1398">
            <v>9251.17</v>
          </cell>
          <cell r="V1398">
            <v>9251.17</v>
          </cell>
          <cell r="W1398">
            <v>9251.17</v>
          </cell>
          <cell r="X1398">
            <v>9251.17</v>
          </cell>
          <cell r="Y1398">
            <v>9251.17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1</v>
          </cell>
          <cell r="AN1398" t="str">
            <v/>
          </cell>
          <cell r="AO1398">
            <v>0</v>
          </cell>
          <cell r="AP1398">
            <v>0</v>
          </cell>
          <cell r="AQ1398">
            <v>0</v>
          </cell>
          <cell r="AR1398">
            <v>600</v>
          </cell>
          <cell r="AS1398">
            <v>0</v>
          </cell>
          <cell r="AT1398" t="str">
            <v/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30062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 t="str">
            <v/>
          </cell>
          <cell r="BK1398">
            <v>4000</v>
          </cell>
          <cell r="BL1398" t="str">
            <v>0</v>
          </cell>
          <cell r="BM1398" t="str">
            <v>1</v>
          </cell>
          <cell r="BN1398" t="str">
            <v/>
          </cell>
          <cell r="BO1398" t="str">
            <v/>
          </cell>
        </row>
        <row r="1399">
          <cell r="A1399">
            <v>1</v>
          </cell>
          <cell r="B1399">
            <v>4111311</v>
          </cell>
          <cell r="C1399" t="str">
            <v>PAPIER BRUN 31 LIVRES HWS</v>
          </cell>
          <cell r="D1399" t="str">
            <v/>
          </cell>
          <cell r="E1399" t="str">
            <v>O</v>
          </cell>
          <cell r="F1399">
            <v>0</v>
          </cell>
          <cell r="G1399">
            <v>0</v>
          </cell>
          <cell r="H1399">
            <v>5330.25</v>
          </cell>
          <cell r="I1399">
            <v>3341.25</v>
          </cell>
          <cell r="J1399">
            <v>8671.5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1989</v>
          </cell>
          <cell r="T1399">
            <v>5330.25</v>
          </cell>
          <cell r="U1399">
            <v>5330.25</v>
          </cell>
          <cell r="V1399">
            <v>5330.25</v>
          </cell>
          <cell r="W1399">
            <v>5330.25</v>
          </cell>
          <cell r="X1399">
            <v>5330.25</v>
          </cell>
          <cell r="Y1399">
            <v>5330.25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31499.55</v>
          </cell>
          <cell r="AF1399">
            <v>31499.55</v>
          </cell>
          <cell r="AG1399">
            <v>31499.55</v>
          </cell>
          <cell r="AH1399">
            <v>31499.55</v>
          </cell>
          <cell r="AI1399">
            <v>31499.55</v>
          </cell>
          <cell r="AJ1399">
            <v>31499.55</v>
          </cell>
          <cell r="AK1399">
            <v>31499.55</v>
          </cell>
          <cell r="AL1399">
            <v>0</v>
          </cell>
          <cell r="AM1399">
            <v>1</v>
          </cell>
          <cell r="AN1399" t="str">
            <v/>
          </cell>
          <cell r="AO1399">
            <v>0</v>
          </cell>
          <cell r="AP1399">
            <v>0</v>
          </cell>
          <cell r="AQ1399">
            <v>0</v>
          </cell>
          <cell r="AR1399">
            <v>600</v>
          </cell>
          <cell r="AS1399">
            <v>0</v>
          </cell>
          <cell r="AT1399" t="str">
            <v/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30531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 t="str">
            <v/>
          </cell>
          <cell r="BK1399">
            <v>4000</v>
          </cell>
          <cell r="BL1399" t="str">
            <v>0</v>
          </cell>
          <cell r="BM1399" t="str">
            <v>1</v>
          </cell>
          <cell r="BN1399" t="str">
            <v/>
          </cell>
          <cell r="BO1399" t="str">
            <v/>
          </cell>
        </row>
        <row r="1400">
          <cell r="A1400">
            <v>1</v>
          </cell>
          <cell r="B1400">
            <v>4112201</v>
          </cell>
          <cell r="C1400" t="str">
            <v>PAPIER BLANC 20 LIVRE</v>
          </cell>
          <cell r="D1400" t="str">
            <v/>
          </cell>
          <cell r="E1400" t="str">
            <v>O</v>
          </cell>
          <cell r="F1400">
            <v>0</v>
          </cell>
          <cell r="G1400">
            <v>0</v>
          </cell>
          <cell r="H1400">
            <v>226849.82</v>
          </cell>
          <cell r="I1400">
            <v>0</v>
          </cell>
          <cell r="J1400">
            <v>226849.82</v>
          </cell>
          <cell r="K1400">
            <v>0</v>
          </cell>
          <cell r="L1400">
            <v>0</v>
          </cell>
          <cell r="M1400">
            <v>73630.080000000002</v>
          </cell>
          <cell r="N1400">
            <v>0</v>
          </cell>
          <cell r="O1400">
            <v>22089.08</v>
          </cell>
          <cell r="P1400">
            <v>22089.08</v>
          </cell>
          <cell r="Q1400">
            <v>44134.68</v>
          </cell>
          <cell r="R1400">
            <v>66303.98</v>
          </cell>
          <cell r="S1400">
            <v>89466.35</v>
          </cell>
          <cell r="T1400">
            <v>111046.45</v>
          </cell>
          <cell r="U1400">
            <v>156633.54999999999</v>
          </cell>
          <cell r="V1400">
            <v>157743.71</v>
          </cell>
          <cell r="W1400">
            <v>181618.39</v>
          </cell>
          <cell r="X1400">
            <v>226849.82</v>
          </cell>
          <cell r="Y1400">
            <v>300479.90000000002</v>
          </cell>
          <cell r="Z1400">
            <v>7464</v>
          </cell>
          <cell r="AA1400">
            <v>11492</v>
          </cell>
          <cell r="AB1400">
            <v>11492</v>
          </cell>
          <cell r="AC1400">
            <v>25548.69</v>
          </cell>
          <cell r="AD1400">
            <v>25548.69</v>
          </cell>
          <cell r="AE1400">
            <v>21448.69</v>
          </cell>
          <cell r="AF1400">
            <v>21448.69</v>
          </cell>
          <cell r="AG1400">
            <v>38430.71</v>
          </cell>
          <cell r="AH1400">
            <v>38430.71</v>
          </cell>
          <cell r="AI1400">
            <v>38430.71</v>
          </cell>
          <cell r="AJ1400">
            <v>38430.71</v>
          </cell>
          <cell r="AK1400">
            <v>38430.71</v>
          </cell>
          <cell r="AL1400">
            <v>0</v>
          </cell>
          <cell r="AM1400">
            <v>1</v>
          </cell>
          <cell r="AN1400" t="str">
            <v/>
          </cell>
          <cell r="AO1400">
            <v>0</v>
          </cell>
          <cell r="AP1400">
            <v>0</v>
          </cell>
          <cell r="AQ1400">
            <v>0</v>
          </cell>
          <cell r="AR1400">
            <v>600</v>
          </cell>
          <cell r="AS1400">
            <v>0</v>
          </cell>
          <cell r="AT1400" t="str">
            <v/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30420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 t="str">
            <v/>
          </cell>
          <cell r="BK1400">
            <v>4000</v>
          </cell>
          <cell r="BL1400" t="str">
            <v>0</v>
          </cell>
          <cell r="BM1400" t="str">
            <v>1</v>
          </cell>
          <cell r="BN1400" t="str">
            <v/>
          </cell>
          <cell r="BO1400" t="str">
            <v/>
          </cell>
        </row>
        <row r="1401">
          <cell r="A1401">
            <v>1</v>
          </cell>
          <cell r="B1401">
            <v>4112261</v>
          </cell>
          <cell r="C1401" t="str">
            <v>PAPIER BLANC 26 LIVRE</v>
          </cell>
          <cell r="D1401" t="str">
            <v/>
          </cell>
          <cell r="E1401" t="str">
            <v>O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1</v>
          </cell>
          <cell r="AN1401" t="str">
            <v/>
          </cell>
          <cell r="AO1401">
            <v>0</v>
          </cell>
          <cell r="AP1401">
            <v>0</v>
          </cell>
          <cell r="AQ1401">
            <v>0</v>
          </cell>
          <cell r="AR1401">
            <v>600</v>
          </cell>
          <cell r="AS1401">
            <v>0</v>
          </cell>
          <cell r="AT1401" t="str">
            <v/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31047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 t="str">
            <v/>
          </cell>
          <cell r="BK1401">
            <v>4000</v>
          </cell>
          <cell r="BL1401" t="str">
            <v>0</v>
          </cell>
          <cell r="BM1401" t="str">
            <v>1</v>
          </cell>
          <cell r="BN1401" t="str">
            <v/>
          </cell>
          <cell r="BO1401" t="str">
            <v/>
          </cell>
        </row>
        <row r="1402">
          <cell r="A1402">
            <v>1</v>
          </cell>
          <cell r="B1402">
            <v>4112271</v>
          </cell>
          <cell r="C1402" t="str">
            <v>PAPIER PERLE 27 LIVRE</v>
          </cell>
          <cell r="D1402" t="str">
            <v/>
          </cell>
          <cell r="E1402" t="str">
            <v>O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1</v>
          </cell>
          <cell r="AN1402" t="str">
            <v/>
          </cell>
          <cell r="AO1402">
            <v>0</v>
          </cell>
          <cell r="AP1402">
            <v>0</v>
          </cell>
          <cell r="AQ1402">
            <v>0</v>
          </cell>
          <cell r="AR1402">
            <v>600</v>
          </cell>
          <cell r="AS1402">
            <v>0</v>
          </cell>
          <cell r="AT1402" t="str">
            <v/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31050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 t="str">
            <v/>
          </cell>
          <cell r="BK1402">
            <v>4000</v>
          </cell>
          <cell r="BL1402" t="str">
            <v>0</v>
          </cell>
          <cell r="BM1402" t="str">
            <v>1</v>
          </cell>
          <cell r="BN1402" t="str">
            <v/>
          </cell>
          <cell r="BO1402" t="str">
            <v/>
          </cell>
        </row>
        <row r="1403">
          <cell r="A1403">
            <v>1</v>
          </cell>
          <cell r="B1403">
            <v>4111991</v>
          </cell>
          <cell r="C1403" t="str">
            <v>DIVERS ROULEAUX EXTERNE</v>
          </cell>
          <cell r="D1403" t="str">
            <v/>
          </cell>
          <cell r="E1403" t="str">
            <v>O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>
            <v>0</v>
          </cell>
          <cell r="AL1403">
            <v>0</v>
          </cell>
          <cell r="AM1403">
            <v>1</v>
          </cell>
          <cell r="AN1403" t="str">
            <v/>
          </cell>
          <cell r="AO1403">
            <v>0</v>
          </cell>
          <cell r="AP1403">
            <v>0</v>
          </cell>
          <cell r="AQ1403">
            <v>0</v>
          </cell>
          <cell r="AR1403">
            <v>600</v>
          </cell>
          <cell r="AS1403">
            <v>0</v>
          </cell>
          <cell r="AT1403" t="str">
            <v/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 t="str">
            <v/>
          </cell>
          <cell r="BK1403">
            <v>4000</v>
          </cell>
          <cell r="BL1403" t="str">
            <v>0</v>
          </cell>
          <cell r="BM1403" t="str">
            <v>1</v>
          </cell>
          <cell r="BN1403" t="str">
            <v/>
          </cell>
          <cell r="BO1403" t="str">
            <v/>
          </cell>
        </row>
        <row r="1404">
          <cell r="A1404">
            <v>2</v>
          </cell>
          <cell r="B1404">
            <v>4461052</v>
          </cell>
          <cell r="C1404" t="str">
            <v>MECANICIENS &amp; ELECTRICIEN</v>
          </cell>
          <cell r="D1404" t="str">
            <v>MACHINE 05</v>
          </cell>
          <cell r="E1404" t="str">
            <v>O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0</v>
          </cell>
          <cell r="AK1404">
            <v>0</v>
          </cell>
          <cell r="AL1404">
            <v>0</v>
          </cell>
          <cell r="AM1404">
            <v>2</v>
          </cell>
          <cell r="AN1404" t="str">
            <v/>
          </cell>
          <cell r="AO1404">
            <v>0</v>
          </cell>
          <cell r="AP1404">
            <v>0</v>
          </cell>
          <cell r="AQ1404">
            <v>0</v>
          </cell>
          <cell r="AR1404">
            <v>700</v>
          </cell>
          <cell r="AS1404">
            <v>0</v>
          </cell>
          <cell r="AT1404" t="str">
            <v/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 t="str">
            <v/>
          </cell>
          <cell r="BK1404">
            <v>7000</v>
          </cell>
          <cell r="BL1404" t="str">
            <v>0</v>
          </cell>
          <cell r="BM1404" t="str">
            <v>1</v>
          </cell>
          <cell r="BN1404" t="str">
            <v/>
          </cell>
          <cell r="BO1404" t="str">
            <v/>
          </cell>
        </row>
        <row r="1405">
          <cell r="A1405">
            <v>1</v>
          </cell>
          <cell r="B1405">
            <v>4471052</v>
          </cell>
          <cell r="C1405" t="str">
            <v>ENTRETIEN ET REPARATIONS</v>
          </cell>
          <cell r="D1405" t="str">
            <v>MACHINE 05</v>
          </cell>
          <cell r="E1405" t="str">
            <v>O</v>
          </cell>
          <cell r="F1405">
            <v>0</v>
          </cell>
          <cell r="G1405">
            <v>0</v>
          </cell>
          <cell r="H1405">
            <v>0</v>
          </cell>
          <cell r="I1405">
            <v>484.62</v>
          </cell>
          <cell r="J1405">
            <v>484.62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484.62</v>
          </cell>
          <cell r="T1405">
            <v>484.62</v>
          </cell>
          <cell r="U1405">
            <v>484.62</v>
          </cell>
          <cell r="V1405">
            <v>484.62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18.29</v>
          </cell>
          <cell r="AC1405">
            <v>52.54</v>
          </cell>
          <cell r="AD1405">
            <v>52.54</v>
          </cell>
          <cell r="AE1405">
            <v>52.54</v>
          </cell>
          <cell r="AF1405">
            <v>52.54</v>
          </cell>
          <cell r="AG1405">
            <v>52.54</v>
          </cell>
          <cell r="AH1405">
            <v>52.54</v>
          </cell>
          <cell r="AI1405">
            <v>104.3</v>
          </cell>
          <cell r="AJ1405">
            <v>104.3</v>
          </cell>
          <cell r="AK1405">
            <v>104.3</v>
          </cell>
          <cell r="AL1405">
            <v>0</v>
          </cell>
          <cell r="AM1405">
            <v>2</v>
          </cell>
          <cell r="AN1405" t="str">
            <v/>
          </cell>
          <cell r="AO1405">
            <v>0</v>
          </cell>
          <cell r="AP1405">
            <v>0</v>
          </cell>
          <cell r="AQ1405">
            <v>0</v>
          </cell>
          <cell r="AR1405">
            <v>720</v>
          </cell>
          <cell r="AS1405">
            <v>0</v>
          </cell>
          <cell r="AT1405" t="str">
            <v/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 t="str">
            <v/>
          </cell>
          <cell r="BK1405">
            <v>7000</v>
          </cell>
          <cell r="BL1405" t="str">
            <v>0</v>
          </cell>
          <cell r="BM1405" t="str">
            <v>1</v>
          </cell>
          <cell r="BN1405" t="str">
            <v/>
          </cell>
          <cell r="BO1405" t="str">
            <v/>
          </cell>
        </row>
        <row r="1406">
          <cell r="A1406">
            <v>1</v>
          </cell>
          <cell r="B1406">
            <v>4221253</v>
          </cell>
          <cell r="C1406" t="str">
            <v>MATIERE PREMIERE SACS</v>
          </cell>
          <cell r="D1406" t="str">
            <v>BRUN DD25</v>
          </cell>
          <cell r="E1406" t="str">
            <v>O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0.4</v>
          </cell>
          <cell r="AA1406">
            <v>0.4</v>
          </cell>
          <cell r="AB1406">
            <v>0.4</v>
          </cell>
          <cell r="AC1406">
            <v>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>
            <v>0</v>
          </cell>
          <cell r="AL1406">
            <v>0</v>
          </cell>
          <cell r="AM1406">
            <v>3</v>
          </cell>
          <cell r="AN1406" t="str">
            <v/>
          </cell>
          <cell r="AO1406">
            <v>0</v>
          </cell>
          <cell r="AP1406">
            <v>0</v>
          </cell>
          <cell r="AQ1406">
            <v>0</v>
          </cell>
          <cell r="AR1406">
            <v>660</v>
          </cell>
          <cell r="AS1406">
            <v>0</v>
          </cell>
          <cell r="AT1406" t="str">
            <v/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 t="str">
            <v/>
          </cell>
          <cell r="BK1406">
            <v>5100</v>
          </cell>
          <cell r="BL1406" t="str">
            <v>0</v>
          </cell>
          <cell r="BM1406" t="str">
            <v>1</v>
          </cell>
          <cell r="BN1406" t="str">
            <v/>
          </cell>
          <cell r="BO1406" t="str">
            <v/>
          </cell>
        </row>
        <row r="1407">
          <cell r="A1407">
            <v>1</v>
          </cell>
          <cell r="B1407">
            <v>4221303</v>
          </cell>
          <cell r="C1407" t="str">
            <v>MATIERE PREMIERE SACS</v>
          </cell>
          <cell r="D1407" t="str">
            <v>BRUN DD30</v>
          </cell>
          <cell r="E1407" t="str">
            <v>O</v>
          </cell>
          <cell r="F1407">
            <v>0</v>
          </cell>
          <cell r="G1407">
            <v>0</v>
          </cell>
          <cell r="H1407">
            <v>7090.89</v>
          </cell>
          <cell r="I1407">
            <v>10917.07</v>
          </cell>
          <cell r="J1407">
            <v>3826.18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3826.18</v>
          </cell>
          <cell r="R1407">
            <v>3675.5</v>
          </cell>
          <cell r="S1407">
            <v>3675.5</v>
          </cell>
          <cell r="T1407">
            <v>3675.5</v>
          </cell>
          <cell r="U1407">
            <v>3675.5</v>
          </cell>
          <cell r="V1407">
            <v>3675.5</v>
          </cell>
          <cell r="W1407">
            <v>3675.5</v>
          </cell>
          <cell r="X1407">
            <v>7090.89</v>
          </cell>
          <cell r="Y1407">
            <v>7090.89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>
            <v>0</v>
          </cell>
          <cell r="AL1407">
            <v>0</v>
          </cell>
          <cell r="AM1407">
            <v>3</v>
          </cell>
          <cell r="AN1407" t="str">
            <v/>
          </cell>
          <cell r="AO1407">
            <v>0</v>
          </cell>
          <cell r="AP1407">
            <v>0</v>
          </cell>
          <cell r="AQ1407">
            <v>0</v>
          </cell>
          <cell r="AR1407">
            <v>660</v>
          </cell>
          <cell r="AS1407">
            <v>0</v>
          </cell>
          <cell r="AT1407" t="str">
            <v/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 t="str">
            <v/>
          </cell>
          <cell r="BK1407">
            <v>5100</v>
          </cell>
          <cell r="BL1407" t="str">
            <v>0</v>
          </cell>
          <cell r="BM1407" t="str">
            <v>1</v>
          </cell>
          <cell r="BN1407" t="str">
            <v/>
          </cell>
          <cell r="BO1407" t="str">
            <v/>
          </cell>
        </row>
        <row r="1408">
          <cell r="A1408">
            <v>1</v>
          </cell>
          <cell r="B1408">
            <v>4221353</v>
          </cell>
          <cell r="C1408" t="str">
            <v>MATIERE PREMIERE SACS</v>
          </cell>
          <cell r="D1408" t="str">
            <v>BRUN DD35-DD37</v>
          </cell>
          <cell r="E1408" t="str">
            <v>O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>
            <v>0</v>
          </cell>
          <cell r="AL1408">
            <v>0</v>
          </cell>
          <cell r="AM1408">
            <v>3</v>
          </cell>
          <cell r="AN1408" t="str">
            <v/>
          </cell>
          <cell r="AO1408">
            <v>0</v>
          </cell>
          <cell r="AP1408">
            <v>0</v>
          </cell>
          <cell r="AQ1408">
            <v>0</v>
          </cell>
          <cell r="AR1408">
            <v>660</v>
          </cell>
          <cell r="AS1408">
            <v>0</v>
          </cell>
          <cell r="AT1408" t="str">
            <v/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 t="str">
            <v/>
          </cell>
          <cell r="BK1408">
            <v>5100</v>
          </cell>
          <cell r="BL1408" t="str">
            <v>0</v>
          </cell>
          <cell r="BM1408" t="str">
            <v>1</v>
          </cell>
          <cell r="BN1408" t="str">
            <v/>
          </cell>
          <cell r="BO1408" t="str">
            <v/>
          </cell>
        </row>
        <row r="1409">
          <cell r="A1409">
            <v>1</v>
          </cell>
          <cell r="B1409">
            <v>4221403</v>
          </cell>
          <cell r="C1409" t="str">
            <v>MATIERE PREMIERE SACS</v>
          </cell>
          <cell r="D1409" t="str">
            <v>BRUN DD40-DD45</v>
          </cell>
          <cell r="E1409" t="str">
            <v>O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0</v>
          </cell>
          <cell r="AK1409">
            <v>0</v>
          </cell>
          <cell r="AL1409">
            <v>0</v>
          </cell>
          <cell r="AM1409">
            <v>3</v>
          </cell>
          <cell r="AN1409" t="str">
            <v/>
          </cell>
          <cell r="AO1409">
            <v>0</v>
          </cell>
          <cell r="AP1409">
            <v>0</v>
          </cell>
          <cell r="AQ1409">
            <v>0</v>
          </cell>
          <cell r="AR1409">
            <v>660</v>
          </cell>
          <cell r="AS1409">
            <v>0</v>
          </cell>
          <cell r="AT1409" t="str">
            <v/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 t="str">
            <v/>
          </cell>
          <cell r="BK1409">
            <v>5100</v>
          </cell>
          <cell r="BL1409" t="str">
            <v>0</v>
          </cell>
          <cell r="BM1409" t="str">
            <v>1</v>
          </cell>
          <cell r="BN1409" t="str">
            <v/>
          </cell>
          <cell r="BO1409" t="str">
            <v/>
          </cell>
        </row>
        <row r="1410">
          <cell r="A1410">
            <v>1</v>
          </cell>
          <cell r="B1410">
            <v>4221503</v>
          </cell>
          <cell r="C1410" t="str">
            <v>MATIERE PREMIERE SACS</v>
          </cell>
          <cell r="D1410" t="str">
            <v>BRUN DD50</v>
          </cell>
          <cell r="E1410" t="str">
            <v>O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577.1</v>
          </cell>
          <cell r="AA1410">
            <v>577.1</v>
          </cell>
          <cell r="AB1410">
            <v>577.1</v>
          </cell>
          <cell r="AC1410">
            <v>577.1</v>
          </cell>
          <cell r="AD1410">
            <v>577.1</v>
          </cell>
          <cell r="AE1410">
            <v>577.1</v>
          </cell>
          <cell r="AF1410">
            <v>577.1</v>
          </cell>
          <cell r="AG1410">
            <v>577.1</v>
          </cell>
          <cell r="AH1410">
            <v>577.1</v>
          </cell>
          <cell r="AI1410">
            <v>577.1</v>
          </cell>
          <cell r="AJ1410">
            <v>577.1</v>
          </cell>
          <cell r="AK1410">
            <v>577.1</v>
          </cell>
          <cell r="AL1410">
            <v>0</v>
          </cell>
          <cell r="AM1410">
            <v>3</v>
          </cell>
          <cell r="AN1410" t="str">
            <v/>
          </cell>
          <cell r="AO1410">
            <v>0</v>
          </cell>
          <cell r="AP1410">
            <v>0</v>
          </cell>
          <cell r="AQ1410">
            <v>0</v>
          </cell>
          <cell r="AR1410">
            <v>660</v>
          </cell>
          <cell r="AS1410">
            <v>0</v>
          </cell>
          <cell r="AT1410" t="str">
            <v/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 t="str">
            <v/>
          </cell>
          <cell r="BK1410">
            <v>5100</v>
          </cell>
          <cell r="BL1410" t="str">
            <v>0</v>
          </cell>
          <cell r="BM1410" t="str">
            <v>1</v>
          </cell>
          <cell r="BN1410" t="str">
            <v/>
          </cell>
          <cell r="BO1410" t="str">
            <v/>
          </cell>
        </row>
        <row r="1411">
          <cell r="A1411">
            <v>1</v>
          </cell>
          <cell r="B1411">
            <v>4221573</v>
          </cell>
          <cell r="C1411" t="str">
            <v>MATIERE PREMIERE SACS</v>
          </cell>
          <cell r="D1411" t="str">
            <v>BRUN DD57-DD63</v>
          </cell>
          <cell r="E1411" t="str">
            <v>O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3</v>
          </cell>
          <cell r="AN1411" t="str">
            <v/>
          </cell>
          <cell r="AO1411">
            <v>0</v>
          </cell>
          <cell r="AP1411">
            <v>0</v>
          </cell>
          <cell r="AQ1411">
            <v>0</v>
          </cell>
          <cell r="AR1411">
            <v>660</v>
          </cell>
          <cell r="AS1411">
            <v>0</v>
          </cell>
          <cell r="AT1411" t="str">
            <v/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 t="str">
            <v/>
          </cell>
          <cell r="BK1411">
            <v>5100</v>
          </cell>
          <cell r="BL1411" t="str">
            <v>0</v>
          </cell>
          <cell r="BM1411" t="str">
            <v>1</v>
          </cell>
          <cell r="BN1411" t="str">
            <v/>
          </cell>
          <cell r="BO1411" t="str">
            <v/>
          </cell>
        </row>
        <row r="1412">
          <cell r="A1412">
            <v>1</v>
          </cell>
          <cell r="B1412">
            <v>4221653</v>
          </cell>
          <cell r="C1412" t="str">
            <v>MATIERE PREMIERE SACS</v>
          </cell>
          <cell r="D1412" t="str">
            <v>BRUN DD65-DD75</v>
          </cell>
          <cell r="E1412" t="str">
            <v>O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3</v>
          </cell>
          <cell r="AN1412" t="str">
            <v/>
          </cell>
          <cell r="AO1412">
            <v>0</v>
          </cell>
          <cell r="AP1412">
            <v>0</v>
          </cell>
          <cell r="AQ1412">
            <v>0</v>
          </cell>
          <cell r="AR1412">
            <v>660</v>
          </cell>
          <cell r="AS1412">
            <v>0</v>
          </cell>
          <cell r="AT1412" t="str">
            <v/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 t="str">
            <v/>
          </cell>
          <cell r="BK1412">
            <v>5100</v>
          </cell>
          <cell r="BL1412" t="str">
            <v>0</v>
          </cell>
          <cell r="BM1412" t="str">
            <v>1</v>
          </cell>
          <cell r="BN1412" t="str">
            <v/>
          </cell>
          <cell r="BO1412" t="str">
            <v/>
          </cell>
        </row>
        <row r="1413">
          <cell r="A1413">
            <v>1</v>
          </cell>
          <cell r="B1413">
            <v>4222253</v>
          </cell>
          <cell r="C1413" t="str">
            <v>MATIERE PREMIERE SACS</v>
          </cell>
          <cell r="D1413" t="str">
            <v>BLANC DD25</v>
          </cell>
          <cell r="E1413" t="str">
            <v>O</v>
          </cell>
          <cell r="F1413">
            <v>0</v>
          </cell>
          <cell r="G1413">
            <v>0</v>
          </cell>
          <cell r="H1413">
            <v>12853.57</v>
          </cell>
          <cell r="I1413">
            <v>14785.57</v>
          </cell>
          <cell r="J1413">
            <v>1932</v>
          </cell>
          <cell r="K1413">
            <v>0</v>
          </cell>
          <cell r="L1413">
            <v>3395.77</v>
          </cell>
          <cell r="M1413">
            <v>0</v>
          </cell>
          <cell r="N1413">
            <v>0</v>
          </cell>
          <cell r="O1413">
            <v>0</v>
          </cell>
          <cell r="P1413">
            <v>3018.75</v>
          </cell>
          <cell r="Q1413">
            <v>3018.75</v>
          </cell>
          <cell r="R1413">
            <v>6759.42</v>
          </cell>
          <cell r="S1413">
            <v>6759.42</v>
          </cell>
          <cell r="T1413">
            <v>8691.42</v>
          </cell>
          <cell r="U1413">
            <v>8691.42</v>
          </cell>
          <cell r="V1413">
            <v>11613.57</v>
          </cell>
          <cell r="W1413">
            <v>11613.57</v>
          </cell>
          <cell r="X1413">
            <v>12853.57</v>
          </cell>
          <cell r="Y1413">
            <v>16249.34</v>
          </cell>
          <cell r="Z1413">
            <v>0</v>
          </cell>
          <cell r="AA1413">
            <v>0</v>
          </cell>
          <cell r="AB1413">
            <v>-5380.74</v>
          </cell>
          <cell r="AC1413">
            <v>-5380.74</v>
          </cell>
          <cell r="AD1413">
            <v>-5380.74</v>
          </cell>
          <cell r="AE1413">
            <v>-2386.14</v>
          </cell>
          <cell r="AF1413">
            <v>656.76</v>
          </cell>
          <cell r="AG1413">
            <v>656.76</v>
          </cell>
          <cell r="AH1413">
            <v>3651.36</v>
          </cell>
          <cell r="AI1413">
            <v>3651.36</v>
          </cell>
          <cell r="AJ1413">
            <v>3651.36</v>
          </cell>
          <cell r="AK1413">
            <v>3651.36</v>
          </cell>
          <cell r="AL1413">
            <v>0</v>
          </cell>
          <cell r="AM1413">
            <v>3</v>
          </cell>
          <cell r="AN1413" t="str">
            <v/>
          </cell>
          <cell r="AO1413">
            <v>0</v>
          </cell>
          <cell r="AP1413">
            <v>0</v>
          </cell>
          <cell r="AQ1413">
            <v>0</v>
          </cell>
          <cell r="AR1413">
            <v>660</v>
          </cell>
          <cell r="AS1413">
            <v>0</v>
          </cell>
          <cell r="AT1413" t="str">
            <v/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 t="str">
            <v/>
          </cell>
          <cell r="BK1413">
            <v>5100</v>
          </cell>
          <cell r="BL1413" t="str">
            <v>0</v>
          </cell>
          <cell r="BM1413" t="str">
            <v>1</v>
          </cell>
          <cell r="BN1413" t="str">
            <v/>
          </cell>
          <cell r="BO1413" t="str">
            <v/>
          </cell>
        </row>
        <row r="1414">
          <cell r="A1414">
            <v>1</v>
          </cell>
          <cell r="B1414">
            <v>4222303</v>
          </cell>
          <cell r="C1414" t="str">
            <v>MATIERE PREMIERE SACS</v>
          </cell>
          <cell r="D1414" t="str">
            <v>BLANC DD30</v>
          </cell>
          <cell r="E1414" t="str">
            <v>O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-5214.6899999999996</v>
          </cell>
          <cell r="AC1414">
            <v>-5214.6899999999996</v>
          </cell>
          <cell r="AD1414">
            <v>-5214.6899999999996</v>
          </cell>
          <cell r="AE1414">
            <v>-5214.6899999999996</v>
          </cell>
          <cell r="AF1414">
            <v>-5214.6899999999996</v>
          </cell>
          <cell r="AG1414">
            <v>-5214.6899999999996</v>
          </cell>
          <cell r="AH1414">
            <v>-5214.6899999999996</v>
          </cell>
          <cell r="AI1414">
            <v>-5214.6899999999996</v>
          </cell>
          <cell r="AJ1414">
            <v>-5214.6899999999996</v>
          </cell>
          <cell r="AK1414">
            <v>-5214.6899999999996</v>
          </cell>
          <cell r="AL1414">
            <v>0</v>
          </cell>
          <cell r="AM1414">
            <v>3</v>
          </cell>
          <cell r="AN1414" t="str">
            <v/>
          </cell>
          <cell r="AO1414">
            <v>0</v>
          </cell>
          <cell r="AP1414">
            <v>0</v>
          </cell>
          <cell r="AQ1414">
            <v>0</v>
          </cell>
          <cell r="AR1414">
            <v>660</v>
          </cell>
          <cell r="AS1414">
            <v>0</v>
          </cell>
          <cell r="AT1414" t="str">
            <v/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 t="str">
            <v/>
          </cell>
          <cell r="BK1414">
            <v>5100</v>
          </cell>
          <cell r="BL1414" t="str">
            <v>0</v>
          </cell>
          <cell r="BM1414" t="str">
            <v>1</v>
          </cell>
          <cell r="BN1414" t="str">
            <v/>
          </cell>
          <cell r="BO1414" t="str">
            <v/>
          </cell>
        </row>
        <row r="1415">
          <cell r="A1415">
            <v>1</v>
          </cell>
          <cell r="B1415">
            <v>4222353</v>
          </cell>
          <cell r="C1415" t="str">
            <v>MATIERE PREMIERE SACS</v>
          </cell>
          <cell r="D1415" t="str">
            <v>BLANC DD35</v>
          </cell>
          <cell r="E1415" t="str">
            <v>O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-1029.72</v>
          </cell>
          <cell r="AA1415">
            <v>-1029.72</v>
          </cell>
          <cell r="AB1415">
            <v>-4390.17</v>
          </cell>
          <cell r="AC1415">
            <v>-4390.17</v>
          </cell>
          <cell r="AD1415">
            <v>-4390.17</v>
          </cell>
          <cell r="AE1415">
            <v>-4390.17</v>
          </cell>
          <cell r="AF1415">
            <v>-4390.17</v>
          </cell>
          <cell r="AG1415">
            <v>-4390.17</v>
          </cell>
          <cell r="AH1415">
            <v>-4390.17</v>
          </cell>
          <cell r="AI1415">
            <v>-4390.17</v>
          </cell>
          <cell r="AJ1415">
            <v>-4390.17</v>
          </cell>
          <cell r="AK1415">
            <v>-4390.17</v>
          </cell>
          <cell r="AL1415">
            <v>0</v>
          </cell>
          <cell r="AM1415">
            <v>3</v>
          </cell>
          <cell r="AN1415" t="str">
            <v/>
          </cell>
          <cell r="AO1415">
            <v>0</v>
          </cell>
          <cell r="AP1415">
            <v>0</v>
          </cell>
          <cell r="AQ1415">
            <v>0</v>
          </cell>
          <cell r="AR1415">
            <v>660</v>
          </cell>
          <cell r="AS1415">
            <v>0</v>
          </cell>
          <cell r="AT1415" t="str">
            <v/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 t="str">
            <v/>
          </cell>
          <cell r="BK1415">
            <v>5100</v>
          </cell>
          <cell r="BL1415" t="str">
            <v>0</v>
          </cell>
          <cell r="BM1415" t="str">
            <v>1</v>
          </cell>
          <cell r="BN1415" t="str">
            <v/>
          </cell>
          <cell r="BO1415" t="str">
            <v/>
          </cell>
        </row>
        <row r="1416">
          <cell r="A1416">
            <v>1</v>
          </cell>
          <cell r="B1416">
            <v>4222403</v>
          </cell>
          <cell r="C1416" t="str">
            <v>MATIERE PREMIERE SACS</v>
          </cell>
          <cell r="D1416" t="str">
            <v>BLANC DD40</v>
          </cell>
          <cell r="E1416" t="str">
            <v>O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-3978.45</v>
          </cell>
          <cell r="AC1416">
            <v>-3978.45</v>
          </cell>
          <cell r="AD1416">
            <v>-3978.45</v>
          </cell>
          <cell r="AE1416">
            <v>-3978.45</v>
          </cell>
          <cell r="AF1416">
            <v>-3978.45</v>
          </cell>
          <cell r="AG1416">
            <v>-3978.45</v>
          </cell>
          <cell r="AH1416">
            <v>-3978.45</v>
          </cell>
          <cell r="AI1416">
            <v>-3978.45</v>
          </cell>
          <cell r="AJ1416">
            <v>-3978.45</v>
          </cell>
          <cell r="AK1416">
            <v>-3978.45</v>
          </cell>
          <cell r="AL1416">
            <v>0</v>
          </cell>
          <cell r="AM1416">
            <v>3</v>
          </cell>
          <cell r="AN1416" t="str">
            <v/>
          </cell>
          <cell r="AO1416">
            <v>0</v>
          </cell>
          <cell r="AP1416">
            <v>0</v>
          </cell>
          <cell r="AQ1416">
            <v>0</v>
          </cell>
          <cell r="AR1416">
            <v>660</v>
          </cell>
          <cell r="AS1416">
            <v>0</v>
          </cell>
          <cell r="AT1416" t="str">
            <v/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 t="str">
            <v/>
          </cell>
          <cell r="BK1416">
            <v>5100</v>
          </cell>
          <cell r="BL1416" t="str">
            <v>0</v>
          </cell>
          <cell r="BM1416" t="str">
            <v>1</v>
          </cell>
          <cell r="BN1416" t="str">
            <v/>
          </cell>
          <cell r="BO1416" t="str">
            <v/>
          </cell>
        </row>
        <row r="1417">
          <cell r="A1417">
            <v>1</v>
          </cell>
          <cell r="B1417">
            <v>4222503</v>
          </cell>
          <cell r="C1417" t="str">
            <v>MATIERE PREMIERE SACS</v>
          </cell>
          <cell r="D1417" t="str">
            <v>BLANC DD50</v>
          </cell>
          <cell r="E1417" t="str">
            <v>O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3</v>
          </cell>
          <cell r="AN1417" t="str">
            <v/>
          </cell>
          <cell r="AO1417">
            <v>0</v>
          </cell>
          <cell r="AP1417">
            <v>0</v>
          </cell>
          <cell r="AQ1417">
            <v>0</v>
          </cell>
          <cell r="AR1417">
            <v>660</v>
          </cell>
          <cell r="AS1417">
            <v>0</v>
          </cell>
          <cell r="AT1417" t="str">
            <v/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 t="str">
            <v/>
          </cell>
          <cell r="BK1417">
            <v>5100</v>
          </cell>
          <cell r="BL1417" t="str">
            <v>0</v>
          </cell>
          <cell r="BM1417" t="str">
            <v>1</v>
          </cell>
          <cell r="BN1417" t="str">
            <v/>
          </cell>
          <cell r="BO1417" t="str">
            <v/>
          </cell>
        </row>
        <row r="1418">
          <cell r="A1418">
            <v>1</v>
          </cell>
          <cell r="B1418">
            <v>4223243</v>
          </cell>
          <cell r="C1418" t="str">
            <v>MATIERE PREMIERE SACS</v>
          </cell>
          <cell r="D1418" t="str">
            <v>SPC COREGUARD DD21-DD24</v>
          </cell>
          <cell r="E1418" t="str">
            <v>O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3</v>
          </cell>
          <cell r="AN1418" t="str">
            <v/>
          </cell>
          <cell r="AO1418">
            <v>0</v>
          </cell>
          <cell r="AP1418">
            <v>0</v>
          </cell>
          <cell r="AQ1418">
            <v>0</v>
          </cell>
          <cell r="AR1418">
            <v>660</v>
          </cell>
          <cell r="AS1418">
            <v>0</v>
          </cell>
          <cell r="AT1418" t="str">
            <v/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 t="str">
            <v/>
          </cell>
          <cell r="BK1418">
            <v>5100</v>
          </cell>
          <cell r="BL1418" t="str">
            <v>0</v>
          </cell>
          <cell r="BM1418" t="str">
            <v>1</v>
          </cell>
          <cell r="BN1418" t="str">
            <v/>
          </cell>
          <cell r="BO1418" t="str">
            <v/>
          </cell>
        </row>
        <row r="1419">
          <cell r="A1419">
            <v>1</v>
          </cell>
          <cell r="B1419">
            <v>4223253</v>
          </cell>
          <cell r="C1419" t="str">
            <v>MATIERE PREMIERE SACS</v>
          </cell>
          <cell r="D1419" t="str">
            <v>SPC COREGUARD DD25</v>
          </cell>
          <cell r="E1419" t="str">
            <v>O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3</v>
          </cell>
          <cell r="AN1419" t="str">
            <v/>
          </cell>
          <cell r="AO1419">
            <v>0</v>
          </cell>
          <cell r="AP1419">
            <v>0</v>
          </cell>
          <cell r="AQ1419">
            <v>0</v>
          </cell>
          <cell r="AR1419">
            <v>660</v>
          </cell>
          <cell r="AS1419">
            <v>0</v>
          </cell>
          <cell r="AT1419" t="str">
            <v/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 t="str">
            <v/>
          </cell>
          <cell r="BK1419">
            <v>5100</v>
          </cell>
          <cell r="BL1419" t="str">
            <v>0</v>
          </cell>
          <cell r="BM1419" t="str">
            <v>1</v>
          </cell>
          <cell r="BN1419" t="str">
            <v/>
          </cell>
          <cell r="BO1419" t="str">
            <v/>
          </cell>
        </row>
        <row r="1420">
          <cell r="A1420">
            <v>1</v>
          </cell>
          <cell r="B1420">
            <v>4223303</v>
          </cell>
          <cell r="C1420" t="str">
            <v>MATIERE PREMIERE SACS</v>
          </cell>
          <cell r="D1420" t="str">
            <v>SPC COREGUARD DD30</v>
          </cell>
          <cell r="E1420" t="str">
            <v>O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3</v>
          </cell>
          <cell r="AN1420" t="str">
            <v/>
          </cell>
          <cell r="AO1420">
            <v>0</v>
          </cell>
          <cell r="AP1420">
            <v>0</v>
          </cell>
          <cell r="AQ1420">
            <v>0</v>
          </cell>
          <cell r="AR1420">
            <v>660</v>
          </cell>
          <cell r="AS1420">
            <v>0</v>
          </cell>
          <cell r="AT1420" t="str">
            <v/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 t="str">
            <v/>
          </cell>
          <cell r="BK1420">
            <v>5100</v>
          </cell>
          <cell r="BL1420" t="str">
            <v>0</v>
          </cell>
          <cell r="BM1420" t="str">
            <v>1</v>
          </cell>
          <cell r="BN1420" t="str">
            <v/>
          </cell>
          <cell r="BO1420" t="str">
            <v/>
          </cell>
        </row>
        <row r="1421">
          <cell r="A1421">
            <v>1</v>
          </cell>
          <cell r="B1421">
            <v>4223353</v>
          </cell>
          <cell r="C1421" t="str">
            <v>MATIERE PREMIERE SACS</v>
          </cell>
          <cell r="D1421" t="str">
            <v>SPC DD35</v>
          </cell>
          <cell r="E1421" t="str">
            <v>O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3</v>
          </cell>
          <cell r="AN1421" t="str">
            <v/>
          </cell>
          <cell r="AO1421">
            <v>0</v>
          </cell>
          <cell r="AP1421">
            <v>0</v>
          </cell>
          <cell r="AQ1421">
            <v>0</v>
          </cell>
          <cell r="AR1421">
            <v>660</v>
          </cell>
          <cell r="AS1421">
            <v>0</v>
          </cell>
          <cell r="AT1421" t="str">
            <v/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 t="str">
            <v/>
          </cell>
          <cell r="BK1421">
            <v>5100</v>
          </cell>
          <cell r="BL1421" t="str">
            <v>0</v>
          </cell>
          <cell r="BM1421" t="str">
            <v>1</v>
          </cell>
          <cell r="BN1421" t="str">
            <v/>
          </cell>
          <cell r="BO1421" t="str">
            <v/>
          </cell>
        </row>
        <row r="1422">
          <cell r="A1422">
            <v>1</v>
          </cell>
          <cell r="B1422">
            <v>4224272</v>
          </cell>
          <cell r="C1422" t="str">
            <v>MATIERE PREMIERE   ACHATS</v>
          </cell>
          <cell r="D1422" t="str">
            <v>PERLE 27 LBS</v>
          </cell>
          <cell r="E1422" t="str">
            <v>O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2</v>
          </cell>
          <cell r="AN1422" t="str">
            <v/>
          </cell>
          <cell r="AO1422">
            <v>0</v>
          </cell>
          <cell r="AP1422">
            <v>0</v>
          </cell>
          <cell r="AQ1422">
            <v>0</v>
          </cell>
          <cell r="AR1422">
            <v>660</v>
          </cell>
          <cell r="AS1422">
            <v>0</v>
          </cell>
          <cell r="AT1422" t="str">
            <v/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 t="str">
            <v/>
          </cell>
          <cell r="BK1422">
            <v>5100</v>
          </cell>
          <cell r="BL1422" t="str">
            <v>0</v>
          </cell>
          <cell r="BM1422" t="str">
            <v>1</v>
          </cell>
          <cell r="BN1422" t="str">
            <v/>
          </cell>
          <cell r="BO1422" t="str">
            <v/>
          </cell>
        </row>
        <row r="1423">
          <cell r="A1423">
            <v>1</v>
          </cell>
          <cell r="B1423">
            <v>4223403</v>
          </cell>
          <cell r="C1423" t="str">
            <v>MATIERE PREMIERE SACS</v>
          </cell>
          <cell r="D1423" t="str">
            <v>SPC DD40</v>
          </cell>
          <cell r="E1423" t="str">
            <v>O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3</v>
          </cell>
          <cell r="AN1423" t="str">
            <v/>
          </cell>
          <cell r="AO1423">
            <v>0</v>
          </cell>
          <cell r="AP1423">
            <v>0</v>
          </cell>
          <cell r="AQ1423">
            <v>0</v>
          </cell>
          <cell r="AR1423">
            <v>660</v>
          </cell>
          <cell r="AS1423">
            <v>0</v>
          </cell>
          <cell r="AT1423" t="str">
            <v/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 t="str">
            <v/>
          </cell>
          <cell r="BK1423">
            <v>5100</v>
          </cell>
          <cell r="BL1423" t="str">
            <v>0</v>
          </cell>
          <cell r="BM1423" t="str">
            <v>1</v>
          </cell>
          <cell r="BN1423" t="str">
            <v/>
          </cell>
          <cell r="BO1423" t="str">
            <v/>
          </cell>
        </row>
        <row r="1424">
          <cell r="A1424">
            <v>1</v>
          </cell>
          <cell r="B1424">
            <v>4223503</v>
          </cell>
          <cell r="C1424" t="str">
            <v>MATIERE PREMIERE SACS</v>
          </cell>
          <cell r="D1424" t="str">
            <v>SPC DD50</v>
          </cell>
          <cell r="E1424" t="str">
            <v>O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3</v>
          </cell>
          <cell r="AN1424" t="str">
            <v/>
          </cell>
          <cell r="AO1424">
            <v>0</v>
          </cell>
          <cell r="AP1424">
            <v>0</v>
          </cell>
          <cell r="AQ1424">
            <v>0</v>
          </cell>
          <cell r="AR1424">
            <v>660</v>
          </cell>
          <cell r="AS1424">
            <v>0</v>
          </cell>
          <cell r="AT1424" t="str">
            <v/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 t="str">
            <v/>
          </cell>
          <cell r="BK1424">
            <v>5100</v>
          </cell>
          <cell r="BL1424" t="str">
            <v>0</v>
          </cell>
          <cell r="BM1424" t="str">
            <v>1</v>
          </cell>
          <cell r="BN1424" t="str">
            <v/>
          </cell>
          <cell r="BO1424" t="str">
            <v/>
          </cell>
        </row>
        <row r="1425">
          <cell r="A1425">
            <v>2</v>
          </cell>
          <cell r="B1425">
            <v>4802022</v>
          </cell>
          <cell r="C1425" t="str">
            <v>TRANSPORT SUR PLATEAUX</v>
          </cell>
          <cell r="D1425" t="str">
            <v>RETOURNABLE</v>
          </cell>
          <cell r="E1425" t="str">
            <v>O</v>
          </cell>
          <cell r="F1425">
            <v>0</v>
          </cell>
          <cell r="G1425">
            <v>0</v>
          </cell>
          <cell r="H1425">
            <v>0</v>
          </cell>
          <cell r="I1425">
            <v>14249.23</v>
          </cell>
          <cell r="J1425">
            <v>14249.23</v>
          </cell>
          <cell r="K1425">
            <v>0</v>
          </cell>
          <cell r="L1425">
            <v>0</v>
          </cell>
          <cell r="M1425">
            <v>0</v>
          </cell>
          <cell r="N1425">
            <v>12847.87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7823.21</v>
          </cell>
          <cell r="AA1425">
            <v>13869.68</v>
          </cell>
          <cell r="AB1425">
            <v>38242.71</v>
          </cell>
          <cell r="AC1425">
            <v>34602.959999999999</v>
          </cell>
          <cell r="AD1425">
            <v>38497.56</v>
          </cell>
          <cell r="AE1425">
            <v>44247.26</v>
          </cell>
          <cell r="AF1425">
            <v>57085.81</v>
          </cell>
          <cell r="AG1425">
            <v>67919.66</v>
          </cell>
          <cell r="AH1425">
            <v>77031.12</v>
          </cell>
          <cell r="AI1425">
            <v>88428.76</v>
          </cell>
          <cell r="AJ1425">
            <v>93843.8</v>
          </cell>
          <cell r="AK1425">
            <v>98857.74</v>
          </cell>
          <cell r="AL1425">
            <v>0</v>
          </cell>
          <cell r="AM1425">
            <v>2</v>
          </cell>
          <cell r="AN1425" t="str">
            <v/>
          </cell>
          <cell r="AO1425">
            <v>0</v>
          </cell>
          <cell r="AP1425">
            <v>0</v>
          </cell>
          <cell r="AQ1425">
            <v>0</v>
          </cell>
          <cell r="AR1425">
            <v>800</v>
          </cell>
          <cell r="AS1425">
            <v>0</v>
          </cell>
          <cell r="AT1425" t="str">
            <v/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 t="str">
            <v/>
          </cell>
          <cell r="BK1425">
            <v>4100</v>
          </cell>
          <cell r="BL1425" t="str">
            <v>0</v>
          </cell>
          <cell r="BM1425" t="str">
            <v>1</v>
          </cell>
          <cell r="BN1425" t="str">
            <v/>
          </cell>
          <cell r="BO1425" t="str">
            <v/>
          </cell>
        </row>
        <row r="1426">
          <cell r="A1426">
            <v>1</v>
          </cell>
          <cell r="B1426">
            <v>4250052</v>
          </cell>
          <cell r="C1426" t="str">
            <v>M.O.D.</v>
          </cell>
          <cell r="D1426" t="str">
            <v>MACHINE 05 P.S</v>
          </cell>
          <cell r="E1426" t="str">
            <v>N</v>
          </cell>
          <cell r="F1426">
            <v>0</v>
          </cell>
          <cell r="G1426">
            <v>0</v>
          </cell>
          <cell r="H1426">
            <v>209096.35</v>
          </cell>
          <cell r="I1426">
            <v>244736.03</v>
          </cell>
          <cell r="J1426">
            <v>35639.68</v>
          </cell>
          <cell r="K1426">
            <v>0</v>
          </cell>
          <cell r="L1426">
            <v>26840.79</v>
          </cell>
          <cell r="M1426">
            <v>17297.14</v>
          </cell>
          <cell r="N1426">
            <v>17888.21</v>
          </cell>
          <cell r="O1426">
            <v>41335.919999999998</v>
          </cell>
          <cell r="P1426">
            <v>57452.68</v>
          </cell>
          <cell r="Q1426">
            <v>77113.47</v>
          </cell>
          <cell r="R1426">
            <v>98680.99</v>
          </cell>
          <cell r="S1426">
            <v>117002.62</v>
          </cell>
          <cell r="T1426">
            <v>136289.89000000001</v>
          </cell>
          <cell r="U1426">
            <v>154949.17000000001</v>
          </cell>
          <cell r="V1426">
            <v>173366.93</v>
          </cell>
          <cell r="W1426">
            <v>192413.74</v>
          </cell>
          <cell r="X1426">
            <v>209096.35</v>
          </cell>
          <cell r="Y1426">
            <v>218640</v>
          </cell>
          <cell r="Z1426">
            <v>36850.239999999998</v>
          </cell>
          <cell r="AA1426">
            <v>66842.960000000006</v>
          </cell>
          <cell r="AB1426">
            <v>98759.86</v>
          </cell>
          <cell r="AC1426">
            <v>130177.76</v>
          </cell>
          <cell r="AD1426">
            <v>151946.85</v>
          </cell>
          <cell r="AE1426">
            <v>176904.18</v>
          </cell>
          <cell r="AF1426">
            <v>208131.72</v>
          </cell>
          <cell r="AG1426">
            <v>221966.27</v>
          </cell>
          <cell r="AH1426">
            <v>238269.8</v>
          </cell>
          <cell r="AI1426">
            <v>258705.51</v>
          </cell>
          <cell r="AJ1426">
            <v>278584.46999999997</v>
          </cell>
          <cell r="AK1426">
            <v>291988.46999999997</v>
          </cell>
          <cell r="AL1426">
            <v>0</v>
          </cell>
          <cell r="AM1426">
            <v>2</v>
          </cell>
          <cell r="AN1426" t="str">
            <v/>
          </cell>
          <cell r="AO1426">
            <v>0</v>
          </cell>
          <cell r="AP1426">
            <v>0</v>
          </cell>
          <cell r="AQ1426">
            <v>0</v>
          </cell>
          <cell r="AR1426">
            <v>690</v>
          </cell>
          <cell r="AS1426">
            <v>0</v>
          </cell>
          <cell r="AT1426" t="str">
            <v/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 t="str">
            <v/>
          </cell>
          <cell r="BK1426">
            <v>6000</v>
          </cell>
          <cell r="BL1426" t="str">
            <v>0</v>
          </cell>
          <cell r="BM1426" t="str">
            <v>1</v>
          </cell>
          <cell r="BN1426" t="str">
            <v/>
          </cell>
          <cell r="BO1426" t="str">
            <v/>
          </cell>
        </row>
        <row r="1427">
          <cell r="A1427">
            <v>1</v>
          </cell>
          <cell r="B1427">
            <v>1175011</v>
          </cell>
          <cell r="C1427" t="str">
            <v>PAYE D'AVANCE 703-EH8</v>
          </cell>
          <cell r="D1427" t="str">
            <v>PROJET BP (BATIMENT)</v>
          </cell>
          <cell r="E1427" t="str">
            <v>O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16663.79</v>
          </cell>
          <cell r="AA1427">
            <v>16663.79</v>
          </cell>
          <cell r="AB1427">
            <v>16663.79</v>
          </cell>
          <cell r="AC1427">
            <v>16663.79</v>
          </cell>
          <cell r="AD1427">
            <v>16663.79</v>
          </cell>
          <cell r="AE1427">
            <v>16663.79</v>
          </cell>
          <cell r="AF1427">
            <v>16663.79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1</v>
          </cell>
          <cell r="AN1427" t="str">
            <v/>
          </cell>
          <cell r="AO1427">
            <v>0</v>
          </cell>
          <cell r="AP1427">
            <v>0</v>
          </cell>
          <cell r="AQ1427">
            <v>0</v>
          </cell>
          <cell r="AR1427">
            <v>120</v>
          </cell>
          <cell r="AS1427">
            <v>0</v>
          </cell>
          <cell r="AT1427" t="str">
            <v/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 t="str">
            <v/>
          </cell>
          <cell r="BK1427">
            <v>1600</v>
          </cell>
          <cell r="BL1427" t="str">
            <v>0</v>
          </cell>
          <cell r="BM1427" t="str">
            <v>1</v>
          </cell>
          <cell r="BN1427" t="str">
            <v/>
          </cell>
          <cell r="BO1427" t="str">
            <v/>
          </cell>
        </row>
        <row r="1428">
          <cell r="A1428">
            <v>1</v>
          </cell>
          <cell r="B1428">
            <v>1175021</v>
          </cell>
          <cell r="C1428" t="str">
            <v>PAYE D'AVANCE</v>
          </cell>
          <cell r="D1428" t="str">
            <v>PROJET BP (AUTRES)</v>
          </cell>
          <cell r="E1428" t="str">
            <v>O</v>
          </cell>
          <cell r="F1428">
            <v>0</v>
          </cell>
          <cell r="G1428">
            <v>0</v>
          </cell>
          <cell r="H1428">
            <v>0.57999999999999996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0.57999999999999996</v>
          </cell>
          <cell r="N1428">
            <v>0.57999999999999996</v>
          </cell>
          <cell r="O1428">
            <v>0.57999999999999996</v>
          </cell>
          <cell r="P1428">
            <v>0.57999999999999996</v>
          </cell>
          <cell r="Q1428">
            <v>0.57999999999999996</v>
          </cell>
          <cell r="R1428">
            <v>0.57999999999999996</v>
          </cell>
          <cell r="S1428">
            <v>0.57999999999999996</v>
          </cell>
          <cell r="T1428">
            <v>0.57999999999999996</v>
          </cell>
          <cell r="U1428">
            <v>0.57999999999999996</v>
          </cell>
          <cell r="V1428">
            <v>0.57999999999999996</v>
          </cell>
          <cell r="W1428">
            <v>0.57999999999999996</v>
          </cell>
          <cell r="X1428">
            <v>0.57999999999999996</v>
          </cell>
          <cell r="Y1428">
            <v>0</v>
          </cell>
          <cell r="Z1428">
            <v>24392.75</v>
          </cell>
          <cell r="AA1428">
            <v>31661.85</v>
          </cell>
          <cell r="AB1428">
            <v>42142.94</v>
          </cell>
          <cell r="AC1428">
            <v>51520.06</v>
          </cell>
          <cell r="AD1428">
            <v>57279.76</v>
          </cell>
          <cell r="AE1428">
            <v>57279.76</v>
          </cell>
          <cell r="AF1428">
            <v>57279.76</v>
          </cell>
          <cell r="AG1428">
            <v>0.57999999999999996</v>
          </cell>
          <cell r="AH1428">
            <v>0.57999999999999996</v>
          </cell>
          <cell r="AI1428">
            <v>0.57999999999999996</v>
          </cell>
          <cell r="AJ1428">
            <v>0.57999999999999996</v>
          </cell>
          <cell r="AK1428">
            <v>0.57999999999999996</v>
          </cell>
          <cell r="AL1428">
            <v>0</v>
          </cell>
          <cell r="AM1428">
            <v>1</v>
          </cell>
          <cell r="AN1428" t="str">
            <v/>
          </cell>
          <cell r="AO1428">
            <v>0</v>
          </cell>
          <cell r="AP1428">
            <v>0</v>
          </cell>
          <cell r="AQ1428">
            <v>0</v>
          </cell>
          <cell r="AR1428">
            <v>120</v>
          </cell>
          <cell r="AS1428">
            <v>0</v>
          </cell>
          <cell r="AT1428" t="str">
            <v/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 t="str">
            <v/>
          </cell>
          <cell r="BK1428">
            <v>1600</v>
          </cell>
          <cell r="BL1428" t="str">
            <v>0</v>
          </cell>
          <cell r="BM1428" t="str">
            <v>1</v>
          </cell>
          <cell r="BN1428" t="str">
            <v/>
          </cell>
          <cell r="BO1428" t="str">
            <v/>
          </cell>
        </row>
        <row r="1429">
          <cell r="A1429">
            <v>1</v>
          </cell>
          <cell r="B1429">
            <v>1161001</v>
          </cell>
          <cell r="C1429" t="str">
            <v>AJUSTEMENT INV MAGASIN</v>
          </cell>
          <cell r="D1429" t="str">
            <v>SOLDE CT = PROV. DÉSUÉTU</v>
          </cell>
          <cell r="E1429" t="str">
            <v>N</v>
          </cell>
          <cell r="F1429">
            <v>0</v>
          </cell>
          <cell r="G1429">
            <v>0</v>
          </cell>
          <cell r="H1429">
            <v>-86892.78</v>
          </cell>
          <cell r="I1429">
            <v>5091123.74</v>
          </cell>
          <cell r="J1429">
            <v>5142850.96</v>
          </cell>
          <cell r="K1429">
            <v>0</v>
          </cell>
          <cell r="L1429">
            <v>989250.53</v>
          </cell>
          <cell r="M1429">
            <v>979571.54</v>
          </cell>
          <cell r="N1429">
            <v>-26730.99</v>
          </cell>
          <cell r="O1429">
            <v>-4286.34</v>
          </cell>
          <cell r="P1429">
            <v>-29926.52</v>
          </cell>
          <cell r="Q1429">
            <v>-13839.7</v>
          </cell>
          <cell r="R1429">
            <v>-13933.21</v>
          </cell>
          <cell r="S1429">
            <v>-3306.76</v>
          </cell>
          <cell r="T1429">
            <v>-22483.99</v>
          </cell>
          <cell r="U1429">
            <v>-41775.51</v>
          </cell>
          <cell r="V1429">
            <v>-45013.25</v>
          </cell>
          <cell r="W1429">
            <v>-87409.73</v>
          </cell>
          <cell r="X1429">
            <v>-86892.78</v>
          </cell>
          <cell r="Y1429">
            <v>-77213.789999999994</v>
          </cell>
          <cell r="Z1429">
            <v>0</v>
          </cell>
          <cell r="AA1429">
            <v>0</v>
          </cell>
          <cell r="AB1429">
            <v>-10000</v>
          </cell>
          <cell r="AC1429">
            <v>-10000</v>
          </cell>
          <cell r="AD1429">
            <v>-10000</v>
          </cell>
          <cell r="AE1429">
            <v>-10000</v>
          </cell>
          <cell r="AF1429">
            <v>-24185.759999999998</v>
          </cell>
          <cell r="AG1429">
            <v>-10185.76</v>
          </cell>
          <cell r="AH1429">
            <v>-10185.76</v>
          </cell>
          <cell r="AI1429">
            <v>-9770.43</v>
          </cell>
          <cell r="AJ1429">
            <v>-24253.46</v>
          </cell>
          <cell r="AK1429">
            <v>-35165.56</v>
          </cell>
          <cell r="AL1429">
            <v>0</v>
          </cell>
          <cell r="AM1429">
            <v>1</v>
          </cell>
          <cell r="AN1429" t="str">
            <v/>
          </cell>
          <cell r="AO1429">
            <v>0</v>
          </cell>
          <cell r="AP1429">
            <v>0</v>
          </cell>
          <cell r="AQ1429">
            <v>0</v>
          </cell>
          <cell r="AR1429">
            <v>100</v>
          </cell>
          <cell r="AS1429">
            <v>0</v>
          </cell>
          <cell r="AT1429" t="str">
            <v/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 t="str">
            <v/>
          </cell>
          <cell r="BK1429">
            <v>1600</v>
          </cell>
          <cell r="BL1429" t="str">
            <v>0</v>
          </cell>
          <cell r="BM1429" t="str">
            <v>1</v>
          </cell>
          <cell r="BN1429" t="str">
            <v/>
          </cell>
          <cell r="BO1429" t="str">
            <v/>
          </cell>
        </row>
        <row r="1430">
          <cell r="A1430">
            <v>1</v>
          </cell>
          <cell r="B1430">
            <v>1339410</v>
          </cell>
          <cell r="C1430" t="str">
            <v>ACTIF TOOLING</v>
          </cell>
          <cell r="D1430" t="str">
            <v>CATES</v>
          </cell>
          <cell r="E1430" t="str">
            <v>O</v>
          </cell>
          <cell r="F1430">
            <v>0</v>
          </cell>
          <cell r="G1430">
            <v>0</v>
          </cell>
          <cell r="H1430">
            <v>18005.62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18005.62</v>
          </cell>
          <cell r="O1430">
            <v>18005.62</v>
          </cell>
          <cell r="P1430">
            <v>18005.62</v>
          </cell>
          <cell r="Q1430">
            <v>18005.62</v>
          </cell>
          <cell r="R1430">
            <v>18005.62</v>
          </cell>
          <cell r="S1430">
            <v>18005.62</v>
          </cell>
          <cell r="T1430">
            <v>18005.62</v>
          </cell>
          <cell r="U1430">
            <v>18005.62</v>
          </cell>
          <cell r="V1430">
            <v>18005.62</v>
          </cell>
          <cell r="W1430">
            <v>18005.62</v>
          </cell>
          <cell r="X1430">
            <v>18005.62</v>
          </cell>
          <cell r="Y1430">
            <v>18005.62</v>
          </cell>
          <cell r="Z1430">
            <v>18005.62</v>
          </cell>
          <cell r="AA1430">
            <v>18005.62</v>
          </cell>
          <cell r="AB1430">
            <v>18005.62</v>
          </cell>
          <cell r="AC1430">
            <v>18005.62</v>
          </cell>
          <cell r="AD1430">
            <v>18005.62</v>
          </cell>
          <cell r="AE1430">
            <v>18005.62</v>
          </cell>
          <cell r="AF1430">
            <v>18005.62</v>
          </cell>
          <cell r="AG1430">
            <v>18005.62</v>
          </cell>
          <cell r="AH1430">
            <v>18005.62</v>
          </cell>
          <cell r="AI1430">
            <v>18005.62</v>
          </cell>
          <cell r="AJ1430">
            <v>18005.62</v>
          </cell>
          <cell r="AK1430">
            <v>18005.62</v>
          </cell>
          <cell r="AL1430">
            <v>0</v>
          </cell>
          <cell r="AM1430">
            <v>0</v>
          </cell>
          <cell r="AN1430" t="str">
            <v/>
          </cell>
          <cell r="AO1430">
            <v>0</v>
          </cell>
          <cell r="AP1430">
            <v>0</v>
          </cell>
          <cell r="AQ1430">
            <v>0</v>
          </cell>
          <cell r="AR1430">
            <v>290</v>
          </cell>
          <cell r="AS1430">
            <v>0</v>
          </cell>
          <cell r="AT1430" t="str">
            <v/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240</v>
          </cell>
          <cell r="BJ1430" t="str">
            <v/>
          </cell>
          <cell r="BK1430">
            <v>1700</v>
          </cell>
          <cell r="BL1430" t="str">
            <v>1</v>
          </cell>
          <cell r="BM1430" t="str">
            <v>1</v>
          </cell>
          <cell r="BN1430" t="str">
            <v/>
          </cell>
          <cell r="BO1430" t="str">
            <v/>
          </cell>
        </row>
        <row r="1431">
          <cell r="A1431">
            <v>1</v>
          </cell>
          <cell r="B1431">
            <v>1332880</v>
          </cell>
          <cell r="C1431" t="str">
            <v>BALANCE CHARIOT ELEVATEUR</v>
          </cell>
          <cell r="D1431" t="str">
            <v/>
          </cell>
          <cell r="E1431" t="str">
            <v>O</v>
          </cell>
          <cell r="F1431">
            <v>0</v>
          </cell>
          <cell r="G1431">
            <v>0</v>
          </cell>
          <cell r="H1431">
            <v>3320.98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3320.98</v>
          </cell>
          <cell r="O1431">
            <v>3320.98</v>
          </cell>
          <cell r="P1431">
            <v>3320.98</v>
          </cell>
          <cell r="Q1431">
            <v>3320.98</v>
          </cell>
          <cell r="R1431">
            <v>3320.98</v>
          </cell>
          <cell r="S1431">
            <v>3320.98</v>
          </cell>
          <cell r="T1431">
            <v>3320.98</v>
          </cell>
          <cell r="U1431">
            <v>3320.98</v>
          </cell>
          <cell r="V1431">
            <v>3320.98</v>
          </cell>
          <cell r="W1431">
            <v>3320.98</v>
          </cell>
          <cell r="X1431">
            <v>3320.98</v>
          </cell>
          <cell r="Y1431">
            <v>3320.98</v>
          </cell>
          <cell r="Z1431">
            <v>3320.98</v>
          </cell>
          <cell r="AA1431">
            <v>3320.98</v>
          </cell>
          <cell r="AB1431">
            <v>3320.98</v>
          </cell>
          <cell r="AC1431">
            <v>3320.98</v>
          </cell>
          <cell r="AD1431">
            <v>3320.98</v>
          </cell>
          <cell r="AE1431">
            <v>3320.98</v>
          </cell>
          <cell r="AF1431">
            <v>3320.98</v>
          </cell>
          <cell r="AG1431">
            <v>3320.98</v>
          </cell>
          <cell r="AH1431">
            <v>3320.98</v>
          </cell>
          <cell r="AI1431">
            <v>3320.98</v>
          </cell>
          <cell r="AJ1431">
            <v>3320.98</v>
          </cell>
          <cell r="AK1431">
            <v>3320.98</v>
          </cell>
          <cell r="AL1431">
            <v>0</v>
          </cell>
          <cell r="AM1431">
            <v>0</v>
          </cell>
          <cell r="AN1431" t="str">
            <v/>
          </cell>
          <cell r="AO1431">
            <v>0</v>
          </cell>
          <cell r="AP1431">
            <v>0</v>
          </cell>
          <cell r="AQ1431">
            <v>0</v>
          </cell>
          <cell r="AR1431">
            <v>290</v>
          </cell>
          <cell r="AS1431">
            <v>0</v>
          </cell>
          <cell r="AT1431" t="str">
            <v/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240</v>
          </cell>
          <cell r="BJ1431" t="str">
            <v/>
          </cell>
          <cell r="BK1431">
            <v>1700</v>
          </cell>
          <cell r="BL1431" t="str">
            <v>1</v>
          </cell>
          <cell r="BM1431" t="str">
            <v>1</v>
          </cell>
          <cell r="BN1431" t="str">
            <v/>
          </cell>
          <cell r="BO1431" t="str">
            <v/>
          </cell>
        </row>
        <row r="1432">
          <cell r="A1432">
            <v>1</v>
          </cell>
          <cell r="B1432">
            <v>1332422</v>
          </cell>
          <cell r="C1432" t="str">
            <v>DRIVE MC 015</v>
          </cell>
          <cell r="D1432" t="str">
            <v/>
          </cell>
          <cell r="E1432" t="str">
            <v>O</v>
          </cell>
          <cell r="F1432">
            <v>0</v>
          </cell>
          <cell r="G1432">
            <v>0</v>
          </cell>
          <cell r="H1432">
            <v>10661.74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10661.74</v>
          </cell>
          <cell r="O1432">
            <v>10661.74</v>
          </cell>
          <cell r="P1432">
            <v>10661.74</v>
          </cell>
          <cell r="Q1432">
            <v>10661.74</v>
          </cell>
          <cell r="R1432">
            <v>10661.74</v>
          </cell>
          <cell r="S1432">
            <v>10661.74</v>
          </cell>
          <cell r="T1432">
            <v>10661.74</v>
          </cell>
          <cell r="U1432">
            <v>10661.74</v>
          </cell>
          <cell r="V1432">
            <v>10661.74</v>
          </cell>
          <cell r="W1432">
            <v>10661.74</v>
          </cell>
          <cell r="X1432">
            <v>10661.74</v>
          </cell>
          <cell r="Y1432">
            <v>10661.74</v>
          </cell>
          <cell r="Z1432">
            <v>10661.74</v>
          </cell>
          <cell r="AA1432">
            <v>10661.74</v>
          </cell>
          <cell r="AB1432">
            <v>10661.74</v>
          </cell>
          <cell r="AC1432">
            <v>10661.74</v>
          </cell>
          <cell r="AD1432">
            <v>10661.74</v>
          </cell>
          <cell r="AE1432">
            <v>10661.74</v>
          </cell>
          <cell r="AF1432">
            <v>10661.74</v>
          </cell>
          <cell r="AG1432">
            <v>10661.74</v>
          </cell>
          <cell r="AH1432">
            <v>10661.74</v>
          </cell>
          <cell r="AI1432">
            <v>10661.74</v>
          </cell>
          <cell r="AJ1432">
            <v>10661.74</v>
          </cell>
          <cell r="AK1432">
            <v>10661.74</v>
          </cell>
          <cell r="AL1432">
            <v>0</v>
          </cell>
          <cell r="AM1432">
            <v>2</v>
          </cell>
          <cell r="AN1432" t="str">
            <v/>
          </cell>
          <cell r="AO1432">
            <v>0</v>
          </cell>
          <cell r="AP1432">
            <v>0</v>
          </cell>
          <cell r="AQ1432">
            <v>0</v>
          </cell>
          <cell r="AR1432">
            <v>290</v>
          </cell>
          <cell r="AS1432">
            <v>0</v>
          </cell>
          <cell r="AT1432" t="str">
            <v/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240</v>
          </cell>
          <cell r="BJ1432" t="str">
            <v/>
          </cell>
          <cell r="BK1432">
            <v>1700</v>
          </cell>
          <cell r="BL1432" t="str">
            <v>1</v>
          </cell>
          <cell r="BM1432" t="str">
            <v>1</v>
          </cell>
          <cell r="BN1432" t="str">
            <v/>
          </cell>
          <cell r="BO1432" t="str">
            <v/>
          </cell>
        </row>
        <row r="1433">
          <cell r="A1433">
            <v>1</v>
          </cell>
          <cell r="B1433">
            <v>1170002</v>
          </cell>
          <cell r="C1433" t="str">
            <v>FPA DISPENSER 437 &amp; 444</v>
          </cell>
          <cell r="D1433" t="str">
            <v>SANIMARC 2800 UNITÉ</v>
          </cell>
          <cell r="E1433" t="str">
            <v>N</v>
          </cell>
          <cell r="F1433">
            <v>0</v>
          </cell>
          <cell r="G1433">
            <v>0</v>
          </cell>
          <cell r="H1433">
            <v>0.3</v>
          </cell>
          <cell r="I1433">
            <v>0</v>
          </cell>
          <cell r="J1433">
            <v>4473.3900000000003</v>
          </cell>
          <cell r="K1433">
            <v>0</v>
          </cell>
          <cell r="L1433">
            <v>0</v>
          </cell>
          <cell r="M1433">
            <v>0.3</v>
          </cell>
          <cell r="N1433">
            <v>0.3</v>
          </cell>
          <cell r="O1433">
            <v>0.3</v>
          </cell>
          <cell r="P1433">
            <v>0.3</v>
          </cell>
          <cell r="Q1433">
            <v>0.3</v>
          </cell>
          <cell r="R1433">
            <v>0.3</v>
          </cell>
          <cell r="S1433">
            <v>0.3</v>
          </cell>
          <cell r="T1433">
            <v>0.3</v>
          </cell>
          <cell r="U1433">
            <v>0.3</v>
          </cell>
          <cell r="V1433">
            <v>0.3</v>
          </cell>
          <cell r="W1433">
            <v>0.3</v>
          </cell>
          <cell r="X1433">
            <v>0.3</v>
          </cell>
          <cell r="Y1433">
            <v>0</v>
          </cell>
          <cell r="Z1433">
            <v>118066.67</v>
          </cell>
          <cell r="AA1433">
            <v>111806.99</v>
          </cell>
          <cell r="AB1433">
            <v>101073.66</v>
          </cell>
          <cell r="AC1433">
            <v>90340.33</v>
          </cell>
          <cell r="AD1433">
            <v>79607</v>
          </cell>
          <cell r="AE1433">
            <v>68873.67</v>
          </cell>
          <cell r="AF1433">
            <v>58140.34</v>
          </cell>
          <cell r="AG1433">
            <v>47407.01</v>
          </cell>
          <cell r="AH1433">
            <v>36673.68</v>
          </cell>
          <cell r="AI1433">
            <v>25940.35</v>
          </cell>
          <cell r="AJ1433">
            <v>15207.02</v>
          </cell>
          <cell r="AK1433">
            <v>4473.6899999999996</v>
          </cell>
          <cell r="AL1433">
            <v>0</v>
          </cell>
          <cell r="AM1433">
            <v>2</v>
          </cell>
          <cell r="AN1433" t="str">
            <v/>
          </cell>
          <cell r="AO1433">
            <v>0</v>
          </cell>
          <cell r="AP1433">
            <v>0</v>
          </cell>
          <cell r="AQ1433">
            <v>0</v>
          </cell>
          <cell r="AR1433">
            <v>120</v>
          </cell>
          <cell r="AS1433">
            <v>0</v>
          </cell>
          <cell r="AT1433" t="str">
            <v/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 t="str">
            <v/>
          </cell>
          <cell r="BK1433">
            <v>1600</v>
          </cell>
          <cell r="BL1433" t="str">
            <v>0</v>
          </cell>
          <cell r="BM1433" t="str">
            <v>1</v>
          </cell>
          <cell r="BN1433" t="str">
            <v/>
          </cell>
          <cell r="BO1433" t="str">
            <v/>
          </cell>
        </row>
        <row r="1434">
          <cell r="A1434">
            <v>1</v>
          </cell>
          <cell r="B1434">
            <v>4470052</v>
          </cell>
          <cell r="C1434" t="str">
            <v>ENTRETIEN ET REPARATIONS</v>
          </cell>
          <cell r="D1434" t="str">
            <v>BRETTING 05</v>
          </cell>
          <cell r="E1434" t="str">
            <v>O</v>
          </cell>
          <cell r="F1434">
            <v>0</v>
          </cell>
          <cell r="G1434">
            <v>0</v>
          </cell>
          <cell r="H1434">
            <v>48210.13</v>
          </cell>
          <cell r="I1434">
            <v>56241.19</v>
          </cell>
          <cell r="J1434">
            <v>8031.06</v>
          </cell>
          <cell r="K1434">
            <v>0</v>
          </cell>
          <cell r="L1434">
            <v>1978.32</v>
          </cell>
          <cell r="M1434">
            <v>1275.1300000000001</v>
          </cell>
          <cell r="N1434">
            <v>2772.63</v>
          </cell>
          <cell r="O1434">
            <v>8003.03</v>
          </cell>
          <cell r="P1434">
            <v>14035.19</v>
          </cell>
          <cell r="Q1434">
            <v>15881.25</v>
          </cell>
          <cell r="R1434">
            <v>17435.099999999999</v>
          </cell>
          <cell r="S1434">
            <v>19711.75</v>
          </cell>
          <cell r="T1434">
            <v>23563.93</v>
          </cell>
          <cell r="U1434">
            <v>37870.75</v>
          </cell>
          <cell r="V1434">
            <v>42661.279999999999</v>
          </cell>
          <cell r="W1434">
            <v>46470.34</v>
          </cell>
          <cell r="X1434">
            <v>48210.13</v>
          </cell>
          <cell r="Y1434">
            <v>48913.32</v>
          </cell>
          <cell r="Z1434">
            <v>2486.23</v>
          </cell>
          <cell r="AA1434">
            <v>5845.23</v>
          </cell>
          <cell r="AB1434">
            <v>7279.41</v>
          </cell>
          <cell r="AC1434">
            <v>15582.62</v>
          </cell>
          <cell r="AD1434">
            <v>20170.310000000001</v>
          </cell>
          <cell r="AE1434">
            <v>28131.94</v>
          </cell>
          <cell r="AF1434">
            <v>35840.31</v>
          </cell>
          <cell r="AG1434">
            <v>40157.39</v>
          </cell>
          <cell r="AH1434">
            <v>46702.93</v>
          </cell>
          <cell r="AI1434">
            <v>49953.74</v>
          </cell>
          <cell r="AJ1434">
            <v>60835.07</v>
          </cell>
          <cell r="AK1434">
            <v>62899.79</v>
          </cell>
          <cell r="AL1434">
            <v>0</v>
          </cell>
          <cell r="AM1434">
            <v>2</v>
          </cell>
          <cell r="AN1434" t="str">
            <v/>
          </cell>
          <cell r="AO1434">
            <v>0</v>
          </cell>
          <cell r="AP1434">
            <v>0</v>
          </cell>
          <cell r="AQ1434">
            <v>0</v>
          </cell>
          <cell r="AR1434">
            <v>720</v>
          </cell>
          <cell r="AS1434">
            <v>0</v>
          </cell>
          <cell r="AT1434" t="str">
            <v/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1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 t="str">
            <v/>
          </cell>
          <cell r="BK1434">
            <v>7000</v>
          </cell>
          <cell r="BL1434" t="str">
            <v>0</v>
          </cell>
          <cell r="BM1434" t="str">
            <v>1</v>
          </cell>
          <cell r="BN1434" t="str">
            <v/>
          </cell>
          <cell r="BO1434" t="str">
            <v/>
          </cell>
        </row>
        <row r="1435">
          <cell r="A1435">
            <v>1</v>
          </cell>
          <cell r="B1435">
            <v>4221371</v>
          </cell>
          <cell r="C1435" t="str">
            <v>MATIERE PREMIERE   ACHATS</v>
          </cell>
          <cell r="D1435" t="str">
            <v>OFFICE MIX     - GRADE#37</v>
          </cell>
          <cell r="E1435" t="str">
            <v>O</v>
          </cell>
          <cell r="F1435">
            <v>0</v>
          </cell>
          <cell r="G1435">
            <v>0</v>
          </cell>
          <cell r="H1435">
            <v>79786.899999999994</v>
          </cell>
          <cell r="I1435">
            <v>155865.88</v>
          </cell>
          <cell r="J1435">
            <v>76078.98</v>
          </cell>
          <cell r="K1435">
            <v>0</v>
          </cell>
          <cell r="L1435">
            <v>0</v>
          </cell>
          <cell r="M1435">
            <v>0</v>
          </cell>
          <cell r="N1435">
            <v>7077.1</v>
          </cell>
          <cell r="O1435">
            <v>24611.75</v>
          </cell>
          <cell r="P1435">
            <v>40435.85</v>
          </cell>
          <cell r="Q1435">
            <v>46029.2</v>
          </cell>
          <cell r="R1435">
            <v>64839.3</v>
          </cell>
          <cell r="S1435">
            <v>73218.02</v>
          </cell>
          <cell r="T1435">
            <v>77529.440000000002</v>
          </cell>
          <cell r="U1435">
            <v>80050.720000000001</v>
          </cell>
          <cell r="V1435">
            <v>79786.899999999994</v>
          </cell>
          <cell r="W1435">
            <v>79786.899999999994</v>
          </cell>
          <cell r="X1435">
            <v>79786.899999999994</v>
          </cell>
          <cell r="Y1435">
            <v>79786.899999999994</v>
          </cell>
          <cell r="Z1435">
            <v>8620.6200000000008</v>
          </cell>
          <cell r="AA1435">
            <v>15057.21</v>
          </cell>
          <cell r="AB1435">
            <v>19590.14</v>
          </cell>
          <cell r="AC1435">
            <v>28093.96</v>
          </cell>
          <cell r="AD1435">
            <v>35966.47</v>
          </cell>
          <cell r="AE1435">
            <v>42448.3</v>
          </cell>
          <cell r="AF1435">
            <v>52584.72</v>
          </cell>
          <cell r="AG1435">
            <v>53713.41</v>
          </cell>
          <cell r="AH1435">
            <v>75444.03</v>
          </cell>
          <cell r="AI1435">
            <v>83542.720000000001</v>
          </cell>
          <cell r="AJ1435">
            <v>90988.04</v>
          </cell>
          <cell r="AK1435">
            <v>98239.97</v>
          </cell>
          <cell r="AL1435">
            <v>0</v>
          </cell>
          <cell r="AM1435">
            <v>1</v>
          </cell>
          <cell r="AN1435" t="str">
            <v/>
          </cell>
          <cell r="AO1435">
            <v>0</v>
          </cell>
          <cell r="AP1435">
            <v>0</v>
          </cell>
          <cell r="AQ1435">
            <v>0</v>
          </cell>
          <cell r="AR1435">
            <v>660</v>
          </cell>
          <cell r="AS1435">
            <v>0</v>
          </cell>
          <cell r="AT1435" t="str">
            <v/>
          </cell>
          <cell r="AU1435">
            <v>1371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1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 t="str">
            <v/>
          </cell>
          <cell r="BK1435">
            <v>5100</v>
          </cell>
          <cell r="BL1435" t="str">
            <v>0</v>
          </cell>
          <cell r="BM1435" t="str">
            <v>1</v>
          </cell>
          <cell r="BN1435" t="str">
            <v/>
          </cell>
          <cell r="BO1435" t="str">
            <v/>
          </cell>
        </row>
        <row r="1436">
          <cell r="A1436">
            <v>1</v>
          </cell>
          <cell r="B1436">
            <v>4211371</v>
          </cell>
          <cell r="C1436" t="str">
            <v>INV MAT PREM</v>
          </cell>
          <cell r="D1436" t="str">
            <v>OFFICE MIX     - GRADE#21</v>
          </cell>
          <cell r="E1436" t="str">
            <v>O</v>
          </cell>
          <cell r="F1436">
            <v>0</v>
          </cell>
          <cell r="G1436">
            <v>0</v>
          </cell>
          <cell r="H1436">
            <v>0</v>
          </cell>
          <cell r="I1436">
            <v>47300.01</v>
          </cell>
          <cell r="J1436">
            <v>47300.01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7367.59</v>
          </cell>
          <cell r="Q1436">
            <v>0</v>
          </cell>
          <cell r="R1436">
            <v>6714.08</v>
          </cell>
          <cell r="S1436">
            <v>1945.69</v>
          </cell>
          <cell r="T1436">
            <v>3503.59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3129.54</v>
          </cell>
          <cell r="AB1436">
            <v>0</v>
          </cell>
          <cell r="AC1436">
            <v>495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1</v>
          </cell>
          <cell r="AN1436" t="str">
            <v/>
          </cell>
          <cell r="AO1436">
            <v>0</v>
          </cell>
          <cell r="AP1436">
            <v>0</v>
          </cell>
          <cell r="AQ1436">
            <v>0</v>
          </cell>
          <cell r="AR1436">
            <v>650</v>
          </cell>
          <cell r="AS1436">
            <v>0</v>
          </cell>
          <cell r="AT1436" t="str">
            <v/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 t="str">
            <v/>
          </cell>
          <cell r="BK1436">
            <v>5100</v>
          </cell>
          <cell r="BL1436" t="str">
            <v>0</v>
          </cell>
          <cell r="BM1436" t="str">
            <v>1</v>
          </cell>
          <cell r="BN1436" t="str">
            <v/>
          </cell>
          <cell r="BO1436" t="str">
            <v/>
          </cell>
        </row>
        <row r="1437">
          <cell r="A1437">
            <v>1</v>
          </cell>
          <cell r="B1437">
            <v>4241801</v>
          </cell>
          <cell r="C1437" t="str">
            <v>ENVIRONNEMENT</v>
          </cell>
          <cell r="D1437" t="str">
            <v>MX 080 SUPERFLOC</v>
          </cell>
          <cell r="E1437" t="str">
            <v>O</v>
          </cell>
          <cell r="F1437">
            <v>0</v>
          </cell>
          <cell r="G1437">
            <v>0</v>
          </cell>
          <cell r="H1437">
            <v>53558.879999999997</v>
          </cell>
          <cell r="I1437">
            <v>224582.24</v>
          </cell>
          <cell r="J1437">
            <v>171023.35999999999</v>
          </cell>
          <cell r="K1437">
            <v>0</v>
          </cell>
          <cell r="L1437">
            <v>9218</v>
          </cell>
          <cell r="M1437">
            <v>6491</v>
          </cell>
          <cell r="N1437">
            <v>6707.68</v>
          </cell>
          <cell r="O1437">
            <v>12288.28</v>
          </cell>
          <cell r="P1437">
            <v>19742.2</v>
          </cell>
          <cell r="Q1437">
            <v>23322.720000000001</v>
          </cell>
          <cell r="R1437">
            <v>27987.52</v>
          </cell>
          <cell r="S1437">
            <v>32291.68</v>
          </cell>
          <cell r="T1437">
            <v>36233.040000000001</v>
          </cell>
          <cell r="U1437">
            <v>39913.360000000001</v>
          </cell>
          <cell r="V1437">
            <v>44336.4</v>
          </cell>
          <cell r="W1437">
            <v>49314.16</v>
          </cell>
          <cell r="X1437">
            <v>53558.879999999997</v>
          </cell>
          <cell r="Y1437">
            <v>56285.88</v>
          </cell>
          <cell r="Z1437">
            <v>0</v>
          </cell>
          <cell r="AA1437">
            <v>6508.31</v>
          </cell>
          <cell r="AB1437">
            <v>11087.51</v>
          </cell>
          <cell r="AC1437">
            <v>15752.02</v>
          </cell>
          <cell r="AD1437">
            <v>21119.86</v>
          </cell>
          <cell r="AE1437">
            <v>31627.09</v>
          </cell>
          <cell r="AF1437">
            <v>32373.84</v>
          </cell>
          <cell r="AG1437">
            <v>54635.11</v>
          </cell>
          <cell r="AH1437">
            <v>62161.11</v>
          </cell>
          <cell r="AI1437">
            <v>70133.070000000007</v>
          </cell>
          <cell r="AJ1437">
            <v>77328.350000000006</v>
          </cell>
          <cell r="AK1437">
            <v>83362.63</v>
          </cell>
          <cell r="AL1437">
            <v>0</v>
          </cell>
          <cell r="AM1437">
            <v>1</v>
          </cell>
          <cell r="AN1437" t="str">
            <v/>
          </cell>
          <cell r="AO1437">
            <v>0</v>
          </cell>
          <cell r="AP1437">
            <v>0</v>
          </cell>
          <cell r="AQ1437">
            <v>0</v>
          </cell>
          <cell r="AR1437">
            <v>740</v>
          </cell>
          <cell r="AS1437">
            <v>0</v>
          </cell>
          <cell r="AT1437" t="str">
            <v/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1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 t="str">
            <v/>
          </cell>
          <cell r="BK1437">
            <v>6300</v>
          </cell>
          <cell r="BL1437" t="str">
            <v>0</v>
          </cell>
          <cell r="BM1437" t="str">
            <v>1</v>
          </cell>
          <cell r="BN1437" t="str">
            <v/>
          </cell>
          <cell r="BO1437" t="str">
            <v/>
          </cell>
        </row>
        <row r="1438">
          <cell r="A1438">
            <v>1</v>
          </cell>
          <cell r="B1438">
            <v>4552911</v>
          </cell>
          <cell r="C1438" t="str">
            <v>MATERIEL ROULANT</v>
          </cell>
          <cell r="D1438" t="str">
            <v>ENT.CHARIOTS-CATER 291</v>
          </cell>
          <cell r="E1438" t="str">
            <v>O</v>
          </cell>
          <cell r="F1438">
            <v>0</v>
          </cell>
          <cell r="G1438">
            <v>0</v>
          </cell>
          <cell r="H1438">
            <v>8438.39</v>
          </cell>
          <cell r="I1438">
            <v>9124.82</v>
          </cell>
          <cell r="J1438">
            <v>686.43</v>
          </cell>
          <cell r="K1438">
            <v>0</v>
          </cell>
          <cell r="L1438">
            <v>22213.05</v>
          </cell>
          <cell r="M1438">
            <v>146.16</v>
          </cell>
          <cell r="N1438">
            <v>1092.53</v>
          </cell>
          <cell r="O1438">
            <v>3664.59</v>
          </cell>
          <cell r="P1438">
            <v>3664.59</v>
          </cell>
          <cell r="Q1438">
            <v>3664.59</v>
          </cell>
          <cell r="R1438">
            <v>3664.59</v>
          </cell>
          <cell r="S1438">
            <v>3757.39</v>
          </cell>
          <cell r="T1438">
            <v>3846.71</v>
          </cell>
          <cell r="U1438">
            <v>4365.68</v>
          </cell>
          <cell r="V1438">
            <v>6100.91</v>
          </cell>
          <cell r="W1438">
            <v>7579.86</v>
          </cell>
          <cell r="X1438">
            <v>8438.39</v>
          </cell>
          <cell r="Y1438">
            <v>30505.279999999999</v>
          </cell>
          <cell r="Z1438">
            <v>0</v>
          </cell>
          <cell r="AA1438">
            <v>97.9</v>
          </cell>
          <cell r="AB1438">
            <v>177.73</v>
          </cell>
          <cell r="AC1438">
            <v>315.3</v>
          </cell>
          <cell r="AD1438">
            <v>330.36</v>
          </cell>
          <cell r="AE1438">
            <v>1571.47</v>
          </cell>
          <cell r="AF1438">
            <v>1571.47</v>
          </cell>
          <cell r="AG1438">
            <v>1571.47</v>
          </cell>
          <cell r="AH1438">
            <v>1571.47</v>
          </cell>
          <cell r="AI1438">
            <v>1571.47</v>
          </cell>
          <cell r="AJ1438">
            <v>1571.47</v>
          </cell>
          <cell r="AK1438">
            <v>2206.96</v>
          </cell>
          <cell r="AL1438">
            <v>0</v>
          </cell>
          <cell r="AM1438">
            <v>1</v>
          </cell>
          <cell r="AN1438" t="str">
            <v/>
          </cell>
          <cell r="AO1438">
            <v>0</v>
          </cell>
          <cell r="AP1438">
            <v>0</v>
          </cell>
          <cell r="AQ1438">
            <v>0</v>
          </cell>
          <cell r="AR1438">
            <v>750</v>
          </cell>
          <cell r="AS1438">
            <v>0</v>
          </cell>
          <cell r="AT1438" t="str">
            <v/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 t="str">
            <v/>
          </cell>
          <cell r="BK1438">
            <v>7000</v>
          </cell>
          <cell r="BL1438" t="str">
            <v>0</v>
          </cell>
          <cell r="BM1438" t="str">
            <v>1</v>
          </cell>
          <cell r="BN1438" t="str">
            <v/>
          </cell>
          <cell r="BO1438" t="str">
            <v/>
          </cell>
        </row>
        <row r="1439">
          <cell r="A1439">
            <v>1</v>
          </cell>
          <cell r="B1439">
            <v>4552921</v>
          </cell>
          <cell r="C1439" t="str">
            <v>MATERIEL ROULANT</v>
          </cell>
          <cell r="D1439" t="str">
            <v>ENT.CHARIOTS-CATER 292</v>
          </cell>
          <cell r="E1439" t="str">
            <v>O</v>
          </cell>
          <cell r="F1439">
            <v>0</v>
          </cell>
          <cell r="G1439">
            <v>0</v>
          </cell>
          <cell r="H1439">
            <v>498.03</v>
          </cell>
          <cell r="I1439">
            <v>572.82000000000005</v>
          </cell>
          <cell r="J1439">
            <v>74.790000000000006</v>
          </cell>
          <cell r="K1439">
            <v>0</v>
          </cell>
          <cell r="L1439">
            <v>779.14</v>
          </cell>
          <cell r="M1439">
            <v>92.31</v>
          </cell>
          <cell r="N1439">
            <v>0</v>
          </cell>
          <cell r="O1439">
            <v>0</v>
          </cell>
          <cell r="P1439">
            <v>35.81</v>
          </cell>
          <cell r="Q1439">
            <v>35.81</v>
          </cell>
          <cell r="R1439">
            <v>35.81</v>
          </cell>
          <cell r="S1439">
            <v>35.81</v>
          </cell>
          <cell r="T1439">
            <v>35.81</v>
          </cell>
          <cell r="U1439">
            <v>161.77000000000001</v>
          </cell>
          <cell r="V1439">
            <v>356.24</v>
          </cell>
          <cell r="W1439">
            <v>356.24</v>
          </cell>
          <cell r="X1439">
            <v>498.03</v>
          </cell>
          <cell r="Y1439">
            <v>1184.8599999999999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235.39</v>
          </cell>
          <cell r="AH1439">
            <v>819.08</v>
          </cell>
          <cell r="AI1439">
            <v>819.04</v>
          </cell>
          <cell r="AJ1439">
            <v>819.04</v>
          </cell>
          <cell r="AK1439">
            <v>819.04</v>
          </cell>
          <cell r="AL1439">
            <v>0</v>
          </cell>
          <cell r="AM1439">
            <v>1</v>
          </cell>
          <cell r="AN1439" t="str">
            <v/>
          </cell>
          <cell r="AO1439">
            <v>0</v>
          </cell>
          <cell r="AP1439">
            <v>0</v>
          </cell>
          <cell r="AQ1439">
            <v>0</v>
          </cell>
          <cell r="AR1439">
            <v>750</v>
          </cell>
          <cell r="AS1439">
            <v>0</v>
          </cell>
          <cell r="AT1439" t="str">
            <v/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 t="str">
            <v/>
          </cell>
          <cell r="BK1439">
            <v>7000</v>
          </cell>
          <cell r="BL1439" t="str">
            <v>0</v>
          </cell>
          <cell r="BM1439" t="str">
            <v>1</v>
          </cell>
          <cell r="BN1439" t="str">
            <v/>
          </cell>
          <cell r="BO1439" t="str">
            <v/>
          </cell>
        </row>
        <row r="1440">
          <cell r="A1440">
            <v>1</v>
          </cell>
          <cell r="B1440">
            <v>1332890</v>
          </cell>
          <cell r="C1440" t="str">
            <v>BANQUE DE CONDENSATEUR</v>
          </cell>
          <cell r="D1440" t="str">
            <v/>
          </cell>
          <cell r="E1440" t="str">
            <v>N</v>
          </cell>
          <cell r="F1440">
            <v>0</v>
          </cell>
          <cell r="G1440">
            <v>0</v>
          </cell>
          <cell r="H1440">
            <v>98124.78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98124.78</v>
          </cell>
          <cell r="O1440">
            <v>98124.78</v>
          </cell>
          <cell r="P1440">
            <v>98124.78</v>
          </cell>
          <cell r="Q1440">
            <v>98124.78</v>
          </cell>
          <cell r="R1440">
            <v>98124.78</v>
          </cell>
          <cell r="S1440">
            <v>98124.78</v>
          </cell>
          <cell r="T1440">
            <v>98124.78</v>
          </cell>
          <cell r="U1440">
            <v>98124.78</v>
          </cell>
          <cell r="V1440">
            <v>98124.78</v>
          </cell>
          <cell r="W1440">
            <v>98124.78</v>
          </cell>
          <cell r="X1440">
            <v>98124.78</v>
          </cell>
          <cell r="Y1440">
            <v>98124.78</v>
          </cell>
          <cell r="Z1440">
            <v>22011.4</v>
          </cell>
          <cell r="AA1440">
            <v>22152.82</v>
          </cell>
          <cell r="AB1440">
            <v>22815.67</v>
          </cell>
          <cell r="AC1440">
            <v>98124.78</v>
          </cell>
          <cell r="AD1440">
            <v>98124.78</v>
          </cell>
          <cell r="AE1440">
            <v>98124.78</v>
          </cell>
          <cell r="AF1440">
            <v>98124.78</v>
          </cell>
          <cell r="AG1440">
            <v>98124.78</v>
          </cell>
          <cell r="AH1440">
            <v>98124.78</v>
          </cell>
          <cell r="AI1440">
            <v>98124.78</v>
          </cell>
          <cell r="AJ1440">
            <v>98124.78</v>
          </cell>
          <cell r="AK1440">
            <v>98124.78</v>
          </cell>
          <cell r="AL1440">
            <v>0</v>
          </cell>
          <cell r="AM1440">
            <v>0</v>
          </cell>
          <cell r="AN1440" t="str">
            <v/>
          </cell>
          <cell r="AO1440">
            <v>0</v>
          </cell>
          <cell r="AP1440">
            <v>0</v>
          </cell>
          <cell r="AQ1440">
            <v>0</v>
          </cell>
          <cell r="AR1440">
            <v>290</v>
          </cell>
          <cell r="AS1440">
            <v>0</v>
          </cell>
          <cell r="AT1440" t="str">
            <v/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240</v>
          </cell>
          <cell r="BJ1440" t="str">
            <v/>
          </cell>
          <cell r="BK1440">
            <v>1700</v>
          </cell>
          <cell r="BL1440" t="str">
            <v>1</v>
          </cell>
          <cell r="BM1440" t="str">
            <v>1</v>
          </cell>
          <cell r="BN1440" t="str">
            <v/>
          </cell>
          <cell r="BO1440" t="str">
            <v/>
          </cell>
        </row>
        <row r="1441">
          <cell r="A1441">
            <v>1</v>
          </cell>
          <cell r="B1441">
            <v>4145722</v>
          </cell>
          <cell r="C1441" t="str">
            <v>TRANSPORT</v>
          </cell>
          <cell r="D1441" t="str">
            <v>PERKINS BRUN S/F 4M</v>
          </cell>
          <cell r="E1441" t="str">
            <v>O</v>
          </cell>
          <cell r="F1441">
            <v>0</v>
          </cell>
          <cell r="G1441">
            <v>0</v>
          </cell>
          <cell r="H1441">
            <v>17284.66</v>
          </cell>
          <cell r="I1441">
            <v>19604.189999999999</v>
          </cell>
          <cell r="J1441">
            <v>2319.5300000000002</v>
          </cell>
          <cell r="K1441">
            <v>0</v>
          </cell>
          <cell r="L1441">
            <v>2413.11</v>
          </cell>
          <cell r="M1441">
            <v>0</v>
          </cell>
          <cell r="N1441">
            <v>858.53</v>
          </cell>
          <cell r="O1441">
            <v>1765.99</v>
          </cell>
          <cell r="P1441">
            <v>1765.99</v>
          </cell>
          <cell r="Q1441">
            <v>1765.99</v>
          </cell>
          <cell r="R1441">
            <v>3226.99</v>
          </cell>
          <cell r="S1441">
            <v>4503.99</v>
          </cell>
          <cell r="T1441">
            <v>6791.89</v>
          </cell>
          <cell r="U1441">
            <v>9018.89</v>
          </cell>
          <cell r="V1441">
            <v>12920.62</v>
          </cell>
          <cell r="W1441">
            <v>15222.9</v>
          </cell>
          <cell r="X1441">
            <v>17284.66</v>
          </cell>
          <cell r="Y1441">
            <v>19697.77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2</v>
          </cell>
          <cell r="AN1441" t="str">
            <v/>
          </cell>
          <cell r="AO1441">
            <v>0</v>
          </cell>
          <cell r="AP1441">
            <v>0</v>
          </cell>
          <cell r="AQ1441">
            <v>0</v>
          </cell>
          <cell r="AR1441">
            <v>610</v>
          </cell>
          <cell r="AS1441">
            <v>0</v>
          </cell>
          <cell r="AT1441" t="str">
            <v/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20572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 t="str">
            <v/>
          </cell>
          <cell r="BK1441">
            <v>4000</v>
          </cell>
          <cell r="BL1441" t="str">
            <v>0</v>
          </cell>
          <cell r="BM1441" t="str">
            <v>1</v>
          </cell>
          <cell r="BN1441" t="str">
            <v/>
          </cell>
          <cell r="BO1441" t="str">
            <v/>
          </cell>
        </row>
        <row r="1442">
          <cell r="A1442">
            <v>1</v>
          </cell>
          <cell r="B1442">
            <v>4145732</v>
          </cell>
          <cell r="C1442" t="str">
            <v>TRANSPORT</v>
          </cell>
          <cell r="D1442" t="str">
            <v>PERKINS BRUN S/F 2.5M</v>
          </cell>
          <cell r="E1442" t="str">
            <v>O</v>
          </cell>
          <cell r="F1442">
            <v>0</v>
          </cell>
          <cell r="G1442">
            <v>0</v>
          </cell>
          <cell r="H1442">
            <v>25792.34</v>
          </cell>
          <cell r="I1442">
            <v>27980.53</v>
          </cell>
          <cell r="J1442">
            <v>2188.19</v>
          </cell>
          <cell r="K1442">
            <v>0</v>
          </cell>
          <cell r="L1442">
            <v>3001.52</v>
          </cell>
          <cell r="M1442">
            <v>0</v>
          </cell>
          <cell r="N1442">
            <v>1258.19</v>
          </cell>
          <cell r="O1442">
            <v>4786.5200000000004</v>
          </cell>
          <cell r="P1442">
            <v>4786.5200000000004</v>
          </cell>
          <cell r="Q1442">
            <v>4786.5200000000004</v>
          </cell>
          <cell r="R1442">
            <v>5716.52</v>
          </cell>
          <cell r="S1442">
            <v>9549.52</v>
          </cell>
          <cell r="T1442">
            <v>12510.98</v>
          </cell>
          <cell r="U1442">
            <v>16027.98</v>
          </cell>
          <cell r="V1442">
            <v>17629.55</v>
          </cell>
          <cell r="W1442">
            <v>22132.27</v>
          </cell>
          <cell r="X1442">
            <v>25792.34</v>
          </cell>
          <cell r="Y1442">
            <v>28793.86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2</v>
          </cell>
          <cell r="AN1442" t="str">
            <v/>
          </cell>
          <cell r="AO1442">
            <v>0</v>
          </cell>
          <cell r="AP1442">
            <v>0</v>
          </cell>
          <cell r="AQ1442">
            <v>0</v>
          </cell>
          <cell r="AR1442">
            <v>610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20573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 t="str">
            <v/>
          </cell>
          <cell r="BK1442">
            <v>4000</v>
          </cell>
          <cell r="BL1442" t="str">
            <v>0</v>
          </cell>
          <cell r="BM1442" t="str">
            <v>1</v>
          </cell>
          <cell r="BN1442" t="str">
            <v/>
          </cell>
          <cell r="BO1442" t="str">
            <v/>
          </cell>
        </row>
        <row r="1443">
          <cell r="A1443">
            <v>1</v>
          </cell>
          <cell r="B1443">
            <v>4145742</v>
          </cell>
          <cell r="C1443" t="str">
            <v>TRANSPORT</v>
          </cell>
          <cell r="D1443" t="str">
            <v>PERKINS BRUN ROLL 8X205</v>
          </cell>
          <cell r="E1443" t="str">
            <v>O</v>
          </cell>
          <cell r="F1443">
            <v>0</v>
          </cell>
          <cell r="G1443">
            <v>0</v>
          </cell>
          <cell r="H1443">
            <v>34266.06</v>
          </cell>
          <cell r="I1443">
            <v>39133.18</v>
          </cell>
          <cell r="J1443">
            <v>4867.12</v>
          </cell>
          <cell r="K1443">
            <v>0</v>
          </cell>
          <cell r="L1443">
            <v>3224.47</v>
          </cell>
          <cell r="M1443">
            <v>0</v>
          </cell>
          <cell r="N1443">
            <v>79.12</v>
          </cell>
          <cell r="O1443">
            <v>3001.54</v>
          </cell>
          <cell r="P1443">
            <v>3001.54</v>
          </cell>
          <cell r="Q1443">
            <v>3001.54</v>
          </cell>
          <cell r="R1443">
            <v>7789.54</v>
          </cell>
          <cell r="S1443">
            <v>11157.54</v>
          </cell>
          <cell r="T1443">
            <v>17062.919999999998</v>
          </cell>
          <cell r="U1443">
            <v>20771.919999999998</v>
          </cell>
          <cell r="V1443">
            <v>25902.37</v>
          </cell>
          <cell r="W1443">
            <v>30615.24</v>
          </cell>
          <cell r="X1443">
            <v>34266.06</v>
          </cell>
          <cell r="Y1443">
            <v>37490.53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2</v>
          </cell>
          <cell r="AN1443" t="str">
            <v/>
          </cell>
          <cell r="AO1443">
            <v>0</v>
          </cell>
          <cell r="AP1443">
            <v>0</v>
          </cell>
          <cell r="AQ1443">
            <v>0</v>
          </cell>
          <cell r="AR1443">
            <v>610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20574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 t="str">
            <v/>
          </cell>
          <cell r="BK1443">
            <v>4000</v>
          </cell>
          <cell r="BL1443" t="str">
            <v>0</v>
          </cell>
          <cell r="BM1443" t="str">
            <v>1</v>
          </cell>
          <cell r="BN1443" t="str">
            <v/>
          </cell>
          <cell r="BO1443" t="str">
            <v/>
          </cell>
        </row>
        <row r="1444">
          <cell r="A1444">
            <v>1</v>
          </cell>
          <cell r="B1444">
            <v>4145752</v>
          </cell>
          <cell r="C1444" t="str">
            <v>TRANSPORT</v>
          </cell>
          <cell r="D1444" t="str">
            <v>PERKINS S/F 12X250</v>
          </cell>
          <cell r="E1444" t="str">
            <v>O</v>
          </cell>
          <cell r="F1444">
            <v>0</v>
          </cell>
          <cell r="G1444">
            <v>0</v>
          </cell>
          <cell r="H1444">
            <v>16396.080000000002</v>
          </cell>
          <cell r="I1444">
            <v>18929.240000000002</v>
          </cell>
          <cell r="J1444">
            <v>2533.16</v>
          </cell>
          <cell r="K1444">
            <v>0</v>
          </cell>
          <cell r="L1444">
            <v>1237.22</v>
          </cell>
          <cell r="M1444">
            <v>0</v>
          </cell>
          <cell r="N1444">
            <v>74.16</v>
          </cell>
          <cell r="O1444">
            <v>1402.41</v>
          </cell>
          <cell r="P1444">
            <v>1402.41</v>
          </cell>
          <cell r="Q1444">
            <v>1402.41</v>
          </cell>
          <cell r="R1444">
            <v>3861.41</v>
          </cell>
          <cell r="S1444">
            <v>5030.41</v>
          </cell>
          <cell r="T1444">
            <v>7892.28</v>
          </cell>
          <cell r="U1444">
            <v>9436.2800000000007</v>
          </cell>
          <cell r="V1444">
            <v>11872.76</v>
          </cell>
          <cell r="W1444">
            <v>14287.66</v>
          </cell>
          <cell r="X1444">
            <v>16396.080000000002</v>
          </cell>
          <cell r="Y1444">
            <v>17633.3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2</v>
          </cell>
          <cell r="AN1444" t="str">
            <v/>
          </cell>
          <cell r="AO1444">
            <v>0</v>
          </cell>
          <cell r="AP1444">
            <v>0</v>
          </cell>
          <cell r="AQ1444">
            <v>0</v>
          </cell>
          <cell r="AR1444">
            <v>610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20575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 t="str">
            <v/>
          </cell>
          <cell r="BK1444">
            <v>4000</v>
          </cell>
          <cell r="BL1444" t="str">
            <v>0</v>
          </cell>
          <cell r="BM1444" t="str">
            <v>1</v>
          </cell>
          <cell r="BN1444" t="str">
            <v/>
          </cell>
          <cell r="BO1444" t="str">
            <v/>
          </cell>
        </row>
        <row r="1445">
          <cell r="A1445">
            <v>1</v>
          </cell>
          <cell r="B1445">
            <v>4145762</v>
          </cell>
          <cell r="C1445" t="str">
            <v>TRANSPORT</v>
          </cell>
          <cell r="D1445" t="str">
            <v>PERKINS M/F 12X250 SHRINK</v>
          </cell>
          <cell r="E1445" t="str">
            <v>O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2</v>
          </cell>
          <cell r="AN1445" t="str">
            <v/>
          </cell>
          <cell r="AO1445">
            <v>0</v>
          </cell>
          <cell r="AP1445">
            <v>0</v>
          </cell>
          <cell r="AQ1445">
            <v>0</v>
          </cell>
          <cell r="AR1445">
            <v>610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20575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 t="str">
            <v/>
          </cell>
          <cell r="BK1445">
            <v>4000</v>
          </cell>
          <cell r="BL1445" t="str">
            <v>0</v>
          </cell>
          <cell r="BM1445" t="str">
            <v>1</v>
          </cell>
          <cell r="BN1445" t="str">
            <v/>
          </cell>
          <cell r="BO1445" t="str">
            <v/>
          </cell>
        </row>
        <row r="1446">
          <cell r="A1446">
            <v>1</v>
          </cell>
          <cell r="B1446">
            <v>4145802</v>
          </cell>
          <cell r="C1446" t="str">
            <v>COSCO M/F DECOR NAT</v>
          </cell>
          <cell r="D1446" t="str">
            <v>pn101580</v>
          </cell>
          <cell r="E1446" t="str">
            <v>O</v>
          </cell>
          <cell r="F1446">
            <v>0</v>
          </cell>
          <cell r="G1446">
            <v>0</v>
          </cell>
          <cell r="H1446">
            <v>8</v>
          </cell>
          <cell r="I1446">
            <v>9</v>
          </cell>
          <cell r="J1446">
            <v>1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1</v>
          </cell>
          <cell r="S1446">
            <v>3</v>
          </cell>
          <cell r="T1446">
            <v>3</v>
          </cell>
          <cell r="U1446">
            <v>8</v>
          </cell>
          <cell r="V1446">
            <v>8</v>
          </cell>
          <cell r="W1446">
            <v>8</v>
          </cell>
          <cell r="X1446">
            <v>8</v>
          </cell>
          <cell r="Y1446">
            <v>8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2</v>
          </cell>
          <cell r="AN1446" t="str">
            <v/>
          </cell>
          <cell r="AO1446">
            <v>0</v>
          </cell>
          <cell r="AP1446">
            <v>0</v>
          </cell>
          <cell r="AQ1446">
            <v>0</v>
          </cell>
          <cell r="AR1446">
            <v>610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 t="str">
            <v/>
          </cell>
          <cell r="BK1446">
            <v>4000</v>
          </cell>
          <cell r="BL1446" t="str">
            <v>0</v>
          </cell>
          <cell r="BM1446" t="str">
            <v>1</v>
          </cell>
          <cell r="BN1446" t="str">
            <v/>
          </cell>
          <cell r="BO1446" t="str">
            <v/>
          </cell>
        </row>
        <row r="1447">
          <cell r="A1447">
            <v>1</v>
          </cell>
          <cell r="B1447">
            <v>4145822</v>
          </cell>
          <cell r="C1447" t="str">
            <v>COSCO 8/425 DECOT NAT</v>
          </cell>
          <cell r="D1447" t="str">
            <v>pn101582</v>
          </cell>
          <cell r="E1447" t="str">
            <v>O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2</v>
          </cell>
          <cell r="AN1447" t="str">
            <v/>
          </cell>
          <cell r="AO1447">
            <v>0</v>
          </cell>
          <cell r="AP1447">
            <v>0</v>
          </cell>
          <cell r="AQ1447">
            <v>0</v>
          </cell>
          <cell r="AR1447">
            <v>610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 t="str">
            <v/>
          </cell>
          <cell r="BK1447">
            <v>4000</v>
          </cell>
          <cell r="BL1447" t="str">
            <v>0</v>
          </cell>
          <cell r="BM1447" t="str">
            <v>1</v>
          </cell>
          <cell r="BN1447" t="str">
            <v/>
          </cell>
          <cell r="BO1447" t="str">
            <v/>
          </cell>
        </row>
        <row r="1448">
          <cell r="A1448">
            <v>1</v>
          </cell>
          <cell r="B1448">
            <v>4322031</v>
          </cell>
          <cell r="C1448" t="str">
            <v>CHAUDIERE</v>
          </cell>
          <cell r="D1448" t="str">
            <v>GAZ NATUREL CONSULTANT</v>
          </cell>
          <cell r="E1448" t="str">
            <v>O</v>
          </cell>
          <cell r="F1448">
            <v>0</v>
          </cell>
          <cell r="G1448">
            <v>0</v>
          </cell>
          <cell r="H1448">
            <v>1731</v>
          </cell>
          <cell r="I1448">
            <v>1881</v>
          </cell>
          <cell r="J1448">
            <v>150</v>
          </cell>
          <cell r="K1448">
            <v>0</v>
          </cell>
          <cell r="L1448">
            <v>100</v>
          </cell>
          <cell r="M1448">
            <v>0</v>
          </cell>
          <cell r="N1448">
            <v>0</v>
          </cell>
          <cell r="O1448">
            <v>50</v>
          </cell>
          <cell r="P1448">
            <v>150</v>
          </cell>
          <cell r="Q1448">
            <v>195</v>
          </cell>
          <cell r="R1448">
            <v>345</v>
          </cell>
          <cell r="S1448">
            <v>495</v>
          </cell>
          <cell r="T1448">
            <v>445</v>
          </cell>
          <cell r="U1448">
            <v>445</v>
          </cell>
          <cell r="V1448">
            <v>545</v>
          </cell>
          <cell r="W1448">
            <v>545</v>
          </cell>
          <cell r="X1448">
            <v>1731</v>
          </cell>
          <cell r="Y1448">
            <v>1831</v>
          </cell>
          <cell r="Z1448">
            <v>35</v>
          </cell>
          <cell r="AA1448">
            <v>35</v>
          </cell>
          <cell r="AB1448">
            <v>385</v>
          </cell>
          <cell r="AC1448">
            <v>420</v>
          </cell>
          <cell r="AD1448">
            <v>420</v>
          </cell>
          <cell r="AE1448">
            <v>465</v>
          </cell>
          <cell r="AF1448">
            <v>510</v>
          </cell>
          <cell r="AG1448">
            <v>555</v>
          </cell>
          <cell r="AH1448">
            <v>600</v>
          </cell>
          <cell r="AI1448">
            <v>600</v>
          </cell>
          <cell r="AJ1448">
            <v>645</v>
          </cell>
          <cell r="AK1448">
            <v>745</v>
          </cell>
          <cell r="AL1448">
            <v>0</v>
          </cell>
          <cell r="AM1448">
            <v>1</v>
          </cell>
          <cell r="AN1448" t="str">
            <v/>
          </cell>
          <cell r="AO1448">
            <v>0</v>
          </cell>
          <cell r="AP1448">
            <v>0</v>
          </cell>
          <cell r="AQ1448">
            <v>0</v>
          </cell>
          <cell r="AR1448">
            <v>730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 t="str">
            <v/>
          </cell>
          <cell r="BK1448">
            <v>6100</v>
          </cell>
          <cell r="BL1448" t="str">
            <v>0</v>
          </cell>
          <cell r="BM1448" t="str">
            <v>1</v>
          </cell>
          <cell r="BN1448" t="str">
            <v/>
          </cell>
          <cell r="BO1448" t="str">
            <v/>
          </cell>
        </row>
        <row r="1449">
          <cell r="A1449">
            <v>1</v>
          </cell>
          <cell r="B1449">
            <v>1333000</v>
          </cell>
          <cell r="C1449" t="str">
            <v>TORCHE AU PLASMA</v>
          </cell>
          <cell r="D1449" t="str">
            <v/>
          </cell>
          <cell r="E1449" t="str">
            <v>O</v>
          </cell>
          <cell r="F1449">
            <v>0</v>
          </cell>
          <cell r="G1449">
            <v>0</v>
          </cell>
          <cell r="H1449">
            <v>5474.71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5474.71</v>
          </cell>
          <cell r="O1449">
            <v>5474.71</v>
          </cell>
          <cell r="P1449">
            <v>5474.71</v>
          </cell>
          <cell r="Q1449">
            <v>5474.71</v>
          </cell>
          <cell r="R1449">
            <v>5474.71</v>
          </cell>
          <cell r="S1449">
            <v>5474.71</v>
          </cell>
          <cell r="T1449">
            <v>5474.71</v>
          </cell>
          <cell r="U1449">
            <v>5474.71</v>
          </cell>
          <cell r="V1449">
            <v>5474.71</v>
          </cell>
          <cell r="W1449">
            <v>5474.71</v>
          </cell>
          <cell r="X1449">
            <v>5474.71</v>
          </cell>
          <cell r="Y1449">
            <v>5474.71</v>
          </cell>
          <cell r="Z1449">
            <v>0</v>
          </cell>
          <cell r="AA1449">
            <v>0</v>
          </cell>
          <cell r="AB1449">
            <v>5474.71</v>
          </cell>
          <cell r="AC1449">
            <v>5474.71</v>
          </cell>
          <cell r="AD1449">
            <v>5474.71</v>
          </cell>
          <cell r="AE1449">
            <v>5474.71</v>
          </cell>
          <cell r="AF1449">
            <v>5474.71</v>
          </cell>
          <cell r="AG1449">
            <v>5474.71</v>
          </cell>
          <cell r="AH1449">
            <v>5474.71</v>
          </cell>
          <cell r="AI1449">
            <v>5474.71</v>
          </cell>
          <cell r="AJ1449">
            <v>5474.71</v>
          </cell>
          <cell r="AK1449">
            <v>5474.71</v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>
            <v>0</v>
          </cell>
          <cell r="AR1449">
            <v>290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240</v>
          </cell>
          <cell r="BJ1449" t="str">
            <v/>
          </cell>
          <cell r="BK1449">
            <v>1700</v>
          </cell>
          <cell r="BL1449" t="str">
            <v>1</v>
          </cell>
          <cell r="BM1449" t="str">
            <v>1</v>
          </cell>
          <cell r="BN1449" t="str">
            <v/>
          </cell>
          <cell r="BO1449" t="str">
            <v/>
          </cell>
        </row>
        <row r="1450">
          <cell r="A1450">
            <v>1</v>
          </cell>
          <cell r="B1450">
            <v>1333021</v>
          </cell>
          <cell r="C1450" t="str">
            <v>TRANCHE</v>
          </cell>
          <cell r="D1450" t="str">
            <v/>
          </cell>
          <cell r="E1450" t="str">
            <v>O</v>
          </cell>
          <cell r="F1450">
            <v>0</v>
          </cell>
          <cell r="G1450">
            <v>0</v>
          </cell>
          <cell r="H1450">
            <v>3432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3432</v>
          </cell>
          <cell r="O1450">
            <v>3432</v>
          </cell>
          <cell r="P1450">
            <v>3432</v>
          </cell>
          <cell r="Q1450">
            <v>3432</v>
          </cell>
          <cell r="R1450">
            <v>3432</v>
          </cell>
          <cell r="S1450">
            <v>3432</v>
          </cell>
          <cell r="T1450">
            <v>3432</v>
          </cell>
          <cell r="U1450">
            <v>3432</v>
          </cell>
          <cell r="V1450">
            <v>3432</v>
          </cell>
          <cell r="W1450">
            <v>3432</v>
          </cell>
          <cell r="X1450">
            <v>3432</v>
          </cell>
          <cell r="Y1450">
            <v>3432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3432</v>
          </cell>
          <cell r="AE1450">
            <v>3432</v>
          </cell>
          <cell r="AF1450">
            <v>3432</v>
          </cell>
          <cell r="AG1450">
            <v>3432</v>
          </cell>
          <cell r="AH1450">
            <v>3432</v>
          </cell>
          <cell r="AI1450">
            <v>3432</v>
          </cell>
          <cell r="AJ1450">
            <v>3432</v>
          </cell>
          <cell r="AK1450">
            <v>3432</v>
          </cell>
          <cell r="AL1450">
            <v>0</v>
          </cell>
          <cell r="AM1450">
            <v>1</v>
          </cell>
          <cell r="AN1450" t="str">
            <v/>
          </cell>
          <cell r="AO1450">
            <v>0</v>
          </cell>
          <cell r="AP1450">
            <v>0</v>
          </cell>
          <cell r="AQ1450">
            <v>0</v>
          </cell>
          <cell r="AR1450">
            <v>290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240</v>
          </cell>
          <cell r="BJ1450" t="str">
            <v/>
          </cell>
          <cell r="BK1450">
            <v>1700</v>
          </cell>
          <cell r="BL1450" t="str">
            <v>1</v>
          </cell>
          <cell r="BM1450" t="str">
            <v>1</v>
          </cell>
          <cell r="BN1450" t="str">
            <v/>
          </cell>
          <cell r="BO1450" t="str">
            <v/>
          </cell>
        </row>
        <row r="1451">
          <cell r="A1451">
            <v>1</v>
          </cell>
          <cell r="B1451">
            <v>1332991</v>
          </cell>
          <cell r="C1451" t="str">
            <v>MICROMETRE</v>
          </cell>
          <cell r="D1451" t="str">
            <v/>
          </cell>
          <cell r="E1451" t="str">
            <v>O</v>
          </cell>
          <cell r="F1451">
            <v>0</v>
          </cell>
          <cell r="G1451">
            <v>0</v>
          </cell>
          <cell r="H1451">
            <v>9568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9568</v>
          </cell>
          <cell r="O1451">
            <v>9568</v>
          </cell>
          <cell r="P1451">
            <v>9568</v>
          </cell>
          <cell r="Q1451">
            <v>9568</v>
          </cell>
          <cell r="R1451">
            <v>9568</v>
          </cell>
          <cell r="S1451">
            <v>9568</v>
          </cell>
          <cell r="T1451">
            <v>9568</v>
          </cell>
          <cell r="U1451">
            <v>9568</v>
          </cell>
          <cell r="V1451">
            <v>9568</v>
          </cell>
          <cell r="W1451">
            <v>9568</v>
          </cell>
          <cell r="X1451">
            <v>9568</v>
          </cell>
          <cell r="Y1451">
            <v>9568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9568</v>
          </cell>
          <cell r="AE1451">
            <v>9568</v>
          </cell>
          <cell r="AF1451">
            <v>9568</v>
          </cell>
          <cell r="AG1451">
            <v>9568</v>
          </cell>
          <cell r="AH1451">
            <v>9568</v>
          </cell>
          <cell r="AI1451">
            <v>9568</v>
          </cell>
          <cell r="AJ1451">
            <v>9568</v>
          </cell>
          <cell r="AK1451">
            <v>9568</v>
          </cell>
          <cell r="AL1451">
            <v>0</v>
          </cell>
          <cell r="AM1451">
            <v>1</v>
          </cell>
          <cell r="AN1451" t="str">
            <v/>
          </cell>
          <cell r="AO1451">
            <v>0</v>
          </cell>
          <cell r="AP1451">
            <v>0</v>
          </cell>
          <cell r="AQ1451">
            <v>0</v>
          </cell>
          <cell r="AR1451">
            <v>290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240</v>
          </cell>
          <cell r="BJ1451" t="str">
            <v/>
          </cell>
          <cell r="BK1451">
            <v>1700</v>
          </cell>
          <cell r="BL1451" t="str">
            <v>1</v>
          </cell>
          <cell r="BM1451" t="str">
            <v>1</v>
          </cell>
          <cell r="BN1451" t="str">
            <v/>
          </cell>
          <cell r="BO1451" t="str">
            <v/>
          </cell>
        </row>
        <row r="1452">
          <cell r="A1452">
            <v>1</v>
          </cell>
          <cell r="B1452">
            <v>1333014</v>
          </cell>
          <cell r="C1452" t="str">
            <v>SHRINK WRAP</v>
          </cell>
          <cell r="D1452" t="str">
            <v/>
          </cell>
          <cell r="E1452" t="str">
            <v>O</v>
          </cell>
          <cell r="F1452">
            <v>0</v>
          </cell>
          <cell r="G1452">
            <v>0</v>
          </cell>
          <cell r="H1452">
            <v>3500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3500</v>
          </cell>
          <cell r="O1452">
            <v>3500</v>
          </cell>
          <cell r="P1452">
            <v>3500</v>
          </cell>
          <cell r="Q1452">
            <v>3500</v>
          </cell>
          <cell r="R1452">
            <v>3500</v>
          </cell>
          <cell r="S1452">
            <v>3500</v>
          </cell>
          <cell r="T1452">
            <v>3500</v>
          </cell>
          <cell r="U1452">
            <v>3500</v>
          </cell>
          <cell r="V1452">
            <v>3500</v>
          </cell>
          <cell r="W1452">
            <v>3500</v>
          </cell>
          <cell r="X1452">
            <v>3500</v>
          </cell>
          <cell r="Y1452">
            <v>3500</v>
          </cell>
          <cell r="Z1452">
            <v>3500</v>
          </cell>
          <cell r="AA1452">
            <v>3500</v>
          </cell>
          <cell r="AB1452">
            <v>3500</v>
          </cell>
          <cell r="AC1452">
            <v>3500</v>
          </cell>
          <cell r="AD1452">
            <v>3500</v>
          </cell>
          <cell r="AE1452">
            <v>3500</v>
          </cell>
          <cell r="AF1452">
            <v>3500</v>
          </cell>
          <cell r="AG1452">
            <v>3500</v>
          </cell>
          <cell r="AH1452">
            <v>3500</v>
          </cell>
          <cell r="AI1452">
            <v>3500</v>
          </cell>
          <cell r="AJ1452">
            <v>3500</v>
          </cell>
          <cell r="AK1452">
            <v>3500</v>
          </cell>
          <cell r="AL1452">
            <v>0</v>
          </cell>
          <cell r="AM1452">
            <v>4</v>
          </cell>
          <cell r="AN1452" t="str">
            <v/>
          </cell>
          <cell r="AO1452">
            <v>0</v>
          </cell>
          <cell r="AP1452">
            <v>0</v>
          </cell>
          <cell r="AQ1452">
            <v>0</v>
          </cell>
          <cell r="AR1452">
            <v>290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240</v>
          </cell>
          <cell r="BJ1452" t="str">
            <v/>
          </cell>
          <cell r="BK1452">
            <v>1700</v>
          </cell>
          <cell r="BL1452" t="str">
            <v>1</v>
          </cell>
          <cell r="BM1452" t="str">
            <v>1</v>
          </cell>
          <cell r="BN1452" t="str">
            <v/>
          </cell>
          <cell r="BO1452" t="str">
            <v/>
          </cell>
        </row>
        <row r="1453">
          <cell r="A1453">
            <v>1</v>
          </cell>
          <cell r="B1453">
            <v>2111020</v>
          </cell>
          <cell r="C1453" t="str">
            <v>C.A.P.</v>
          </cell>
          <cell r="D1453" t="str">
            <v>TRANS A/P PRMS FINAL</v>
          </cell>
          <cell r="E1453" t="str">
            <v>N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-39.9</v>
          </cell>
          <cell r="AA1453">
            <v>-39.9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>
            <v>0</v>
          </cell>
          <cell r="AR1453">
            <v>420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 t="str">
            <v/>
          </cell>
          <cell r="BK1453">
            <v>2100</v>
          </cell>
          <cell r="BL1453" t="str">
            <v>0</v>
          </cell>
          <cell r="BM1453" t="str">
            <v>1</v>
          </cell>
          <cell r="BN1453" t="str">
            <v/>
          </cell>
          <cell r="BO1453" t="str">
            <v/>
          </cell>
        </row>
        <row r="1454">
          <cell r="A1454">
            <v>1</v>
          </cell>
          <cell r="B1454">
            <v>4113082</v>
          </cell>
          <cell r="C1454" t="str">
            <v>N.R. NAT.PLI EN</v>
          </cell>
          <cell r="D1454" t="str">
            <v>pn101308</v>
          </cell>
          <cell r="E1454" t="str">
            <v>O</v>
          </cell>
          <cell r="F1454">
            <v>0</v>
          </cell>
          <cell r="G1454">
            <v>0</v>
          </cell>
          <cell r="H1454">
            <v>6301.8</v>
          </cell>
          <cell r="I1454">
            <v>124.93</v>
          </cell>
          <cell r="J1454">
            <v>6426.73</v>
          </cell>
          <cell r="K1454">
            <v>0</v>
          </cell>
          <cell r="L1454">
            <v>0</v>
          </cell>
          <cell r="M1454">
            <v>0</v>
          </cell>
          <cell r="N1454">
            <v>-97.2</v>
          </cell>
          <cell r="O1454">
            <v>-97.2</v>
          </cell>
          <cell r="P1454">
            <v>-97.2</v>
          </cell>
          <cell r="Q1454">
            <v>-97.2</v>
          </cell>
          <cell r="R1454">
            <v>-97.2</v>
          </cell>
          <cell r="S1454">
            <v>-97.2</v>
          </cell>
          <cell r="T1454">
            <v>2462.4</v>
          </cell>
          <cell r="U1454">
            <v>3742.2</v>
          </cell>
          <cell r="V1454">
            <v>3742.2</v>
          </cell>
          <cell r="W1454">
            <v>5022</v>
          </cell>
          <cell r="X1454">
            <v>6301.8</v>
          </cell>
          <cell r="Y1454">
            <v>6301.8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24552</v>
          </cell>
          <cell r="AH1454">
            <v>24245.1</v>
          </cell>
          <cell r="AI1454">
            <v>33203.699999999997</v>
          </cell>
          <cell r="AJ1454">
            <v>33203.699999999997</v>
          </cell>
          <cell r="AK1454">
            <v>40979.699999999997</v>
          </cell>
          <cell r="AL1454">
            <v>0</v>
          </cell>
          <cell r="AM1454">
            <v>2</v>
          </cell>
          <cell r="AN1454" t="str">
            <v/>
          </cell>
          <cell r="AO1454">
            <v>0</v>
          </cell>
          <cell r="AP1454">
            <v>0</v>
          </cell>
          <cell r="AQ1454">
            <v>0</v>
          </cell>
          <cell r="AR1454">
            <v>600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20308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 t="str">
            <v/>
          </cell>
          <cell r="BK1454">
            <v>4000</v>
          </cell>
          <cell r="BL1454" t="str">
            <v>0</v>
          </cell>
          <cell r="BM1454" t="str">
            <v>1</v>
          </cell>
          <cell r="BN1454" t="str">
            <v/>
          </cell>
          <cell r="BO1454" t="str">
            <v/>
          </cell>
        </row>
        <row r="1455">
          <cell r="A1455">
            <v>1</v>
          </cell>
          <cell r="B1455">
            <v>5219999</v>
          </cell>
          <cell r="C1455" t="str">
            <v>ECART NON APPLICABLE A</v>
          </cell>
          <cell r="D1455" t="str">
            <v>1998 PROVENANT DU BILAN</v>
          </cell>
          <cell r="E1455" t="str">
            <v>O</v>
          </cell>
          <cell r="F1455">
            <v>0</v>
          </cell>
          <cell r="G1455">
            <v>0</v>
          </cell>
          <cell r="H1455">
            <v>25000</v>
          </cell>
          <cell r="I1455">
            <v>90000</v>
          </cell>
          <cell r="J1455">
            <v>65000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50000</v>
          </cell>
          <cell r="S1455">
            <v>50000</v>
          </cell>
          <cell r="T1455">
            <v>25000</v>
          </cell>
          <cell r="U1455">
            <v>25000</v>
          </cell>
          <cell r="V1455">
            <v>25000</v>
          </cell>
          <cell r="W1455">
            <v>25000</v>
          </cell>
          <cell r="X1455">
            <v>25000</v>
          </cell>
          <cell r="Y1455">
            <v>25000</v>
          </cell>
          <cell r="Z1455">
            <v>-9493.6200000000008</v>
          </cell>
          <cell r="AA1455">
            <v>-9493.6200000000008</v>
          </cell>
          <cell r="AB1455">
            <v>-9493.6200000000008</v>
          </cell>
          <cell r="AC1455">
            <v>-9493.6200000000008</v>
          </cell>
          <cell r="AD1455">
            <v>30506.38</v>
          </cell>
          <cell r="AE1455">
            <v>50506.38</v>
          </cell>
          <cell r="AF1455">
            <v>66344.31</v>
          </cell>
          <cell r="AG1455">
            <v>66344.31</v>
          </cell>
          <cell r="AH1455">
            <v>66344.31</v>
          </cell>
          <cell r="AI1455">
            <v>86344.31</v>
          </cell>
          <cell r="AJ1455">
            <v>86344.31</v>
          </cell>
          <cell r="AK1455">
            <v>86344.31</v>
          </cell>
          <cell r="AL1455">
            <v>0</v>
          </cell>
          <cell r="AM1455">
            <v>9</v>
          </cell>
          <cell r="AN1455" t="str">
            <v/>
          </cell>
          <cell r="AO1455">
            <v>0</v>
          </cell>
          <cell r="AP1455">
            <v>0</v>
          </cell>
          <cell r="AQ1455">
            <v>0</v>
          </cell>
          <cell r="AR1455">
            <v>660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 t="str">
            <v/>
          </cell>
          <cell r="BK1455">
            <v>8000</v>
          </cell>
          <cell r="BL1455" t="str">
            <v>0</v>
          </cell>
          <cell r="BM1455" t="str">
            <v>1</v>
          </cell>
          <cell r="BN1455" t="str">
            <v/>
          </cell>
          <cell r="BO1455" t="str">
            <v/>
          </cell>
        </row>
        <row r="1456">
          <cell r="A1456">
            <v>1</v>
          </cell>
          <cell r="B1456">
            <v>4241011</v>
          </cell>
          <cell r="C1456" t="str">
            <v>ENVIRONNEMENT</v>
          </cell>
          <cell r="D1456" t="str">
            <v>FOURNITURE DE LABORATOIRE</v>
          </cell>
          <cell r="E1456" t="str">
            <v>O</v>
          </cell>
          <cell r="F1456">
            <v>0</v>
          </cell>
          <cell r="G1456">
            <v>0</v>
          </cell>
          <cell r="H1456">
            <v>12656.88</v>
          </cell>
          <cell r="I1456">
            <v>15216.8</v>
          </cell>
          <cell r="J1456">
            <v>2559.92</v>
          </cell>
          <cell r="K1456">
            <v>0</v>
          </cell>
          <cell r="L1456">
            <v>2520.2800000000002</v>
          </cell>
          <cell r="M1456">
            <v>833.2</v>
          </cell>
          <cell r="N1456">
            <v>1639.16</v>
          </cell>
          <cell r="O1456">
            <v>1978.47</v>
          </cell>
          <cell r="P1456">
            <v>3741.21</v>
          </cell>
          <cell r="Q1456">
            <v>3762.34</v>
          </cell>
          <cell r="R1456">
            <v>4395.53</v>
          </cell>
          <cell r="S1456">
            <v>4869.1899999999996</v>
          </cell>
          <cell r="T1456">
            <v>5821.26</v>
          </cell>
          <cell r="U1456">
            <v>7589.37</v>
          </cell>
          <cell r="V1456">
            <v>8649.9500000000007</v>
          </cell>
          <cell r="W1456">
            <v>10093.58</v>
          </cell>
          <cell r="X1456">
            <v>12656.88</v>
          </cell>
          <cell r="Y1456">
            <v>14343.96</v>
          </cell>
          <cell r="Z1456">
            <v>1000.73</v>
          </cell>
          <cell r="AA1456">
            <v>1339.31</v>
          </cell>
          <cell r="AB1456">
            <v>3537.65</v>
          </cell>
          <cell r="AC1456">
            <v>3666.95</v>
          </cell>
          <cell r="AD1456">
            <v>5215.04</v>
          </cell>
          <cell r="AE1456">
            <v>5623.61</v>
          </cell>
          <cell r="AF1456">
            <v>5623.61</v>
          </cell>
          <cell r="AG1456">
            <v>5867.05</v>
          </cell>
          <cell r="AH1456">
            <v>7293.19</v>
          </cell>
          <cell r="AI1456">
            <v>7619.22</v>
          </cell>
          <cell r="AJ1456">
            <v>10116.32</v>
          </cell>
          <cell r="AK1456">
            <v>10172.42</v>
          </cell>
          <cell r="AL1456">
            <v>0</v>
          </cell>
          <cell r="AM1456">
            <v>1</v>
          </cell>
          <cell r="AN1456" t="str">
            <v/>
          </cell>
          <cell r="AO1456">
            <v>0</v>
          </cell>
          <cell r="AP1456">
            <v>0</v>
          </cell>
          <cell r="AQ1456">
            <v>0</v>
          </cell>
          <cell r="AR1456">
            <v>740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 t="str">
            <v/>
          </cell>
          <cell r="BK1456">
            <v>6300</v>
          </cell>
          <cell r="BL1456" t="str">
            <v>0</v>
          </cell>
          <cell r="BM1456" t="str">
            <v>1</v>
          </cell>
          <cell r="BN1456" t="str">
            <v/>
          </cell>
          <cell r="BO1456" t="str">
            <v/>
          </cell>
        </row>
        <row r="1457">
          <cell r="A1457">
            <v>1</v>
          </cell>
          <cell r="B1457">
            <v>4222232</v>
          </cell>
          <cell r="C1457" t="str">
            <v>MATIERE PREMIERE   ACHATS</v>
          </cell>
          <cell r="D1457" t="str">
            <v>BLANC 112</v>
          </cell>
          <cell r="E1457" t="str">
            <v>O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3052.5</v>
          </cell>
          <cell r="AA1457">
            <v>50396.63</v>
          </cell>
          <cell r="AB1457">
            <v>47597.63</v>
          </cell>
          <cell r="AC1457">
            <v>47597.63</v>
          </cell>
          <cell r="AD1457">
            <v>47597.63</v>
          </cell>
          <cell r="AE1457">
            <v>47597.63</v>
          </cell>
          <cell r="AF1457">
            <v>47597.63</v>
          </cell>
          <cell r="AG1457">
            <v>47597.63</v>
          </cell>
          <cell r="AH1457">
            <v>47597.63</v>
          </cell>
          <cell r="AI1457">
            <v>47597.63</v>
          </cell>
          <cell r="AJ1457">
            <v>47597.63</v>
          </cell>
          <cell r="AK1457">
            <v>47597.63</v>
          </cell>
          <cell r="AL1457">
            <v>0</v>
          </cell>
          <cell r="AM1457">
            <v>2</v>
          </cell>
          <cell r="AN1457" t="str">
            <v/>
          </cell>
          <cell r="AO1457">
            <v>0</v>
          </cell>
          <cell r="AP1457">
            <v>0</v>
          </cell>
          <cell r="AQ1457">
            <v>0</v>
          </cell>
          <cell r="AR1457">
            <v>660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 t="str">
            <v/>
          </cell>
          <cell r="BK1457">
            <v>5100</v>
          </cell>
          <cell r="BL1457" t="str">
            <v>0</v>
          </cell>
          <cell r="BM1457" t="str">
            <v>1</v>
          </cell>
          <cell r="BN1457" t="str">
            <v/>
          </cell>
          <cell r="BO1457" t="str">
            <v/>
          </cell>
        </row>
        <row r="1458">
          <cell r="A1458">
            <v>1</v>
          </cell>
          <cell r="B1458">
            <v>4212232</v>
          </cell>
          <cell r="C1458" t="str">
            <v>INV MAT PREM      KINGSEY</v>
          </cell>
          <cell r="D1458" t="str">
            <v>BLANC 20</v>
          </cell>
          <cell r="E1458" t="str">
            <v>O</v>
          </cell>
          <cell r="F1458">
            <v>0</v>
          </cell>
          <cell r="G1458">
            <v>0</v>
          </cell>
          <cell r="H1458">
            <v>0</v>
          </cell>
          <cell r="I1458">
            <v>1271</v>
          </cell>
          <cell r="J1458">
            <v>1271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1271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17874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65163</v>
          </cell>
          <cell r="AL1458">
            <v>0</v>
          </cell>
          <cell r="AM1458">
            <v>2</v>
          </cell>
          <cell r="AN1458" t="str">
            <v/>
          </cell>
          <cell r="AO1458">
            <v>0</v>
          </cell>
          <cell r="AP1458">
            <v>0</v>
          </cell>
          <cell r="AQ1458">
            <v>0</v>
          </cell>
          <cell r="AR1458">
            <v>650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 t="str">
            <v/>
          </cell>
          <cell r="BK1458">
            <v>5100</v>
          </cell>
          <cell r="BL1458" t="str">
            <v>0</v>
          </cell>
          <cell r="BM1458" t="str">
            <v>1</v>
          </cell>
          <cell r="BN1458" t="str">
            <v/>
          </cell>
          <cell r="BO1458" t="str">
            <v/>
          </cell>
        </row>
        <row r="1459">
          <cell r="A1459">
            <v>1</v>
          </cell>
          <cell r="B1459">
            <v>5209901</v>
          </cell>
          <cell r="C1459" t="str">
            <v>ELEMENTS EXEPTIONNEL</v>
          </cell>
          <cell r="D1459" t="str">
            <v>RECLAM ASSURANCE</v>
          </cell>
          <cell r="E1459" t="str">
            <v>O</v>
          </cell>
          <cell r="F1459">
            <v>0</v>
          </cell>
          <cell r="G1459">
            <v>0</v>
          </cell>
          <cell r="H1459">
            <v>-11401.81</v>
          </cell>
          <cell r="I1459">
            <v>180000</v>
          </cell>
          <cell r="J1459">
            <v>168598.19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-15000</v>
          </cell>
          <cell r="P1459">
            <v>-15000</v>
          </cell>
          <cell r="Q1459">
            <v>-15000</v>
          </cell>
          <cell r="R1459">
            <v>-15000</v>
          </cell>
          <cell r="S1459">
            <v>-11401.81</v>
          </cell>
          <cell r="T1459">
            <v>-11401.81</v>
          </cell>
          <cell r="U1459">
            <v>-11401.81</v>
          </cell>
          <cell r="V1459">
            <v>-11401.81</v>
          </cell>
          <cell r="W1459">
            <v>-11401.81</v>
          </cell>
          <cell r="X1459">
            <v>-11401.81</v>
          </cell>
          <cell r="Y1459">
            <v>-11401.81</v>
          </cell>
          <cell r="Z1459">
            <v>0</v>
          </cell>
          <cell r="AA1459">
            <v>-2266.6999999999998</v>
          </cell>
          <cell r="AB1459">
            <v>-5975.86</v>
          </cell>
          <cell r="AC1459">
            <v>-5975.86</v>
          </cell>
          <cell r="AD1459">
            <v>-5975.86</v>
          </cell>
          <cell r="AE1459">
            <v>-5976</v>
          </cell>
          <cell r="AF1459">
            <v>-5976</v>
          </cell>
          <cell r="AG1459">
            <v>-5976</v>
          </cell>
          <cell r="AH1459">
            <v>-5976</v>
          </cell>
          <cell r="AI1459">
            <v>-5976</v>
          </cell>
          <cell r="AJ1459">
            <v>-5976</v>
          </cell>
          <cell r="AK1459">
            <v>34024</v>
          </cell>
          <cell r="AL1459">
            <v>0</v>
          </cell>
          <cell r="AM1459">
            <v>1</v>
          </cell>
          <cell r="AN1459" t="str">
            <v/>
          </cell>
          <cell r="AO1459">
            <v>0</v>
          </cell>
          <cell r="AP1459">
            <v>0</v>
          </cell>
          <cell r="AQ1459">
            <v>0</v>
          </cell>
          <cell r="AR1459">
            <v>600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 t="str">
            <v/>
          </cell>
          <cell r="BK1459">
            <v>7300</v>
          </cell>
          <cell r="BL1459" t="str">
            <v>0</v>
          </cell>
          <cell r="BM1459" t="str">
            <v>1</v>
          </cell>
          <cell r="BN1459" t="str">
            <v/>
          </cell>
          <cell r="BO1459" t="str">
            <v/>
          </cell>
        </row>
        <row r="1460">
          <cell r="A1460">
            <v>1</v>
          </cell>
          <cell r="B1460">
            <v>5401004</v>
          </cell>
          <cell r="C1460" t="str">
            <v>IMPOT REPORTE</v>
          </cell>
          <cell r="D1460" t="str">
            <v>BOITES</v>
          </cell>
          <cell r="E1460" t="str">
            <v>N</v>
          </cell>
          <cell r="F1460">
            <v>0</v>
          </cell>
          <cell r="G1460">
            <v>0</v>
          </cell>
          <cell r="H1460">
            <v>0</v>
          </cell>
          <cell r="I1460">
            <v>1.21</v>
          </cell>
          <cell r="J1460">
            <v>1.21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-1.21</v>
          </cell>
          <cell r="U1460">
            <v>-1.21</v>
          </cell>
          <cell r="V1460">
            <v>-1.21</v>
          </cell>
          <cell r="W1460">
            <v>-1.21</v>
          </cell>
          <cell r="X1460">
            <v>0</v>
          </cell>
          <cell r="Y1460">
            <v>0</v>
          </cell>
          <cell r="Z1460">
            <v>-1022.67</v>
          </cell>
          <cell r="AA1460">
            <v>866.35</v>
          </cell>
          <cell r="AB1460">
            <v>870.79</v>
          </cell>
          <cell r="AC1460">
            <v>935.89</v>
          </cell>
          <cell r="AD1460">
            <v>915.89</v>
          </cell>
          <cell r="AE1460">
            <v>891.89</v>
          </cell>
          <cell r="AF1460">
            <v>863.89</v>
          </cell>
          <cell r="AG1460">
            <v>854.59</v>
          </cell>
          <cell r="AH1460">
            <v>831.14</v>
          </cell>
          <cell r="AI1460">
            <v>831.14</v>
          </cell>
          <cell r="AJ1460">
            <v>831.14</v>
          </cell>
          <cell r="AK1460">
            <v>821.14</v>
          </cell>
          <cell r="AL1460">
            <v>0</v>
          </cell>
          <cell r="AM1460">
            <v>4</v>
          </cell>
          <cell r="AN1460" t="str">
            <v/>
          </cell>
          <cell r="AO1460">
            <v>0</v>
          </cell>
          <cell r="AP1460">
            <v>0</v>
          </cell>
          <cell r="AQ1460">
            <v>0</v>
          </cell>
          <cell r="AR1460">
            <v>960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 t="str">
            <v/>
          </cell>
          <cell r="BK1460">
            <v>8900</v>
          </cell>
          <cell r="BL1460" t="str">
            <v>0</v>
          </cell>
          <cell r="BM1460" t="str">
            <v>1</v>
          </cell>
          <cell r="BN1460" t="str">
            <v/>
          </cell>
          <cell r="BO1460" t="str">
            <v/>
          </cell>
        </row>
        <row r="1461">
          <cell r="A1461">
            <v>1</v>
          </cell>
          <cell r="B1461">
            <v>4111001</v>
          </cell>
          <cell r="C1461" t="str">
            <v>BIDON POUR SHIP AVEC</v>
          </cell>
          <cell r="D1461" t="str">
            <v>NEW SYSTEME ITEM BOITES</v>
          </cell>
          <cell r="E1461" t="str">
            <v>O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87.95</v>
          </cell>
          <cell r="AE1461">
            <v>87.95</v>
          </cell>
          <cell r="AF1461">
            <v>87.95</v>
          </cell>
          <cell r="AG1461">
            <v>87.95</v>
          </cell>
          <cell r="AH1461">
            <v>164.93</v>
          </cell>
          <cell r="AI1461">
            <v>164.93</v>
          </cell>
          <cell r="AJ1461">
            <v>164.93</v>
          </cell>
          <cell r="AK1461">
            <v>164.93</v>
          </cell>
          <cell r="AL1461">
            <v>0</v>
          </cell>
          <cell r="AM1461">
            <v>1</v>
          </cell>
          <cell r="AN1461" t="str">
            <v/>
          </cell>
          <cell r="AO1461">
            <v>0</v>
          </cell>
          <cell r="AP1461">
            <v>0</v>
          </cell>
          <cell r="AQ1461">
            <v>0</v>
          </cell>
          <cell r="AR1461">
            <v>600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 t="str">
            <v/>
          </cell>
          <cell r="BK1461">
            <v>4000</v>
          </cell>
          <cell r="BL1461" t="str">
            <v>0</v>
          </cell>
          <cell r="BM1461" t="str">
            <v>1</v>
          </cell>
          <cell r="BN1461" t="str">
            <v/>
          </cell>
          <cell r="BO1461" t="str">
            <v/>
          </cell>
        </row>
        <row r="1462">
          <cell r="A1462">
            <v>1</v>
          </cell>
          <cell r="B1462">
            <v>4221191</v>
          </cell>
          <cell r="C1462" t="str">
            <v>MATIERE PREMIERE   ACHATS</v>
          </cell>
          <cell r="D1462" t="str">
            <v>KRAFT SACS     - GRADE#19</v>
          </cell>
          <cell r="E1462" t="str">
            <v>O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3274.8</v>
          </cell>
          <cell r="AB1462">
            <v>5785.84</v>
          </cell>
          <cell r="AC1462">
            <v>7117.98</v>
          </cell>
          <cell r="AD1462">
            <v>7117.98</v>
          </cell>
          <cell r="AE1462">
            <v>7117.98</v>
          </cell>
          <cell r="AF1462">
            <v>7117.98</v>
          </cell>
          <cell r="AG1462">
            <v>7117.98</v>
          </cell>
          <cell r="AH1462">
            <v>7117.98</v>
          </cell>
          <cell r="AI1462">
            <v>8007.5</v>
          </cell>
          <cell r="AJ1462">
            <v>8007.5</v>
          </cell>
          <cell r="AK1462">
            <v>8495.77</v>
          </cell>
          <cell r="AL1462">
            <v>0</v>
          </cell>
          <cell r="AM1462">
            <v>1</v>
          </cell>
          <cell r="AN1462" t="str">
            <v/>
          </cell>
          <cell r="AO1462">
            <v>0</v>
          </cell>
          <cell r="AP1462">
            <v>0</v>
          </cell>
          <cell r="AQ1462">
            <v>0</v>
          </cell>
          <cell r="AR1462">
            <v>660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 t="str">
            <v/>
          </cell>
          <cell r="BK1462">
            <v>5100</v>
          </cell>
          <cell r="BL1462" t="str">
            <v>0</v>
          </cell>
          <cell r="BM1462" t="str">
            <v>1</v>
          </cell>
          <cell r="BN1462" t="str">
            <v/>
          </cell>
          <cell r="BO1462" t="str">
            <v/>
          </cell>
        </row>
        <row r="1463">
          <cell r="A1463">
            <v>1</v>
          </cell>
          <cell r="B1463">
            <v>4211191</v>
          </cell>
          <cell r="C1463" t="str">
            <v>INV MAT PREM</v>
          </cell>
          <cell r="D1463" t="str">
            <v>KRAFT SACS    - GRADE#19</v>
          </cell>
          <cell r="E1463" t="str">
            <v>O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1</v>
          </cell>
          <cell r="AN1463" t="str">
            <v/>
          </cell>
          <cell r="AO1463">
            <v>0</v>
          </cell>
          <cell r="AP1463">
            <v>0</v>
          </cell>
          <cell r="AQ1463">
            <v>0</v>
          </cell>
          <cell r="AR1463">
            <v>650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 t="str">
            <v/>
          </cell>
          <cell r="BK1463">
            <v>5100</v>
          </cell>
          <cell r="BL1463" t="str">
            <v>0</v>
          </cell>
          <cell r="BM1463" t="str">
            <v>1</v>
          </cell>
          <cell r="BN1463" t="str">
            <v/>
          </cell>
          <cell r="BO1463" t="str">
            <v/>
          </cell>
        </row>
        <row r="1464">
          <cell r="A1464">
            <v>1</v>
          </cell>
          <cell r="B1464">
            <v>4148002</v>
          </cell>
          <cell r="C1464" t="str">
            <v>DAIRY TOWEL 10 X 250</v>
          </cell>
          <cell r="D1464" t="str">
            <v>pn101800</v>
          </cell>
          <cell r="E1464" t="str">
            <v>O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2</v>
          </cell>
          <cell r="AN1464" t="str">
            <v/>
          </cell>
          <cell r="AO1464">
            <v>0</v>
          </cell>
          <cell r="AP1464">
            <v>0</v>
          </cell>
          <cell r="AQ1464">
            <v>0</v>
          </cell>
          <cell r="AR1464">
            <v>610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 t="str">
            <v/>
          </cell>
          <cell r="BK1464">
            <v>4000</v>
          </cell>
          <cell r="BL1464" t="str">
            <v>0</v>
          </cell>
          <cell r="BM1464" t="str">
            <v>1</v>
          </cell>
          <cell r="BN1464" t="str">
            <v/>
          </cell>
          <cell r="BO1464" t="str">
            <v/>
          </cell>
        </row>
        <row r="1465">
          <cell r="A1465">
            <v>1</v>
          </cell>
          <cell r="B1465">
            <v>1174001</v>
          </cell>
          <cell r="C1465" t="str">
            <v>DEPOT A RECEVOIR</v>
          </cell>
          <cell r="D1465" t="str">
            <v/>
          </cell>
          <cell r="E1465" t="str">
            <v>N</v>
          </cell>
          <cell r="F1465">
            <v>0</v>
          </cell>
          <cell r="G1465">
            <v>0</v>
          </cell>
          <cell r="H1465">
            <v>1095.6400000000001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1095.6400000000001</v>
          </cell>
          <cell r="O1465">
            <v>1095.6400000000001</v>
          </cell>
          <cell r="P1465">
            <v>1095.6400000000001</v>
          </cell>
          <cell r="Q1465">
            <v>1095.6400000000001</v>
          </cell>
          <cell r="R1465">
            <v>1095.6400000000001</v>
          </cell>
          <cell r="S1465">
            <v>1095.6400000000001</v>
          </cell>
          <cell r="T1465">
            <v>1095.6400000000001</v>
          </cell>
          <cell r="U1465">
            <v>1095.6400000000001</v>
          </cell>
          <cell r="V1465">
            <v>1095.6400000000001</v>
          </cell>
          <cell r="W1465">
            <v>1095.6400000000001</v>
          </cell>
          <cell r="X1465">
            <v>1095.6400000000001</v>
          </cell>
          <cell r="Y1465">
            <v>1095.6400000000001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9100</v>
          </cell>
          <cell r="AF1465">
            <v>0</v>
          </cell>
          <cell r="AG1465">
            <v>0</v>
          </cell>
          <cell r="AH1465">
            <v>1384.9</v>
          </cell>
          <cell r="AI1465">
            <v>1384.9</v>
          </cell>
          <cell r="AJ1465">
            <v>0</v>
          </cell>
          <cell r="AK1465">
            <v>1095.6400000000001</v>
          </cell>
          <cell r="AL1465">
            <v>0</v>
          </cell>
          <cell r="AM1465">
            <v>1</v>
          </cell>
          <cell r="AN1465" t="str">
            <v/>
          </cell>
          <cell r="AO1465">
            <v>0</v>
          </cell>
          <cell r="AP1465">
            <v>0</v>
          </cell>
          <cell r="AQ1465">
            <v>0</v>
          </cell>
          <cell r="AR1465">
            <v>120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 t="str">
            <v/>
          </cell>
          <cell r="BK1465">
            <v>1600</v>
          </cell>
          <cell r="BL1465" t="str">
            <v>0</v>
          </cell>
          <cell r="BM1465" t="str">
            <v>1</v>
          </cell>
          <cell r="BN1465" t="str">
            <v/>
          </cell>
          <cell r="BO1465" t="str">
            <v/>
          </cell>
        </row>
        <row r="1466">
          <cell r="A1466">
            <v>1</v>
          </cell>
          <cell r="B1466">
            <v>1174011</v>
          </cell>
          <cell r="C1466" t="str">
            <v>DEPOT SUR PIECES</v>
          </cell>
          <cell r="D1466" t="str">
            <v>SERVICES ET ACHATS</v>
          </cell>
          <cell r="E1466" t="str">
            <v>N</v>
          </cell>
          <cell r="F1466">
            <v>0</v>
          </cell>
          <cell r="G1466">
            <v>0</v>
          </cell>
          <cell r="H1466">
            <v>1000.34</v>
          </cell>
          <cell r="I1466">
            <v>14000</v>
          </cell>
          <cell r="J1466">
            <v>13000</v>
          </cell>
          <cell r="K1466">
            <v>0</v>
          </cell>
          <cell r="L1466">
            <v>0</v>
          </cell>
          <cell r="M1466">
            <v>0</v>
          </cell>
          <cell r="N1466">
            <v>0.34</v>
          </cell>
          <cell r="O1466">
            <v>0.34</v>
          </cell>
          <cell r="P1466">
            <v>0.34</v>
          </cell>
          <cell r="Q1466">
            <v>5000.34</v>
          </cell>
          <cell r="R1466">
            <v>0.34</v>
          </cell>
          <cell r="S1466">
            <v>1000.34</v>
          </cell>
          <cell r="T1466">
            <v>1000.34</v>
          </cell>
          <cell r="U1466">
            <v>1000.34</v>
          </cell>
          <cell r="V1466">
            <v>1000.34</v>
          </cell>
          <cell r="W1466">
            <v>1000.34</v>
          </cell>
          <cell r="X1466">
            <v>1000.34</v>
          </cell>
          <cell r="Y1466">
            <v>1000.34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7896.67</v>
          </cell>
          <cell r="AF1466">
            <v>3948.34</v>
          </cell>
          <cell r="AG1466">
            <v>0.34</v>
          </cell>
          <cell r="AH1466">
            <v>0.34</v>
          </cell>
          <cell r="AI1466">
            <v>0.34</v>
          </cell>
          <cell r="AJ1466">
            <v>0.34</v>
          </cell>
          <cell r="AK1466">
            <v>0.34</v>
          </cell>
          <cell r="AL1466">
            <v>0</v>
          </cell>
          <cell r="AM1466">
            <v>1</v>
          </cell>
          <cell r="AN1466" t="str">
            <v/>
          </cell>
          <cell r="AO1466">
            <v>0</v>
          </cell>
          <cell r="AP1466">
            <v>0</v>
          </cell>
          <cell r="AQ1466">
            <v>0</v>
          </cell>
          <cell r="AR1466">
            <v>120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 t="str">
            <v/>
          </cell>
          <cell r="BK1466">
            <v>1600</v>
          </cell>
          <cell r="BL1466" t="str">
            <v>0</v>
          </cell>
          <cell r="BM1466" t="str">
            <v>1</v>
          </cell>
          <cell r="BN1466" t="str">
            <v/>
          </cell>
          <cell r="BO1466" t="str">
            <v/>
          </cell>
        </row>
        <row r="1467">
          <cell r="A1467">
            <v>1</v>
          </cell>
          <cell r="B1467">
            <v>1176010</v>
          </cell>
          <cell r="C1467" t="str">
            <v>REFACTURER BOITES</v>
          </cell>
          <cell r="D1467" t="str">
            <v>INVENTAIRE</v>
          </cell>
          <cell r="E1467" t="str">
            <v>O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3756158.46</v>
          </cell>
          <cell r="AA1467">
            <v>3264861.46</v>
          </cell>
          <cell r="AB1467">
            <v>0</v>
          </cell>
          <cell r="AC1467">
            <v>3284735.46</v>
          </cell>
          <cell r="AD1467">
            <v>3284735.46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>
            <v>0</v>
          </cell>
          <cell r="AR1467">
            <v>120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 t="str">
            <v/>
          </cell>
          <cell r="BK1467">
            <v>1600</v>
          </cell>
          <cell r="BL1467" t="str">
            <v>0</v>
          </cell>
          <cell r="BM1467" t="str">
            <v>1</v>
          </cell>
          <cell r="BN1467" t="str">
            <v/>
          </cell>
          <cell r="BO1467" t="str">
            <v/>
          </cell>
        </row>
        <row r="1468">
          <cell r="A1468">
            <v>1</v>
          </cell>
          <cell r="B1468">
            <v>1165050</v>
          </cell>
          <cell r="C1468" t="str">
            <v>INVENTAIRE BANDING ROLL</v>
          </cell>
          <cell r="D1468" t="str">
            <v>02-420 03-320</v>
          </cell>
          <cell r="E1468" t="str">
            <v>O</v>
          </cell>
          <cell r="F1468">
            <v>0</v>
          </cell>
          <cell r="G1468">
            <v>0</v>
          </cell>
          <cell r="H1468">
            <v>87721.39</v>
          </cell>
          <cell r="I1468">
            <v>857628.32</v>
          </cell>
          <cell r="J1468">
            <v>839579.93</v>
          </cell>
          <cell r="K1468">
            <v>0</v>
          </cell>
          <cell r="L1468">
            <v>93248.45</v>
          </cell>
          <cell r="M1468">
            <v>87721.39</v>
          </cell>
          <cell r="N1468">
            <v>101934</v>
          </cell>
          <cell r="O1468">
            <v>84718</v>
          </cell>
          <cell r="P1468">
            <v>86797</v>
          </cell>
          <cell r="Q1468">
            <v>97207</v>
          </cell>
          <cell r="R1468">
            <v>70363.5</v>
          </cell>
          <cell r="S1468">
            <v>70092</v>
          </cell>
          <cell r="T1468">
            <v>25528</v>
          </cell>
          <cell r="U1468">
            <v>73188</v>
          </cell>
          <cell r="V1468">
            <v>81636.11</v>
          </cell>
          <cell r="W1468">
            <v>78443.320000000007</v>
          </cell>
          <cell r="X1468">
            <v>87721.39</v>
          </cell>
          <cell r="Y1468">
            <v>93248.45</v>
          </cell>
          <cell r="Z1468">
            <v>85000</v>
          </cell>
          <cell r="AA1468">
            <v>73871</v>
          </cell>
          <cell r="AB1468">
            <v>64463</v>
          </cell>
          <cell r="AC1468">
            <v>78304</v>
          </cell>
          <cell r="AD1468">
            <v>65425</v>
          </cell>
          <cell r="AE1468">
            <v>86327</v>
          </cell>
          <cell r="AF1468">
            <v>87647.53</v>
          </cell>
          <cell r="AG1468">
            <v>96864</v>
          </cell>
          <cell r="AH1468">
            <v>98756</v>
          </cell>
          <cell r="AI1468">
            <v>85399</v>
          </cell>
          <cell r="AJ1468">
            <v>64979</v>
          </cell>
          <cell r="AK1468">
            <v>69673</v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>
            <v>0</v>
          </cell>
          <cell r="AR1468">
            <v>100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 t="str">
            <v/>
          </cell>
          <cell r="BK1468">
            <v>1600</v>
          </cell>
          <cell r="BL1468" t="str">
            <v>0</v>
          </cell>
          <cell r="BM1468" t="str">
            <v>1</v>
          </cell>
          <cell r="BN1468" t="str">
            <v/>
          </cell>
          <cell r="BO1468" t="str">
            <v/>
          </cell>
        </row>
        <row r="1469">
          <cell r="A1469">
            <v>1</v>
          </cell>
          <cell r="B1469">
            <v>1165060</v>
          </cell>
          <cell r="C1469" t="str">
            <v>INVENTAIRE POLYFLIM</v>
          </cell>
          <cell r="D1469" t="str">
            <v>02-420</v>
          </cell>
          <cell r="E1469" t="str">
            <v>O</v>
          </cell>
          <cell r="F1469">
            <v>0</v>
          </cell>
          <cell r="G1469">
            <v>0</v>
          </cell>
          <cell r="H1469">
            <v>4239.3599999999997</v>
          </cell>
          <cell r="I1469">
            <v>88971.78</v>
          </cell>
          <cell r="J1469">
            <v>92336.42</v>
          </cell>
          <cell r="K1469">
            <v>0</v>
          </cell>
          <cell r="L1469">
            <v>13214.72</v>
          </cell>
          <cell r="M1469">
            <v>4239.3599999999997</v>
          </cell>
          <cell r="N1469">
            <v>10489</v>
          </cell>
          <cell r="O1469">
            <v>10167</v>
          </cell>
          <cell r="P1469">
            <v>12040</v>
          </cell>
          <cell r="Q1469">
            <v>4678</v>
          </cell>
          <cell r="R1469">
            <v>4633</v>
          </cell>
          <cell r="S1469">
            <v>8459</v>
          </cell>
          <cell r="T1469">
            <v>9253.52</v>
          </cell>
          <cell r="U1469">
            <v>9727</v>
          </cell>
          <cell r="V1469">
            <v>7770.84</v>
          </cell>
          <cell r="W1469">
            <v>7515.06</v>
          </cell>
          <cell r="X1469">
            <v>4239.3599999999997</v>
          </cell>
          <cell r="Y1469">
            <v>13214.72</v>
          </cell>
          <cell r="Z1469">
            <v>0</v>
          </cell>
          <cell r="AA1469">
            <v>0</v>
          </cell>
          <cell r="AB1469">
            <v>7523.53</v>
          </cell>
          <cell r="AC1469">
            <v>9814</v>
          </cell>
          <cell r="AD1469">
            <v>15841</v>
          </cell>
          <cell r="AE1469">
            <v>7260</v>
          </cell>
          <cell r="AF1469">
            <v>15258.29</v>
          </cell>
          <cell r="AG1469">
            <v>5388</v>
          </cell>
          <cell r="AH1469">
            <v>8600</v>
          </cell>
          <cell r="AI1469">
            <v>8488</v>
          </cell>
          <cell r="AJ1469">
            <v>7281</v>
          </cell>
          <cell r="AK1469">
            <v>7604</v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>
            <v>0</v>
          </cell>
          <cell r="AR1469">
            <v>100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 t="str">
            <v/>
          </cell>
          <cell r="BK1469">
            <v>1600</v>
          </cell>
          <cell r="BL1469" t="str">
            <v>0</v>
          </cell>
          <cell r="BM1469" t="str">
            <v>1</v>
          </cell>
          <cell r="BN1469" t="str">
            <v/>
          </cell>
          <cell r="BO1469" t="str">
            <v/>
          </cell>
        </row>
        <row r="1470">
          <cell r="A1470">
            <v>1</v>
          </cell>
          <cell r="B1470">
            <v>2112042</v>
          </cell>
          <cell r="C1470" t="str">
            <v>C.A.P. RABAIS INCITATIF</v>
          </cell>
          <cell r="D1470" t="str">
            <v>PROVISION ET PAYABLES</v>
          </cell>
          <cell r="E1470" t="str">
            <v>N</v>
          </cell>
          <cell r="F1470">
            <v>0</v>
          </cell>
          <cell r="G1470">
            <v>0</v>
          </cell>
          <cell r="H1470">
            <v>224706.79</v>
          </cell>
          <cell r="I1470">
            <v>635939.67000000004</v>
          </cell>
          <cell r="J1470">
            <v>2343645.75</v>
          </cell>
          <cell r="K1470">
            <v>0</v>
          </cell>
          <cell r="L1470">
            <v>0</v>
          </cell>
          <cell r="M1470">
            <v>24486.39</v>
          </cell>
          <cell r="N1470">
            <v>-8867</v>
          </cell>
          <cell r="O1470">
            <v>8867</v>
          </cell>
          <cell r="P1470">
            <v>19531.560000000001</v>
          </cell>
          <cell r="Q1470">
            <v>69176</v>
          </cell>
          <cell r="R1470">
            <v>123917.86</v>
          </cell>
          <cell r="S1470">
            <v>123917.86</v>
          </cell>
          <cell r="T1470">
            <v>133628.65</v>
          </cell>
          <cell r="U1470">
            <v>163155.21</v>
          </cell>
          <cell r="V1470">
            <v>163155.21</v>
          </cell>
          <cell r="W1470">
            <v>213062.49</v>
          </cell>
          <cell r="X1470">
            <v>224706.79</v>
          </cell>
          <cell r="Y1470">
            <v>249193.18</v>
          </cell>
          <cell r="Z1470">
            <v>-128866.9</v>
          </cell>
          <cell r="AA1470">
            <v>-277701.65000000002</v>
          </cell>
          <cell r="AB1470">
            <v>-426701.65</v>
          </cell>
          <cell r="AC1470">
            <v>-539591.65</v>
          </cell>
          <cell r="AD1470">
            <v>-649481.65</v>
          </cell>
          <cell r="AE1470">
            <v>-769481.65</v>
          </cell>
          <cell r="AF1470">
            <v>-870283.29</v>
          </cell>
          <cell r="AG1470">
            <v>-1020283.29</v>
          </cell>
          <cell r="AH1470">
            <v>-1160283.29</v>
          </cell>
          <cell r="AI1470">
            <v>-1244999.29</v>
          </cell>
          <cell r="AJ1470">
            <v>-1344999.29</v>
          </cell>
          <cell r="AK1470">
            <v>-1482999.29</v>
          </cell>
          <cell r="AL1470">
            <v>0</v>
          </cell>
          <cell r="AM1470">
            <v>2</v>
          </cell>
          <cell r="AN1470" t="str">
            <v/>
          </cell>
          <cell r="AO1470">
            <v>0</v>
          </cell>
          <cell r="AP1470">
            <v>0</v>
          </cell>
          <cell r="AQ1470">
            <v>0</v>
          </cell>
          <cell r="AR1470">
            <v>420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 t="str">
            <v/>
          </cell>
          <cell r="BK1470">
            <v>2100</v>
          </cell>
          <cell r="BL1470" t="str">
            <v>0</v>
          </cell>
          <cell r="BM1470" t="str">
            <v>1</v>
          </cell>
          <cell r="BN1470" t="str">
            <v/>
          </cell>
          <cell r="BO1470" t="str">
            <v/>
          </cell>
        </row>
        <row r="1471">
          <cell r="A1471">
            <v>1</v>
          </cell>
          <cell r="B1471">
            <v>2112052</v>
          </cell>
          <cell r="C1471" t="str">
            <v>C.A.P. RABAIS ASSOCIATION</v>
          </cell>
          <cell r="D1471" t="str">
            <v>COMPTE PAIEMENT 1999</v>
          </cell>
          <cell r="E1471" t="str">
            <v>N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2</v>
          </cell>
          <cell r="AN1471" t="str">
            <v/>
          </cell>
          <cell r="AO1471">
            <v>0</v>
          </cell>
          <cell r="AP1471">
            <v>0</v>
          </cell>
          <cell r="AQ1471">
            <v>0</v>
          </cell>
          <cell r="AR1471">
            <v>420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 t="str">
            <v/>
          </cell>
          <cell r="BK1471">
            <v>2100</v>
          </cell>
          <cell r="BL1471" t="str">
            <v>0</v>
          </cell>
          <cell r="BM1471" t="str">
            <v>1</v>
          </cell>
          <cell r="BN1471" t="str">
            <v/>
          </cell>
          <cell r="BO1471" t="str">
            <v/>
          </cell>
        </row>
        <row r="1472">
          <cell r="A1472">
            <v>1</v>
          </cell>
          <cell r="B1472">
            <v>2112054</v>
          </cell>
          <cell r="C1472" t="str">
            <v>C.A.P. ESCOMPTES TOTAL</v>
          </cell>
          <cell r="D1472" t="str">
            <v>2112032 2112042 ZERO @ YE</v>
          </cell>
          <cell r="E1472" t="str">
            <v>N</v>
          </cell>
          <cell r="F1472">
            <v>0</v>
          </cell>
          <cell r="G1472">
            <v>0</v>
          </cell>
          <cell r="H1472">
            <v>0</v>
          </cell>
          <cell r="I1472">
            <v>3448301.29</v>
          </cell>
          <cell r="J1472">
            <v>1096035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243046.84</v>
          </cell>
          <cell r="AA1472">
            <v>440450.51</v>
          </cell>
          <cell r="AB1472">
            <v>662646.65</v>
          </cell>
          <cell r="AC1472">
            <v>792888</v>
          </cell>
          <cell r="AD1472">
            <v>905470.16</v>
          </cell>
          <cell r="AE1472">
            <v>1035470.16</v>
          </cell>
          <cell r="AF1472">
            <v>1200645.1599999999</v>
          </cell>
          <cell r="AG1472">
            <v>1404645.16</v>
          </cell>
          <cell r="AH1472">
            <v>1606545.16</v>
          </cell>
          <cell r="AI1472">
            <v>1776999.29</v>
          </cell>
          <cell r="AJ1472">
            <v>2053996.29</v>
          </cell>
          <cell r="AK1472">
            <v>2352266.29</v>
          </cell>
          <cell r="AL1472">
            <v>0</v>
          </cell>
          <cell r="AM1472">
            <v>4</v>
          </cell>
          <cell r="AN1472" t="str">
            <v/>
          </cell>
          <cell r="AO1472">
            <v>0</v>
          </cell>
          <cell r="AP1472">
            <v>0</v>
          </cell>
          <cell r="AQ1472">
            <v>0</v>
          </cell>
          <cell r="AR1472">
            <v>420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 t="str">
            <v/>
          </cell>
          <cell r="BK1472">
            <v>2100</v>
          </cell>
          <cell r="BL1472" t="str">
            <v>0</v>
          </cell>
          <cell r="BM1472" t="str">
            <v>1</v>
          </cell>
          <cell r="BN1472" t="str">
            <v/>
          </cell>
          <cell r="BO1472" t="str">
            <v/>
          </cell>
        </row>
        <row r="1473">
          <cell r="A1473">
            <v>1</v>
          </cell>
          <cell r="B1473">
            <v>2112032</v>
          </cell>
          <cell r="C1473" t="str">
            <v>C.A.P. RABAIS VOLUME</v>
          </cell>
          <cell r="D1473" t="str">
            <v>PROVISION ET PAYABLES</v>
          </cell>
          <cell r="E1473" t="str">
            <v>N</v>
          </cell>
          <cell r="F1473">
            <v>0</v>
          </cell>
          <cell r="G1473">
            <v>0</v>
          </cell>
          <cell r="H1473">
            <v>505930.12</v>
          </cell>
          <cell r="I1473">
            <v>2051483</v>
          </cell>
          <cell r="J1473">
            <v>3468705.12</v>
          </cell>
          <cell r="K1473">
            <v>0</v>
          </cell>
          <cell r="L1473">
            <v>88259.69</v>
          </cell>
          <cell r="M1473">
            <v>138657.13</v>
          </cell>
          <cell r="N1473">
            <v>-122876.25</v>
          </cell>
          <cell r="O1473">
            <v>248042.44</v>
          </cell>
          <cell r="P1473">
            <v>386270.45</v>
          </cell>
          <cell r="Q1473">
            <v>214696.62</v>
          </cell>
          <cell r="R1473">
            <v>339517.44</v>
          </cell>
          <cell r="S1473">
            <v>490427.33</v>
          </cell>
          <cell r="T1473">
            <v>351002.99</v>
          </cell>
          <cell r="U1473">
            <v>422309.62</v>
          </cell>
          <cell r="V1473">
            <v>414268.83</v>
          </cell>
          <cell r="W1473">
            <v>709881.97</v>
          </cell>
          <cell r="X1473">
            <v>505930.12</v>
          </cell>
          <cell r="Y1473">
            <v>556327.56000000006</v>
          </cell>
          <cell r="Z1473">
            <v>-139728</v>
          </cell>
          <cell r="AA1473">
            <v>-140971</v>
          </cell>
          <cell r="AB1473">
            <v>-235945</v>
          </cell>
          <cell r="AC1473">
            <v>-352169</v>
          </cell>
          <cell r="AD1473">
            <v>-398328</v>
          </cell>
          <cell r="AE1473">
            <v>-315359</v>
          </cell>
          <cell r="AF1473">
            <v>-368339</v>
          </cell>
          <cell r="AG1473">
            <v>-477016</v>
          </cell>
          <cell r="AH1473">
            <v>-474442</v>
          </cell>
          <cell r="AI1473">
            <v>-564025</v>
          </cell>
          <cell r="AJ1473">
            <v>-766022</v>
          </cell>
          <cell r="AK1473">
            <v>-911292</v>
          </cell>
          <cell r="AL1473">
            <v>0</v>
          </cell>
          <cell r="AM1473">
            <v>2</v>
          </cell>
          <cell r="AN1473" t="str">
            <v/>
          </cell>
          <cell r="AO1473">
            <v>0</v>
          </cell>
          <cell r="AP1473">
            <v>0</v>
          </cell>
          <cell r="AQ1473">
            <v>0</v>
          </cell>
          <cell r="AR1473">
            <v>420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 t="str">
            <v/>
          </cell>
          <cell r="BK1473">
            <v>2100</v>
          </cell>
          <cell r="BL1473" t="str">
            <v>0</v>
          </cell>
          <cell r="BM1473" t="str">
            <v>1</v>
          </cell>
          <cell r="BN1473" t="str">
            <v/>
          </cell>
          <cell r="BO1473" t="str">
            <v/>
          </cell>
        </row>
        <row r="1474">
          <cell r="A1474">
            <v>1</v>
          </cell>
          <cell r="B1474">
            <v>4460393</v>
          </cell>
          <cell r="C1474" t="str">
            <v>MECANICIENS     ENTRETIEN</v>
          </cell>
          <cell r="D1474" t="str">
            <v>SACS - MACHINE 39</v>
          </cell>
          <cell r="E1474" t="str">
            <v>O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39.770000000000003</v>
          </cell>
          <cell r="AA1474">
            <v>42.18</v>
          </cell>
          <cell r="AB1474">
            <v>42.18</v>
          </cell>
          <cell r="AC1474">
            <v>42.18</v>
          </cell>
          <cell r="AD1474">
            <v>182.76</v>
          </cell>
          <cell r="AE1474">
            <v>182.76</v>
          </cell>
          <cell r="AF1474">
            <v>182.76</v>
          </cell>
          <cell r="AG1474">
            <v>182.76</v>
          </cell>
          <cell r="AH1474">
            <v>182.76</v>
          </cell>
          <cell r="AI1474">
            <v>182.76</v>
          </cell>
          <cell r="AJ1474">
            <v>182.76</v>
          </cell>
          <cell r="AK1474">
            <v>182.76</v>
          </cell>
          <cell r="AL1474">
            <v>0</v>
          </cell>
          <cell r="AM1474">
            <v>3</v>
          </cell>
          <cell r="AN1474" t="str">
            <v/>
          </cell>
          <cell r="AO1474">
            <v>0</v>
          </cell>
          <cell r="AP1474">
            <v>0</v>
          </cell>
          <cell r="AQ1474">
            <v>0</v>
          </cell>
          <cell r="AR1474">
            <v>700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 t="str">
            <v/>
          </cell>
          <cell r="BK1474">
            <v>7000</v>
          </cell>
          <cell r="BL1474" t="str">
            <v>0</v>
          </cell>
          <cell r="BM1474" t="str">
            <v>1</v>
          </cell>
          <cell r="BN1474" t="str">
            <v/>
          </cell>
          <cell r="BO1474" t="str">
            <v/>
          </cell>
        </row>
        <row r="1475">
          <cell r="A1475">
            <v>1</v>
          </cell>
          <cell r="B1475">
            <v>1176020</v>
          </cell>
          <cell r="C1475" t="str">
            <v>A TRANSFERER PAR ECRITURE</v>
          </cell>
          <cell r="D1475" t="str">
            <v>AUTRES PROVISION</v>
          </cell>
          <cell r="E1475" t="str">
            <v>O</v>
          </cell>
          <cell r="F1475">
            <v>0</v>
          </cell>
          <cell r="G1475">
            <v>0</v>
          </cell>
          <cell r="H1475">
            <v>0</v>
          </cell>
          <cell r="I1475">
            <v>123788.05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-29332</v>
          </cell>
          <cell r="AA1475">
            <v>-118013.05</v>
          </cell>
          <cell r="AB1475">
            <v>0</v>
          </cell>
          <cell r="AC1475">
            <v>-106463.05</v>
          </cell>
          <cell r="AD1475">
            <v>-106463.05</v>
          </cell>
          <cell r="AE1475">
            <v>0</v>
          </cell>
          <cell r="AF1475">
            <v>-123788.05</v>
          </cell>
          <cell r="AG1475">
            <v>-123788.05</v>
          </cell>
          <cell r="AH1475">
            <v>-106463.05</v>
          </cell>
          <cell r="AI1475">
            <v>-100688.05</v>
          </cell>
          <cell r="AJ1475">
            <v>-94913.05</v>
          </cell>
          <cell r="AK1475">
            <v>-123788.05</v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>
            <v>0</v>
          </cell>
          <cell r="AR1475">
            <v>120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 t="str">
            <v/>
          </cell>
          <cell r="BK1475">
            <v>1600</v>
          </cell>
          <cell r="BL1475" t="str">
            <v>0</v>
          </cell>
          <cell r="BM1475" t="str">
            <v>1</v>
          </cell>
          <cell r="BN1475" t="str">
            <v/>
          </cell>
          <cell r="BO1475" t="str">
            <v/>
          </cell>
        </row>
        <row r="1476">
          <cell r="A1476">
            <v>1</v>
          </cell>
          <cell r="B1476">
            <v>1176030</v>
          </cell>
          <cell r="C1476" t="str">
            <v>A REFACTURER BOITES TJR 0</v>
          </cell>
          <cell r="D1476" t="str">
            <v>FRAIS VARIABLES FIXES</v>
          </cell>
          <cell r="E1476" t="str">
            <v>O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121545.17</v>
          </cell>
          <cell r="K1476">
            <v>0</v>
          </cell>
          <cell r="L1476">
            <v>0</v>
          </cell>
          <cell r="M1476">
            <v>0</v>
          </cell>
          <cell r="N1476">
            <v>121545.17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305985.08</v>
          </cell>
          <cell r="AB1476">
            <v>0</v>
          </cell>
          <cell r="AC1476">
            <v>855704.88</v>
          </cell>
          <cell r="AD1476">
            <v>1288082.1100000001</v>
          </cell>
          <cell r="AE1476">
            <v>0</v>
          </cell>
          <cell r="AF1476">
            <v>176777.83</v>
          </cell>
          <cell r="AG1476">
            <v>453884.7</v>
          </cell>
          <cell r="AH1476">
            <v>265556.87</v>
          </cell>
          <cell r="AI1476">
            <v>121545.17</v>
          </cell>
          <cell r="AJ1476">
            <v>121545.17</v>
          </cell>
          <cell r="AK1476">
            <v>121545.17</v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>
            <v>0</v>
          </cell>
          <cell r="AR1476">
            <v>120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 t="str">
            <v/>
          </cell>
          <cell r="BK1476">
            <v>1600</v>
          </cell>
          <cell r="BL1476" t="str">
            <v>0</v>
          </cell>
          <cell r="BM1476" t="str">
            <v>1</v>
          </cell>
          <cell r="BN1476" t="str">
            <v/>
          </cell>
          <cell r="BO1476" t="str">
            <v/>
          </cell>
        </row>
        <row r="1477">
          <cell r="A1477">
            <v>1</v>
          </cell>
          <cell r="B1477">
            <v>4113072</v>
          </cell>
          <cell r="C1477" t="str">
            <v>N.R. NAT.PLI EN</v>
          </cell>
          <cell r="D1477" t="str">
            <v>pn101307</v>
          </cell>
          <cell r="E1477" t="str">
            <v>O</v>
          </cell>
          <cell r="F1477">
            <v>0</v>
          </cell>
          <cell r="G1477">
            <v>0</v>
          </cell>
          <cell r="H1477">
            <v>86980.81</v>
          </cell>
          <cell r="I1477">
            <v>5070.9799999999996</v>
          </cell>
          <cell r="J1477">
            <v>92051.79</v>
          </cell>
          <cell r="K1477">
            <v>0</v>
          </cell>
          <cell r="L1477">
            <v>0</v>
          </cell>
          <cell r="M1477">
            <v>3121.28</v>
          </cell>
          <cell r="N1477">
            <v>10716.51</v>
          </cell>
          <cell r="O1477">
            <v>15276.82</v>
          </cell>
          <cell r="P1477">
            <v>26905.24</v>
          </cell>
          <cell r="Q1477">
            <v>39375.33</v>
          </cell>
          <cell r="R1477">
            <v>46059.11</v>
          </cell>
          <cell r="S1477">
            <v>53934.69</v>
          </cell>
          <cell r="T1477">
            <v>56962.67</v>
          </cell>
          <cell r="U1477">
            <v>62212.38</v>
          </cell>
          <cell r="V1477">
            <v>70473.63</v>
          </cell>
          <cell r="W1477">
            <v>74983.77</v>
          </cell>
          <cell r="X1477">
            <v>86980.81</v>
          </cell>
          <cell r="Y1477">
            <v>90102.09</v>
          </cell>
          <cell r="Z1477">
            <v>0</v>
          </cell>
          <cell r="AA1477">
            <v>7312.4</v>
          </cell>
          <cell r="AB1477">
            <v>16818.52</v>
          </cell>
          <cell r="AC1477">
            <v>16818.52</v>
          </cell>
          <cell r="AD1477">
            <v>23182.26</v>
          </cell>
          <cell r="AE1477">
            <v>26406.48</v>
          </cell>
          <cell r="AF1477">
            <v>34261.22</v>
          </cell>
          <cell r="AG1477">
            <v>39376.160000000003</v>
          </cell>
          <cell r="AH1477">
            <v>51711.58</v>
          </cell>
          <cell r="AI1477">
            <v>61694.93</v>
          </cell>
          <cell r="AJ1477">
            <v>69548.600000000006</v>
          </cell>
          <cell r="AK1477">
            <v>80972.94</v>
          </cell>
          <cell r="AL1477">
            <v>0</v>
          </cell>
          <cell r="AM1477">
            <v>2</v>
          </cell>
          <cell r="AN1477" t="str">
            <v/>
          </cell>
          <cell r="AO1477">
            <v>0</v>
          </cell>
          <cell r="AP1477">
            <v>0</v>
          </cell>
          <cell r="AQ1477">
            <v>0</v>
          </cell>
          <cell r="AR1477">
            <v>600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20307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 t="str">
            <v/>
          </cell>
          <cell r="BK1477">
            <v>4000</v>
          </cell>
          <cell r="BL1477" t="str">
            <v>0</v>
          </cell>
          <cell r="BM1477" t="str">
            <v>1</v>
          </cell>
          <cell r="BN1477" t="str">
            <v/>
          </cell>
          <cell r="BO1477" t="str">
            <v/>
          </cell>
        </row>
        <row r="1478">
          <cell r="A1478">
            <v>1</v>
          </cell>
          <cell r="B1478">
            <v>4143072</v>
          </cell>
          <cell r="C1478" t="str">
            <v>TRANSPORT</v>
          </cell>
          <cell r="D1478" t="str">
            <v>N.R. NAT.P/S SHRINK</v>
          </cell>
          <cell r="E1478" t="str">
            <v>O</v>
          </cell>
          <cell r="F1478">
            <v>0</v>
          </cell>
          <cell r="G1478">
            <v>0</v>
          </cell>
          <cell r="H1478">
            <v>3269.97</v>
          </cell>
          <cell r="I1478">
            <v>3740.79</v>
          </cell>
          <cell r="J1478">
            <v>470.82</v>
          </cell>
          <cell r="K1478">
            <v>0</v>
          </cell>
          <cell r="L1478">
            <v>191.23</v>
          </cell>
          <cell r="M1478">
            <v>0</v>
          </cell>
          <cell r="N1478">
            <v>90.82</v>
          </cell>
          <cell r="O1478">
            <v>300.27</v>
          </cell>
          <cell r="P1478">
            <v>300.27</v>
          </cell>
          <cell r="Q1478">
            <v>300.27</v>
          </cell>
          <cell r="R1478">
            <v>680.27</v>
          </cell>
          <cell r="S1478">
            <v>1083.27</v>
          </cell>
          <cell r="T1478">
            <v>1381.21</v>
          </cell>
          <cell r="U1478">
            <v>1722.21</v>
          </cell>
          <cell r="V1478">
            <v>2206.1999999999998</v>
          </cell>
          <cell r="W1478">
            <v>2498.19</v>
          </cell>
          <cell r="X1478">
            <v>3269.97</v>
          </cell>
          <cell r="Y1478">
            <v>3461.2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2</v>
          </cell>
          <cell r="AN1478" t="str">
            <v/>
          </cell>
          <cell r="AO1478">
            <v>0</v>
          </cell>
          <cell r="AP1478">
            <v>0</v>
          </cell>
          <cell r="AQ1478">
            <v>0</v>
          </cell>
          <cell r="AR1478">
            <v>610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20307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 t="str">
            <v/>
          </cell>
          <cell r="BK1478">
            <v>4200</v>
          </cell>
          <cell r="BL1478" t="str">
            <v>0</v>
          </cell>
          <cell r="BM1478" t="str">
            <v>1</v>
          </cell>
          <cell r="BN1478" t="str">
            <v/>
          </cell>
          <cell r="BO1478" t="str">
            <v/>
          </cell>
        </row>
        <row r="1479">
          <cell r="A1479">
            <v>1</v>
          </cell>
          <cell r="B1479">
            <v>4115902</v>
          </cell>
          <cell r="C1479" t="str">
            <v>RLX 10 205 SHRINK</v>
          </cell>
          <cell r="D1479" t="str">
            <v>101590</v>
          </cell>
          <cell r="E1479" t="str">
            <v>O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2</v>
          </cell>
          <cell r="AN1479" t="str">
            <v/>
          </cell>
          <cell r="AO1479">
            <v>0</v>
          </cell>
          <cell r="AP1479">
            <v>0</v>
          </cell>
          <cell r="AQ1479">
            <v>0</v>
          </cell>
          <cell r="AR1479">
            <v>600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20590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 t="str">
            <v/>
          </cell>
          <cell r="BK1479">
            <v>4000</v>
          </cell>
          <cell r="BL1479" t="str">
            <v>0</v>
          </cell>
          <cell r="BM1479" t="str">
            <v>1</v>
          </cell>
          <cell r="BN1479" t="str">
            <v/>
          </cell>
          <cell r="BO1479" t="str">
            <v/>
          </cell>
        </row>
        <row r="1480">
          <cell r="A1480">
            <v>1</v>
          </cell>
          <cell r="B1480">
            <v>4632001</v>
          </cell>
          <cell r="C1480" t="str">
            <v>ENTREPOSAGE</v>
          </cell>
          <cell r="D1480" t="str">
            <v>CHAUFFAGE</v>
          </cell>
          <cell r="E1480" t="str">
            <v>O</v>
          </cell>
          <cell r="F1480">
            <v>0</v>
          </cell>
          <cell r="G1480">
            <v>0</v>
          </cell>
          <cell r="H1480">
            <v>49716.79</v>
          </cell>
          <cell r="I1480">
            <v>83911.12</v>
          </cell>
          <cell r="J1480">
            <v>34194.33</v>
          </cell>
          <cell r="K1480">
            <v>0</v>
          </cell>
          <cell r="L1480">
            <v>12745.87</v>
          </cell>
          <cell r="M1480">
            <v>1162.33</v>
          </cell>
          <cell r="N1480">
            <v>9726.35</v>
          </cell>
          <cell r="O1480">
            <v>25709.37</v>
          </cell>
          <cell r="P1480">
            <v>35494.120000000003</v>
          </cell>
          <cell r="Q1480">
            <v>39610.959999999999</v>
          </cell>
          <cell r="R1480">
            <v>39903.629999999997</v>
          </cell>
          <cell r="S1480">
            <v>40263.629999999997</v>
          </cell>
          <cell r="T1480">
            <v>40631.129999999997</v>
          </cell>
          <cell r="U1480">
            <v>40631.129999999997</v>
          </cell>
          <cell r="V1480">
            <v>42098.37</v>
          </cell>
          <cell r="W1480">
            <v>44248.68</v>
          </cell>
          <cell r="X1480">
            <v>49716.79</v>
          </cell>
          <cell r="Y1480">
            <v>61300.33</v>
          </cell>
          <cell r="Z1480">
            <v>0</v>
          </cell>
          <cell r="AA1480">
            <v>4577.12</v>
          </cell>
          <cell r="AB1480">
            <v>7057.7</v>
          </cell>
          <cell r="AC1480">
            <v>9157.7000000000007</v>
          </cell>
          <cell r="AD1480">
            <v>9157.7000000000007</v>
          </cell>
          <cell r="AE1480">
            <v>9247.7000000000007</v>
          </cell>
          <cell r="AF1480">
            <v>9247.7000000000007</v>
          </cell>
          <cell r="AG1480">
            <v>9779.81</v>
          </cell>
          <cell r="AH1480">
            <v>9779.81</v>
          </cell>
          <cell r="AI1480">
            <v>9845.84</v>
          </cell>
          <cell r="AJ1480">
            <v>14515.59</v>
          </cell>
          <cell r="AK1480">
            <v>19029.54</v>
          </cell>
          <cell r="AL1480">
            <v>0</v>
          </cell>
          <cell r="AM1480">
            <v>1</v>
          </cell>
          <cell r="AN1480" t="str">
            <v/>
          </cell>
          <cell r="AO1480">
            <v>0</v>
          </cell>
          <cell r="AP1480">
            <v>0</v>
          </cell>
          <cell r="AQ1480">
            <v>0</v>
          </cell>
          <cell r="AR1480">
            <v>710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 t="str">
            <v/>
          </cell>
          <cell r="BK1480">
            <v>7000</v>
          </cell>
          <cell r="BL1480" t="str">
            <v>0</v>
          </cell>
          <cell r="BM1480" t="str">
            <v>1</v>
          </cell>
          <cell r="BN1480" t="str">
            <v/>
          </cell>
          <cell r="BO1480" t="str">
            <v/>
          </cell>
        </row>
        <row r="1481">
          <cell r="A1481">
            <v>1</v>
          </cell>
          <cell r="B1481">
            <v>4141221</v>
          </cell>
          <cell r="C1481" t="str">
            <v>TRANSPORT</v>
          </cell>
          <cell r="D1481" t="str">
            <v>BRUN 22 LBS</v>
          </cell>
          <cell r="E1481" t="str">
            <v>O</v>
          </cell>
          <cell r="F1481">
            <v>0</v>
          </cell>
          <cell r="G1481">
            <v>0</v>
          </cell>
          <cell r="H1481">
            <v>96534.12</v>
          </cell>
          <cell r="I1481">
            <v>113269.12</v>
          </cell>
          <cell r="J1481">
            <v>16735</v>
          </cell>
          <cell r="K1481">
            <v>0</v>
          </cell>
          <cell r="L1481">
            <v>15540.61</v>
          </cell>
          <cell r="M1481">
            <v>1600</v>
          </cell>
          <cell r="N1481">
            <v>2739.12</v>
          </cell>
          <cell r="O1481">
            <v>5844.12</v>
          </cell>
          <cell r="P1481">
            <v>12134.12</v>
          </cell>
          <cell r="Q1481">
            <v>18374.12</v>
          </cell>
          <cell r="R1481">
            <v>24614.12</v>
          </cell>
          <cell r="S1481">
            <v>32484.12</v>
          </cell>
          <cell r="T1481">
            <v>40434.120000000003</v>
          </cell>
          <cell r="U1481">
            <v>49974.12</v>
          </cell>
          <cell r="V1481">
            <v>67654.12</v>
          </cell>
          <cell r="W1481">
            <v>81425.119999999995</v>
          </cell>
          <cell r="X1481">
            <v>96534.12</v>
          </cell>
          <cell r="Y1481">
            <v>110474.73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9470</v>
          </cell>
          <cell r="AJ1481">
            <v>15540</v>
          </cell>
          <cell r="AK1481">
            <v>19978.12</v>
          </cell>
          <cell r="AL1481">
            <v>0</v>
          </cell>
          <cell r="AM1481">
            <v>1</v>
          </cell>
          <cell r="AN1481" t="str">
            <v/>
          </cell>
          <cell r="AO1481">
            <v>0</v>
          </cell>
          <cell r="AP1481">
            <v>0</v>
          </cell>
          <cell r="AQ1481">
            <v>0</v>
          </cell>
          <cell r="AR1481">
            <v>610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 t="str">
            <v/>
          </cell>
          <cell r="BK1481">
            <v>4200</v>
          </cell>
          <cell r="BL1481" t="str">
            <v>0</v>
          </cell>
          <cell r="BM1481" t="str">
            <v>1</v>
          </cell>
          <cell r="BN1481" t="str">
            <v/>
          </cell>
          <cell r="BO1481" t="str">
            <v/>
          </cell>
        </row>
        <row r="1482">
          <cell r="A1482">
            <v>1</v>
          </cell>
          <cell r="B1482">
            <v>4142201</v>
          </cell>
          <cell r="C1482" t="str">
            <v>TRANSPORT</v>
          </cell>
          <cell r="D1482" t="str">
            <v>BLANC 20 LBS</v>
          </cell>
          <cell r="E1482" t="str">
            <v>O</v>
          </cell>
          <cell r="F1482">
            <v>0</v>
          </cell>
          <cell r="G1482">
            <v>0</v>
          </cell>
          <cell r="H1482">
            <v>15950</v>
          </cell>
          <cell r="I1482">
            <v>19130</v>
          </cell>
          <cell r="J1482">
            <v>3180</v>
          </cell>
          <cell r="K1482">
            <v>0</v>
          </cell>
          <cell r="L1482">
            <v>6768.1</v>
          </cell>
          <cell r="M1482">
            <v>1635</v>
          </cell>
          <cell r="N1482">
            <v>0</v>
          </cell>
          <cell r="O1482">
            <v>1590</v>
          </cell>
          <cell r="P1482">
            <v>1590</v>
          </cell>
          <cell r="Q1482">
            <v>1590</v>
          </cell>
          <cell r="R1482">
            <v>4770</v>
          </cell>
          <cell r="S1482">
            <v>6360</v>
          </cell>
          <cell r="T1482">
            <v>6360</v>
          </cell>
          <cell r="U1482">
            <v>7950</v>
          </cell>
          <cell r="V1482">
            <v>12680</v>
          </cell>
          <cell r="W1482">
            <v>12680</v>
          </cell>
          <cell r="X1482">
            <v>15950</v>
          </cell>
          <cell r="Y1482">
            <v>21083.1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1</v>
          </cell>
          <cell r="AN1482" t="str">
            <v/>
          </cell>
          <cell r="AO1482">
            <v>0</v>
          </cell>
          <cell r="AP1482">
            <v>0</v>
          </cell>
          <cell r="AQ1482">
            <v>0</v>
          </cell>
          <cell r="AR1482">
            <v>610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 t="str">
            <v/>
          </cell>
          <cell r="BK1482">
            <v>4200</v>
          </cell>
          <cell r="BL1482" t="str">
            <v>0</v>
          </cell>
          <cell r="BM1482" t="str">
            <v>1</v>
          </cell>
          <cell r="BN1482" t="str">
            <v/>
          </cell>
          <cell r="BO1482" t="str">
            <v/>
          </cell>
        </row>
        <row r="1483">
          <cell r="A1483">
            <v>1</v>
          </cell>
          <cell r="B1483">
            <v>4923011</v>
          </cell>
          <cell r="C1483" t="str">
            <v>DEPLACEMENT ET REPAS</v>
          </cell>
          <cell r="D1483" t="str">
            <v>RECHERCHE IMMOBILISATION</v>
          </cell>
          <cell r="E1483" t="str">
            <v>O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1614.81</v>
          </cell>
          <cell r="AC1483">
            <v>1614.81</v>
          </cell>
          <cell r="AD1483">
            <v>1614.81</v>
          </cell>
          <cell r="AE1483">
            <v>1614.81</v>
          </cell>
          <cell r="AF1483">
            <v>1614.81</v>
          </cell>
          <cell r="AG1483">
            <v>1614.81</v>
          </cell>
          <cell r="AH1483">
            <v>1614.81</v>
          </cell>
          <cell r="AI1483">
            <v>1614.81</v>
          </cell>
          <cell r="AJ1483">
            <v>1614.81</v>
          </cell>
          <cell r="AK1483">
            <v>1614.81</v>
          </cell>
          <cell r="AL1483">
            <v>0</v>
          </cell>
          <cell r="AM1483">
            <v>1</v>
          </cell>
          <cell r="AN1483" t="str">
            <v/>
          </cell>
          <cell r="AO1483">
            <v>0</v>
          </cell>
          <cell r="AP1483">
            <v>0</v>
          </cell>
          <cell r="AQ1483">
            <v>0</v>
          </cell>
          <cell r="AR1483">
            <v>810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 t="str">
            <v/>
          </cell>
          <cell r="BK1483">
            <v>7200</v>
          </cell>
          <cell r="BL1483" t="str">
            <v>0</v>
          </cell>
          <cell r="BM1483" t="str">
            <v>1</v>
          </cell>
          <cell r="BN1483" t="str">
            <v/>
          </cell>
          <cell r="BO1483" t="str">
            <v/>
          </cell>
        </row>
        <row r="1484">
          <cell r="A1484">
            <v>1</v>
          </cell>
          <cell r="B1484">
            <v>4112251</v>
          </cell>
          <cell r="C1484" t="str">
            <v>PAPIER BLANC 25 LIVRE</v>
          </cell>
          <cell r="D1484" t="str">
            <v/>
          </cell>
          <cell r="E1484" t="str">
            <v>O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1</v>
          </cell>
          <cell r="AN1484" t="str">
            <v/>
          </cell>
          <cell r="AO1484">
            <v>0</v>
          </cell>
          <cell r="AP1484">
            <v>0</v>
          </cell>
          <cell r="AQ1484">
            <v>0</v>
          </cell>
          <cell r="AR1484">
            <v>600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 t="str">
            <v/>
          </cell>
          <cell r="BK1484">
            <v>4000</v>
          </cell>
          <cell r="BL1484" t="str">
            <v>0</v>
          </cell>
          <cell r="BM1484" t="str">
            <v>1</v>
          </cell>
          <cell r="BN1484" t="str">
            <v/>
          </cell>
          <cell r="BO1484" t="str">
            <v/>
          </cell>
        </row>
        <row r="1485">
          <cell r="A1485">
            <v>1</v>
          </cell>
          <cell r="B1485">
            <v>4552931</v>
          </cell>
          <cell r="C1485" t="str">
            <v>MATERIEL ROULANT</v>
          </cell>
          <cell r="D1485" t="str">
            <v>HANDJACK BARRETT #293</v>
          </cell>
          <cell r="E1485" t="str">
            <v>O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1</v>
          </cell>
          <cell r="AN1485" t="str">
            <v/>
          </cell>
          <cell r="AO1485">
            <v>0</v>
          </cell>
          <cell r="AP1485">
            <v>0</v>
          </cell>
          <cell r="AQ1485">
            <v>0</v>
          </cell>
          <cell r="AR1485">
            <v>750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 t="str">
            <v/>
          </cell>
          <cell r="BK1485">
            <v>7000</v>
          </cell>
          <cell r="BL1485" t="str">
            <v>0</v>
          </cell>
          <cell r="BM1485" t="str">
            <v>1</v>
          </cell>
          <cell r="BN1485" t="str">
            <v/>
          </cell>
          <cell r="BO1485" t="str">
            <v/>
          </cell>
        </row>
        <row r="1486">
          <cell r="A1486">
            <v>1</v>
          </cell>
          <cell r="B1486">
            <v>4470363</v>
          </cell>
          <cell r="C1486" t="str">
            <v>ENTRETIEN ET REPARATIONS</v>
          </cell>
          <cell r="D1486" t="str">
            <v>SACS - MACH #36</v>
          </cell>
          <cell r="E1486" t="str">
            <v>O</v>
          </cell>
          <cell r="F1486">
            <v>0</v>
          </cell>
          <cell r="G1486">
            <v>0</v>
          </cell>
          <cell r="H1486">
            <v>442.29</v>
          </cell>
          <cell r="I1486">
            <v>592.29</v>
          </cell>
          <cell r="J1486">
            <v>150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18.5</v>
          </cell>
          <cell r="S1486">
            <v>60.42</v>
          </cell>
          <cell r="T1486">
            <v>253.42</v>
          </cell>
          <cell r="U1486">
            <v>292.29000000000002</v>
          </cell>
          <cell r="V1486">
            <v>292.29000000000002</v>
          </cell>
          <cell r="W1486">
            <v>442.29</v>
          </cell>
          <cell r="X1486">
            <v>442.29</v>
          </cell>
          <cell r="Y1486">
            <v>442.29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51.69</v>
          </cell>
          <cell r="AG1486">
            <v>215.44</v>
          </cell>
          <cell r="AH1486">
            <v>215.44</v>
          </cell>
          <cell r="AI1486">
            <v>215.44</v>
          </cell>
          <cell r="AJ1486">
            <v>215.44</v>
          </cell>
          <cell r="AK1486">
            <v>215.44</v>
          </cell>
          <cell r="AL1486">
            <v>0</v>
          </cell>
          <cell r="AM1486">
            <v>3</v>
          </cell>
          <cell r="AN1486" t="str">
            <v/>
          </cell>
          <cell r="AO1486">
            <v>0</v>
          </cell>
          <cell r="AP1486">
            <v>0</v>
          </cell>
          <cell r="AQ1486">
            <v>0</v>
          </cell>
          <cell r="AR1486">
            <v>720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 t="str">
            <v/>
          </cell>
          <cell r="BK1486">
            <v>7000</v>
          </cell>
          <cell r="BL1486" t="str">
            <v>0</v>
          </cell>
          <cell r="BM1486" t="str">
            <v>1</v>
          </cell>
          <cell r="BN1486" t="str">
            <v/>
          </cell>
          <cell r="BO1486" t="str">
            <v/>
          </cell>
        </row>
        <row r="1487">
          <cell r="A1487">
            <v>1</v>
          </cell>
          <cell r="B1487">
            <v>4822011</v>
          </cell>
          <cell r="C1487" t="str">
            <v>MARKETING</v>
          </cell>
          <cell r="D1487" t="str">
            <v>OUTILS DE VENTES</v>
          </cell>
          <cell r="E1487" t="str">
            <v>O</v>
          </cell>
          <cell r="F1487">
            <v>0</v>
          </cell>
          <cell r="G1487">
            <v>0</v>
          </cell>
          <cell r="H1487">
            <v>18085.439999999999</v>
          </cell>
          <cell r="I1487">
            <v>18085.439999999999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16140</v>
          </cell>
          <cell r="O1487">
            <v>16140</v>
          </cell>
          <cell r="P1487">
            <v>16375</v>
          </cell>
          <cell r="Q1487">
            <v>16375</v>
          </cell>
          <cell r="R1487">
            <v>16375</v>
          </cell>
          <cell r="S1487">
            <v>16375</v>
          </cell>
          <cell r="T1487">
            <v>16375</v>
          </cell>
          <cell r="U1487">
            <v>16375</v>
          </cell>
          <cell r="V1487">
            <v>18026.25</v>
          </cell>
          <cell r="W1487">
            <v>18026.25</v>
          </cell>
          <cell r="X1487">
            <v>18085.439999999999</v>
          </cell>
          <cell r="Y1487">
            <v>18085.439999999999</v>
          </cell>
          <cell r="Z1487">
            <v>0</v>
          </cell>
          <cell r="AA1487">
            <v>0</v>
          </cell>
          <cell r="AB1487">
            <v>2196.5</v>
          </cell>
          <cell r="AC1487">
            <v>2196.5</v>
          </cell>
          <cell r="AD1487">
            <v>2196.5</v>
          </cell>
          <cell r="AE1487">
            <v>2196.5</v>
          </cell>
          <cell r="AF1487">
            <v>2196.5</v>
          </cell>
          <cell r="AG1487">
            <v>2196.5</v>
          </cell>
          <cell r="AH1487">
            <v>2196.5</v>
          </cell>
          <cell r="AI1487">
            <v>2196.5</v>
          </cell>
          <cell r="AJ1487">
            <v>2196.5</v>
          </cell>
          <cell r="AK1487">
            <v>3209.05</v>
          </cell>
          <cell r="AL1487">
            <v>0</v>
          </cell>
          <cell r="AM1487">
            <v>1</v>
          </cell>
          <cell r="AN1487" t="str">
            <v/>
          </cell>
          <cell r="AO1487">
            <v>0</v>
          </cell>
          <cell r="AP1487">
            <v>0</v>
          </cell>
          <cell r="AQ1487">
            <v>0</v>
          </cell>
          <cell r="AR1487">
            <v>800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 t="str">
            <v/>
          </cell>
          <cell r="BK1487">
            <v>4100</v>
          </cell>
          <cell r="BL1487" t="str">
            <v>0</v>
          </cell>
          <cell r="BM1487" t="str">
            <v>1</v>
          </cell>
          <cell r="BN1487" t="str">
            <v/>
          </cell>
          <cell r="BO1487" t="str">
            <v/>
          </cell>
        </row>
        <row r="1488">
          <cell r="A1488">
            <v>1</v>
          </cell>
          <cell r="B1488">
            <v>4313631</v>
          </cell>
          <cell r="C1488" t="str">
            <v>CHIMIQUES</v>
          </cell>
          <cell r="D1488" t="str">
            <v>RÉZOSOL (AGENT COATING)</v>
          </cell>
          <cell r="E1488" t="str">
            <v>O</v>
          </cell>
          <cell r="F1488">
            <v>0</v>
          </cell>
          <cell r="G1488">
            <v>0</v>
          </cell>
          <cell r="H1488">
            <v>40484.21</v>
          </cell>
          <cell r="I1488">
            <v>162698.21</v>
          </cell>
          <cell r="J1488">
            <v>122214</v>
          </cell>
          <cell r="K1488">
            <v>0</v>
          </cell>
          <cell r="L1488">
            <v>11725.98</v>
          </cell>
          <cell r="M1488">
            <v>10414</v>
          </cell>
          <cell r="N1488">
            <v>4728</v>
          </cell>
          <cell r="O1488">
            <v>11384</v>
          </cell>
          <cell r="P1488">
            <v>18612</v>
          </cell>
          <cell r="Q1488">
            <v>22542.33</v>
          </cell>
          <cell r="R1488">
            <v>27559.53</v>
          </cell>
          <cell r="S1488">
            <v>31798.94</v>
          </cell>
          <cell r="T1488">
            <v>35441.629999999997</v>
          </cell>
          <cell r="U1488">
            <v>37069.71</v>
          </cell>
          <cell r="V1488">
            <v>38460.959999999999</v>
          </cell>
          <cell r="W1488">
            <v>31619.21</v>
          </cell>
          <cell r="X1488">
            <v>40484.21</v>
          </cell>
          <cell r="Y1488">
            <v>41796.19</v>
          </cell>
          <cell r="Z1488">
            <v>0</v>
          </cell>
          <cell r="AA1488">
            <v>0</v>
          </cell>
          <cell r="AB1488">
            <v>0</v>
          </cell>
          <cell r="AC1488">
            <v>1464.2</v>
          </cell>
          <cell r="AD1488">
            <v>3372.2</v>
          </cell>
          <cell r="AE1488">
            <v>6020.2</v>
          </cell>
          <cell r="AF1488">
            <v>7260.2</v>
          </cell>
          <cell r="AG1488">
            <v>8372.2000000000007</v>
          </cell>
          <cell r="AH1488">
            <v>9328.2000000000007</v>
          </cell>
          <cell r="AI1488">
            <v>9964.2000000000007</v>
          </cell>
          <cell r="AJ1488">
            <v>10172.200000000001</v>
          </cell>
          <cell r="AK1488">
            <v>11172.2</v>
          </cell>
          <cell r="AL1488">
            <v>0</v>
          </cell>
          <cell r="AM1488">
            <v>1</v>
          </cell>
          <cell r="AN1488" t="str">
            <v/>
          </cell>
          <cell r="AO1488">
            <v>0</v>
          </cell>
          <cell r="AP1488">
            <v>0</v>
          </cell>
          <cell r="AQ1488">
            <v>0</v>
          </cell>
          <cell r="AR1488">
            <v>660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1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 t="str">
            <v/>
          </cell>
          <cell r="BK1488">
            <v>6200</v>
          </cell>
          <cell r="BL1488" t="str">
            <v>0</v>
          </cell>
          <cell r="BM1488" t="str">
            <v>1</v>
          </cell>
          <cell r="BN1488" t="str">
            <v/>
          </cell>
          <cell r="BO1488" t="str">
            <v/>
          </cell>
        </row>
        <row r="1489">
          <cell r="A1489">
            <v>1</v>
          </cell>
          <cell r="B1489">
            <v>3501000</v>
          </cell>
          <cell r="C1489" t="str">
            <v>CAPITAL ACTION</v>
          </cell>
          <cell r="D1489" t="str">
            <v>AUTORISÉ</v>
          </cell>
          <cell r="E1489" t="str">
            <v>O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>
            <v>0</v>
          </cell>
          <cell r="AR1489">
            <v>575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 t="str">
            <v/>
          </cell>
          <cell r="BK1489">
            <v>3000</v>
          </cell>
          <cell r="BL1489" t="str">
            <v>0</v>
          </cell>
          <cell r="BM1489" t="str">
            <v>1</v>
          </cell>
          <cell r="BN1489" t="str">
            <v/>
          </cell>
          <cell r="BO1489" t="str">
            <v/>
          </cell>
        </row>
        <row r="1490">
          <cell r="A1490">
            <v>1</v>
          </cell>
          <cell r="B1490">
            <v>4311001</v>
          </cell>
          <cell r="C1490" t="str">
            <v>TOTES ET CONTAINER</v>
          </cell>
          <cell r="D1490" t="str">
            <v>RETOURNABLE</v>
          </cell>
          <cell r="E1490" t="str">
            <v>O</v>
          </cell>
          <cell r="F1490">
            <v>0</v>
          </cell>
          <cell r="G1490">
            <v>0</v>
          </cell>
          <cell r="H1490">
            <v>-5936.13</v>
          </cell>
          <cell r="I1490">
            <v>188039.89</v>
          </cell>
          <cell r="J1490">
            <v>193976.02</v>
          </cell>
          <cell r="K1490">
            <v>0</v>
          </cell>
          <cell r="L1490">
            <v>0</v>
          </cell>
          <cell r="M1490">
            <v>0</v>
          </cell>
          <cell r="N1490">
            <v>-1600</v>
          </cell>
          <cell r="O1490">
            <v>-1600</v>
          </cell>
          <cell r="P1490">
            <v>-6000</v>
          </cell>
          <cell r="Q1490">
            <v>-6800</v>
          </cell>
          <cell r="R1490">
            <v>-6800</v>
          </cell>
          <cell r="S1490">
            <v>-6800</v>
          </cell>
          <cell r="T1490">
            <v>-7600</v>
          </cell>
          <cell r="U1490">
            <v>-7590</v>
          </cell>
          <cell r="V1490">
            <v>-7640</v>
          </cell>
          <cell r="W1490">
            <v>-7712.14</v>
          </cell>
          <cell r="X1490">
            <v>-5936.13</v>
          </cell>
          <cell r="Y1490">
            <v>-5936.13</v>
          </cell>
          <cell r="Z1490">
            <v>0</v>
          </cell>
          <cell r="AA1490">
            <v>0</v>
          </cell>
          <cell r="AB1490">
            <v>-14484</v>
          </cell>
          <cell r="AC1490">
            <v>-14454</v>
          </cell>
          <cell r="AD1490">
            <v>-14454</v>
          </cell>
          <cell r="AE1490">
            <v>-14454</v>
          </cell>
          <cell r="AF1490">
            <v>-14039</v>
          </cell>
          <cell r="AG1490">
            <v>-4839</v>
          </cell>
          <cell r="AH1490">
            <v>-7239</v>
          </cell>
          <cell r="AI1490">
            <v>-4989</v>
          </cell>
          <cell r="AJ1490">
            <v>-4989</v>
          </cell>
          <cell r="AK1490">
            <v>961</v>
          </cell>
          <cell r="AL1490">
            <v>0</v>
          </cell>
          <cell r="AM1490">
            <v>1</v>
          </cell>
          <cell r="AN1490" t="str">
            <v/>
          </cell>
          <cell r="AO1490">
            <v>0</v>
          </cell>
          <cell r="AP1490">
            <v>0</v>
          </cell>
          <cell r="AQ1490">
            <v>0</v>
          </cell>
          <cell r="AR1490">
            <v>660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 t="str">
            <v/>
          </cell>
          <cell r="BK1490">
            <v>6200</v>
          </cell>
          <cell r="BL1490" t="str">
            <v>0</v>
          </cell>
          <cell r="BM1490" t="str">
            <v>1</v>
          </cell>
          <cell r="BN1490" t="str">
            <v/>
          </cell>
          <cell r="BO1490" t="str">
            <v/>
          </cell>
        </row>
        <row r="1491">
          <cell r="A1491">
            <v>1</v>
          </cell>
          <cell r="B1491">
            <v>4801031</v>
          </cell>
          <cell r="C1491" t="str">
            <v>EXPÉDITIONS</v>
          </cell>
          <cell r="D1491" t="str">
            <v>BILL OF LADING</v>
          </cell>
          <cell r="E1491" t="str">
            <v>O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375.84</v>
          </cell>
          <cell r="AC1491">
            <v>375.84</v>
          </cell>
          <cell r="AD1491">
            <v>375.84</v>
          </cell>
          <cell r="AE1491">
            <v>375.84</v>
          </cell>
          <cell r="AF1491">
            <v>375.84</v>
          </cell>
          <cell r="AG1491">
            <v>375.84</v>
          </cell>
          <cell r="AH1491">
            <v>375.84</v>
          </cell>
          <cell r="AI1491">
            <v>375.84</v>
          </cell>
          <cell r="AJ1491">
            <v>375.84</v>
          </cell>
          <cell r="AK1491">
            <v>375.84</v>
          </cell>
          <cell r="AL1491">
            <v>0</v>
          </cell>
          <cell r="AM1491">
            <v>1</v>
          </cell>
          <cell r="AN1491" t="str">
            <v/>
          </cell>
          <cell r="AO1491">
            <v>0</v>
          </cell>
          <cell r="AP1491">
            <v>0</v>
          </cell>
          <cell r="AQ1491">
            <v>0</v>
          </cell>
          <cell r="AR1491">
            <v>800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 t="str">
            <v/>
          </cell>
          <cell r="BK1491">
            <v>7100</v>
          </cell>
          <cell r="BL1491" t="str">
            <v>0</v>
          </cell>
          <cell r="BM1491" t="str">
            <v>1</v>
          </cell>
          <cell r="BN1491" t="str">
            <v/>
          </cell>
          <cell r="BO1491" t="str">
            <v/>
          </cell>
        </row>
        <row r="1492">
          <cell r="A1492">
            <v>1</v>
          </cell>
          <cell r="B1492">
            <v>1262310</v>
          </cell>
          <cell r="C1492" t="str">
            <v>INFORMATIQUE</v>
          </cell>
          <cell r="D1492" t="str">
            <v>INACTIF</v>
          </cell>
          <cell r="E1492" t="str">
            <v>N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25000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>
            <v>0</v>
          </cell>
          <cell r="AR1492">
            <v>310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36</v>
          </cell>
          <cell r="BJ1492" t="str">
            <v/>
          </cell>
          <cell r="BK1492">
            <v>1700</v>
          </cell>
          <cell r="BL1492" t="str">
            <v>1</v>
          </cell>
          <cell r="BM1492" t="str">
            <v>1</v>
          </cell>
          <cell r="BN1492" t="str">
            <v/>
          </cell>
          <cell r="BO1492" t="str">
            <v/>
          </cell>
        </row>
        <row r="1493">
          <cell r="A1493">
            <v>1</v>
          </cell>
          <cell r="B1493">
            <v>1352120</v>
          </cell>
          <cell r="C1493" t="str">
            <v>MOBILIER</v>
          </cell>
          <cell r="D1493" t="str">
            <v>USINE</v>
          </cell>
          <cell r="E1493" t="str">
            <v>N</v>
          </cell>
          <cell r="F1493">
            <v>0</v>
          </cell>
          <cell r="G1493">
            <v>0</v>
          </cell>
          <cell r="H1493">
            <v>4694.57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4694.57</v>
          </cell>
          <cell r="O1493">
            <v>4694.57</v>
          </cell>
          <cell r="P1493">
            <v>4694.57</v>
          </cell>
          <cell r="Q1493">
            <v>4694.57</v>
          </cell>
          <cell r="R1493">
            <v>4694.57</v>
          </cell>
          <cell r="S1493">
            <v>4694.57</v>
          </cell>
          <cell r="T1493">
            <v>4694.57</v>
          </cell>
          <cell r="U1493">
            <v>4694.57</v>
          </cell>
          <cell r="V1493">
            <v>4694.57</v>
          </cell>
          <cell r="W1493">
            <v>4694.57</v>
          </cell>
          <cell r="X1493">
            <v>4694.57</v>
          </cell>
          <cell r="Y1493">
            <v>4694.57</v>
          </cell>
          <cell r="Z1493">
            <v>0</v>
          </cell>
          <cell r="AA1493">
            <v>0</v>
          </cell>
          <cell r="AB1493">
            <v>3390.57</v>
          </cell>
          <cell r="AC1493">
            <v>3390.57</v>
          </cell>
          <cell r="AD1493">
            <v>3390.57</v>
          </cell>
          <cell r="AE1493">
            <v>3390.57</v>
          </cell>
          <cell r="AF1493">
            <v>3390.57</v>
          </cell>
          <cell r="AG1493">
            <v>3390.57</v>
          </cell>
          <cell r="AH1493">
            <v>4694.57</v>
          </cell>
          <cell r="AI1493">
            <v>4694.57</v>
          </cell>
          <cell r="AJ1493">
            <v>4694.57</v>
          </cell>
          <cell r="AK1493">
            <v>4694.57</v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>
            <v>0</v>
          </cell>
          <cell r="AR1493">
            <v>300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120</v>
          </cell>
          <cell r="BJ1493" t="str">
            <v/>
          </cell>
          <cell r="BK1493">
            <v>1700</v>
          </cell>
          <cell r="BL1493" t="str">
            <v>1</v>
          </cell>
          <cell r="BM1493" t="str">
            <v>1</v>
          </cell>
          <cell r="BN1493" t="str">
            <v/>
          </cell>
          <cell r="BO1493" t="str">
            <v/>
          </cell>
        </row>
        <row r="1494">
          <cell r="A1494">
            <v>1</v>
          </cell>
          <cell r="B1494">
            <v>1372860</v>
          </cell>
          <cell r="C1494" t="str">
            <v>MATERIEL ROULANT</v>
          </cell>
          <cell r="D1494" t="str">
            <v>HIGH STAKER 2 NIVEAUX</v>
          </cell>
          <cell r="E1494" t="str">
            <v>O</v>
          </cell>
          <cell r="F1494">
            <v>0</v>
          </cell>
          <cell r="G1494">
            <v>0</v>
          </cell>
          <cell r="H1494">
            <v>19040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19040</v>
          </cell>
          <cell r="O1494">
            <v>19040</v>
          </cell>
          <cell r="P1494">
            <v>19040</v>
          </cell>
          <cell r="Q1494">
            <v>19040</v>
          </cell>
          <cell r="R1494">
            <v>19040</v>
          </cell>
          <cell r="S1494">
            <v>19040</v>
          </cell>
          <cell r="T1494">
            <v>19040</v>
          </cell>
          <cell r="U1494">
            <v>19040</v>
          </cell>
          <cell r="V1494">
            <v>19040</v>
          </cell>
          <cell r="W1494">
            <v>19040</v>
          </cell>
          <cell r="X1494">
            <v>19040</v>
          </cell>
          <cell r="Y1494">
            <v>19040</v>
          </cell>
          <cell r="Z1494">
            <v>0</v>
          </cell>
          <cell r="AA1494">
            <v>0</v>
          </cell>
          <cell r="AB1494">
            <v>19217</v>
          </cell>
          <cell r="AC1494">
            <v>19040</v>
          </cell>
          <cell r="AD1494">
            <v>19040</v>
          </cell>
          <cell r="AE1494">
            <v>19040</v>
          </cell>
          <cell r="AF1494">
            <v>19040</v>
          </cell>
          <cell r="AG1494">
            <v>19040</v>
          </cell>
          <cell r="AH1494">
            <v>19040</v>
          </cell>
          <cell r="AI1494">
            <v>19040</v>
          </cell>
          <cell r="AJ1494">
            <v>19040</v>
          </cell>
          <cell r="AK1494">
            <v>19040</v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>
            <v>0</v>
          </cell>
          <cell r="AR1494">
            <v>320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60</v>
          </cell>
          <cell r="BJ1494" t="str">
            <v/>
          </cell>
          <cell r="BK1494">
            <v>1700</v>
          </cell>
          <cell r="BL1494" t="str">
            <v>1</v>
          </cell>
          <cell r="BM1494" t="str">
            <v>1</v>
          </cell>
          <cell r="BN1494" t="str">
            <v/>
          </cell>
          <cell r="BO1494" t="str">
            <v/>
          </cell>
        </row>
        <row r="1495">
          <cell r="A1495">
            <v>1</v>
          </cell>
          <cell r="B1495">
            <v>4631012</v>
          </cell>
          <cell r="C1495" t="str">
            <v>ENTREPOSAGE</v>
          </cell>
          <cell r="D1495" t="str">
            <v>SHUNT</v>
          </cell>
          <cell r="E1495" t="str">
            <v>O</v>
          </cell>
          <cell r="F1495">
            <v>0</v>
          </cell>
          <cell r="G1495">
            <v>0</v>
          </cell>
          <cell r="H1495">
            <v>32389.32</v>
          </cell>
          <cell r="I1495">
            <v>34396.06</v>
          </cell>
          <cell r="J1495">
            <v>2006.74</v>
          </cell>
          <cell r="K1495">
            <v>0</v>
          </cell>
          <cell r="L1495">
            <v>5908.13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6382.45</v>
          </cell>
          <cell r="U1495">
            <v>13110.38</v>
          </cell>
          <cell r="V1495">
            <v>21687.86</v>
          </cell>
          <cell r="W1495">
            <v>27501.01</v>
          </cell>
          <cell r="X1495">
            <v>32389.32</v>
          </cell>
          <cell r="Y1495">
            <v>38297.449999999997</v>
          </cell>
          <cell r="Z1495">
            <v>0</v>
          </cell>
          <cell r="AA1495">
            <v>0</v>
          </cell>
          <cell r="AB1495">
            <v>1020</v>
          </cell>
          <cell r="AC1495">
            <v>1020</v>
          </cell>
          <cell r="AD1495">
            <v>1020</v>
          </cell>
          <cell r="AE1495">
            <v>1020</v>
          </cell>
          <cell r="AF1495">
            <v>1020</v>
          </cell>
          <cell r="AG1495">
            <v>1020</v>
          </cell>
          <cell r="AH1495">
            <v>1293.98</v>
          </cell>
          <cell r="AI1495">
            <v>1293.98</v>
          </cell>
          <cell r="AJ1495">
            <v>1293.98</v>
          </cell>
          <cell r="AK1495">
            <v>1293.98</v>
          </cell>
          <cell r="AL1495">
            <v>0</v>
          </cell>
          <cell r="AM1495">
            <v>2</v>
          </cell>
          <cell r="AN1495" t="str">
            <v/>
          </cell>
          <cell r="AO1495">
            <v>0</v>
          </cell>
          <cell r="AP1495">
            <v>0</v>
          </cell>
          <cell r="AQ1495">
            <v>0</v>
          </cell>
          <cell r="AR1495">
            <v>710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 t="str">
            <v/>
          </cell>
          <cell r="BK1495">
            <v>7000</v>
          </cell>
          <cell r="BL1495" t="str">
            <v>0</v>
          </cell>
          <cell r="BM1495" t="str">
            <v>1</v>
          </cell>
          <cell r="BN1495" t="str">
            <v/>
          </cell>
          <cell r="BO1495" t="str">
            <v/>
          </cell>
        </row>
        <row r="1496">
          <cell r="A1496">
            <v>1</v>
          </cell>
          <cell r="B1496">
            <v>5121011</v>
          </cell>
          <cell r="C1496" t="str">
            <v>INTERETS FRAIS BANCAIRE</v>
          </cell>
          <cell r="D1496" t="str">
            <v>FRAIS BANQUE PAIE</v>
          </cell>
          <cell r="E1496" t="str">
            <v>O</v>
          </cell>
          <cell r="F1496">
            <v>0</v>
          </cell>
          <cell r="G1496">
            <v>0</v>
          </cell>
          <cell r="H1496">
            <v>2125.4899999999998</v>
          </cell>
          <cell r="I1496">
            <v>2156.41</v>
          </cell>
          <cell r="J1496">
            <v>30.92</v>
          </cell>
          <cell r="K1496">
            <v>0</v>
          </cell>
          <cell r="L1496">
            <v>0</v>
          </cell>
          <cell r="M1496">
            <v>1941.6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2125.4899999999998</v>
          </cell>
          <cell r="X1496">
            <v>2125.4899999999998</v>
          </cell>
          <cell r="Y1496">
            <v>183.89</v>
          </cell>
          <cell r="Z1496">
            <v>0</v>
          </cell>
          <cell r="AA1496">
            <v>0</v>
          </cell>
          <cell r="AB1496">
            <v>2782.17</v>
          </cell>
          <cell r="AC1496">
            <v>6155.88</v>
          </cell>
          <cell r="AD1496">
            <v>7928.08</v>
          </cell>
          <cell r="AE1496">
            <v>8575.69</v>
          </cell>
          <cell r="AF1496">
            <v>8575.69</v>
          </cell>
          <cell r="AG1496">
            <v>8606.69</v>
          </cell>
          <cell r="AH1496">
            <v>8606.69</v>
          </cell>
          <cell r="AI1496">
            <v>8606.69</v>
          </cell>
          <cell r="AJ1496">
            <v>8606.69</v>
          </cell>
          <cell r="AK1496">
            <v>8606.69</v>
          </cell>
          <cell r="AL1496">
            <v>0</v>
          </cell>
          <cell r="AM1496">
            <v>1</v>
          </cell>
          <cell r="AN1496" t="str">
            <v/>
          </cell>
          <cell r="AO1496">
            <v>0</v>
          </cell>
          <cell r="AP1496">
            <v>0</v>
          </cell>
          <cell r="AQ1496">
            <v>0</v>
          </cell>
          <cell r="AR1496">
            <v>820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 t="str">
            <v/>
          </cell>
          <cell r="BK1496">
            <v>7300</v>
          </cell>
          <cell r="BL1496" t="str">
            <v>0</v>
          </cell>
          <cell r="BM1496" t="str">
            <v>1</v>
          </cell>
          <cell r="BN1496" t="str">
            <v/>
          </cell>
          <cell r="BO1496" t="str">
            <v/>
          </cell>
        </row>
        <row r="1497">
          <cell r="A1497">
            <v>1</v>
          </cell>
          <cell r="B1497">
            <v>4460052</v>
          </cell>
          <cell r="C1497" t="str">
            <v>MECANICIENS &amp; ELECTRICIEN</v>
          </cell>
          <cell r="D1497" t="str">
            <v>MACHINE 05</v>
          </cell>
          <cell r="E1497" t="str">
            <v>O</v>
          </cell>
          <cell r="F1497">
            <v>0</v>
          </cell>
          <cell r="G1497">
            <v>0</v>
          </cell>
          <cell r="H1497">
            <v>26891.35</v>
          </cell>
          <cell r="I1497">
            <v>31439.77</v>
          </cell>
          <cell r="J1497">
            <v>4548.42</v>
          </cell>
          <cell r="K1497">
            <v>0</v>
          </cell>
          <cell r="L1497">
            <v>2818.15</v>
          </cell>
          <cell r="M1497">
            <v>2118.52</v>
          </cell>
          <cell r="N1497">
            <v>1637.01</v>
          </cell>
          <cell r="O1497">
            <v>4689.59</v>
          </cell>
          <cell r="P1497">
            <v>7918.1</v>
          </cell>
          <cell r="Q1497">
            <v>9835.1299999999992</v>
          </cell>
          <cell r="R1497">
            <v>12246.29</v>
          </cell>
          <cell r="S1497">
            <v>14080.08</v>
          </cell>
          <cell r="T1497">
            <v>18295.400000000001</v>
          </cell>
          <cell r="U1497">
            <v>20540.09</v>
          </cell>
          <cell r="V1497">
            <v>22338.16</v>
          </cell>
          <cell r="W1497">
            <v>24772.83</v>
          </cell>
          <cell r="X1497">
            <v>26891.35</v>
          </cell>
          <cell r="Y1497">
            <v>27590.98</v>
          </cell>
          <cell r="Z1497">
            <v>0</v>
          </cell>
          <cell r="AA1497">
            <v>0</v>
          </cell>
          <cell r="AB1497">
            <v>2511.13</v>
          </cell>
          <cell r="AC1497">
            <v>2354.9899999999998</v>
          </cell>
          <cell r="AD1497">
            <v>2929.65</v>
          </cell>
          <cell r="AE1497">
            <v>5919.89</v>
          </cell>
          <cell r="AF1497">
            <v>9669.0400000000009</v>
          </cell>
          <cell r="AG1497">
            <v>14293.45</v>
          </cell>
          <cell r="AH1497">
            <v>17826.169999999998</v>
          </cell>
          <cell r="AI1497">
            <v>20404.71</v>
          </cell>
          <cell r="AJ1497">
            <v>23245.99</v>
          </cell>
          <cell r="AK1497">
            <v>28157.64</v>
          </cell>
          <cell r="AL1497">
            <v>0</v>
          </cell>
          <cell r="AM1497">
            <v>2</v>
          </cell>
          <cell r="AN1497" t="str">
            <v/>
          </cell>
          <cell r="AO1497">
            <v>0</v>
          </cell>
          <cell r="AP1497">
            <v>0</v>
          </cell>
          <cell r="AQ1497">
            <v>0</v>
          </cell>
          <cell r="AR1497">
            <v>700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1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 t="str">
            <v/>
          </cell>
          <cell r="BK1497">
            <v>7000</v>
          </cell>
          <cell r="BL1497" t="str">
            <v>0</v>
          </cell>
          <cell r="BM1497" t="str">
            <v>1</v>
          </cell>
          <cell r="BN1497" t="str">
            <v/>
          </cell>
          <cell r="BO1497" t="str">
            <v/>
          </cell>
        </row>
        <row r="1498">
          <cell r="A1498">
            <v>1</v>
          </cell>
          <cell r="B1498">
            <v>1169991</v>
          </cell>
          <cell r="C1498" t="str">
            <v>INV INTERCO ECRITURE 0304</v>
          </cell>
          <cell r="D1498" t="str">
            <v>TOUJOURS A ZERO</v>
          </cell>
          <cell r="E1498" t="str">
            <v>O</v>
          </cell>
          <cell r="F1498">
            <v>0</v>
          </cell>
          <cell r="G1498">
            <v>0</v>
          </cell>
          <cell r="H1498">
            <v>0</v>
          </cell>
          <cell r="I1498">
            <v>121268.19</v>
          </cell>
          <cell r="J1498">
            <v>166427.59</v>
          </cell>
          <cell r="K1498">
            <v>0</v>
          </cell>
          <cell r="L1498">
            <v>63765.78</v>
          </cell>
          <cell r="M1498">
            <v>868.65</v>
          </cell>
          <cell r="N1498">
            <v>0</v>
          </cell>
          <cell r="O1498">
            <v>0</v>
          </cell>
          <cell r="P1498">
            <v>49671.360000000001</v>
          </cell>
          <cell r="Q1498">
            <v>0</v>
          </cell>
          <cell r="R1498">
            <v>0</v>
          </cell>
          <cell r="S1498">
            <v>42520.45</v>
          </cell>
          <cell r="T1498">
            <v>0</v>
          </cell>
          <cell r="U1498">
            <v>0</v>
          </cell>
          <cell r="V1498">
            <v>29076.38</v>
          </cell>
          <cell r="W1498">
            <v>0</v>
          </cell>
          <cell r="X1498">
            <v>0</v>
          </cell>
          <cell r="Y1498">
            <v>62897.13</v>
          </cell>
          <cell r="Z1498">
            <v>0</v>
          </cell>
          <cell r="AA1498">
            <v>0</v>
          </cell>
          <cell r="AB1498">
            <v>34818.26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45159.4</v>
          </cell>
          <cell r="AL1498">
            <v>0</v>
          </cell>
          <cell r="AM1498">
            <v>1</v>
          </cell>
          <cell r="AN1498" t="str">
            <v/>
          </cell>
          <cell r="AO1498">
            <v>0</v>
          </cell>
          <cell r="AP1498">
            <v>0</v>
          </cell>
          <cell r="AQ1498">
            <v>0</v>
          </cell>
          <cell r="AR1498">
            <v>100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 t="str">
            <v/>
          </cell>
          <cell r="BK1498">
            <v>1600</v>
          </cell>
          <cell r="BL1498" t="str">
            <v>0</v>
          </cell>
          <cell r="BM1498" t="str">
            <v>1</v>
          </cell>
          <cell r="BN1498" t="str">
            <v/>
          </cell>
          <cell r="BO1498" t="str">
            <v/>
          </cell>
        </row>
        <row r="1499">
          <cell r="A1499">
            <v>1</v>
          </cell>
          <cell r="B1499">
            <v>1372791</v>
          </cell>
          <cell r="C1499" t="str">
            <v>MATERIEL ROULANT</v>
          </cell>
          <cell r="D1499" t="str">
            <v>TURNALOAD 50D-TLC-SP HEWI</v>
          </cell>
          <cell r="E1499" t="str">
            <v>O</v>
          </cell>
          <cell r="F1499">
            <v>0</v>
          </cell>
          <cell r="G1499">
            <v>0</v>
          </cell>
          <cell r="H1499">
            <v>47920.25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47920.25</v>
          </cell>
          <cell r="O1499">
            <v>47920.25</v>
          </cell>
          <cell r="P1499">
            <v>47920.25</v>
          </cell>
          <cell r="Q1499">
            <v>47920.25</v>
          </cell>
          <cell r="R1499">
            <v>47920.25</v>
          </cell>
          <cell r="S1499">
            <v>47920.25</v>
          </cell>
          <cell r="T1499">
            <v>47920.25</v>
          </cell>
          <cell r="U1499">
            <v>47920.25</v>
          </cell>
          <cell r="V1499">
            <v>47920.25</v>
          </cell>
          <cell r="W1499">
            <v>47920.25</v>
          </cell>
          <cell r="X1499">
            <v>47920.25</v>
          </cell>
          <cell r="Y1499">
            <v>47920.25</v>
          </cell>
          <cell r="Z1499">
            <v>0</v>
          </cell>
          <cell r="AA1499">
            <v>0</v>
          </cell>
          <cell r="AB1499">
            <v>47920.25</v>
          </cell>
          <cell r="AC1499">
            <v>47920.25</v>
          </cell>
          <cell r="AD1499">
            <v>47920.25</v>
          </cell>
          <cell r="AE1499">
            <v>47920.25</v>
          </cell>
          <cell r="AF1499">
            <v>47920.25</v>
          </cell>
          <cell r="AG1499">
            <v>47920.25</v>
          </cell>
          <cell r="AH1499">
            <v>47920.25</v>
          </cell>
          <cell r="AI1499">
            <v>47920.25</v>
          </cell>
          <cell r="AJ1499">
            <v>47920.25</v>
          </cell>
          <cell r="AK1499">
            <v>47920.25</v>
          </cell>
          <cell r="AL1499">
            <v>0</v>
          </cell>
          <cell r="AM1499">
            <v>1</v>
          </cell>
          <cell r="AN1499" t="str">
            <v/>
          </cell>
          <cell r="AO1499">
            <v>0</v>
          </cell>
          <cell r="AP1499">
            <v>0</v>
          </cell>
          <cell r="AQ1499">
            <v>0</v>
          </cell>
          <cell r="AR1499">
            <v>320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60</v>
          </cell>
          <cell r="BJ1499" t="str">
            <v/>
          </cell>
          <cell r="BK1499">
            <v>1700</v>
          </cell>
          <cell r="BL1499" t="str">
            <v>1</v>
          </cell>
          <cell r="BM1499" t="str">
            <v>1</v>
          </cell>
          <cell r="BN1499" t="str">
            <v/>
          </cell>
          <cell r="BO1499" t="str">
            <v/>
          </cell>
        </row>
        <row r="1500">
          <cell r="A1500">
            <v>1</v>
          </cell>
          <cell r="B1500">
            <v>3111000</v>
          </cell>
          <cell r="C1500" t="str">
            <v>CAPITAL ACTION</v>
          </cell>
          <cell r="D1500" t="str">
            <v>AUTORISÉ</v>
          </cell>
          <cell r="E1500" t="str">
            <v>O</v>
          </cell>
          <cell r="F1500">
            <v>0</v>
          </cell>
          <cell r="G1500">
            <v>0</v>
          </cell>
          <cell r="H1500">
            <v>1600000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1600000</v>
          </cell>
          <cell r="O1500">
            <v>1600000</v>
          </cell>
          <cell r="P1500">
            <v>1600000</v>
          </cell>
          <cell r="Q1500">
            <v>1600000</v>
          </cell>
          <cell r="R1500">
            <v>1600000</v>
          </cell>
          <cell r="S1500">
            <v>1600000</v>
          </cell>
          <cell r="T1500">
            <v>1600000</v>
          </cell>
          <cell r="U1500">
            <v>1600000</v>
          </cell>
          <cell r="V1500">
            <v>1600000</v>
          </cell>
          <cell r="W1500">
            <v>1600000</v>
          </cell>
          <cell r="X1500">
            <v>1600000</v>
          </cell>
          <cell r="Y1500">
            <v>1600000</v>
          </cell>
          <cell r="Z1500">
            <v>0</v>
          </cell>
          <cell r="AA1500">
            <v>0</v>
          </cell>
          <cell r="AB1500">
            <v>1600000</v>
          </cell>
          <cell r="AC1500">
            <v>1600000</v>
          </cell>
          <cell r="AD1500">
            <v>1600000</v>
          </cell>
          <cell r="AE1500">
            <v>1600000</v>
          </cell>
          <cell r="AF1500">
            <v>1600000</v>
          </cell>
          <cell r="AG1500">
            <v>1600000</v>
          </cell>
          <cell r="AH1500">
            <v>1600000</v>
          </cell>
          <cell r="AI1500">
            <v>1600000</v>
          </cell>
          <cell r="AJ1500">
            <v>1600000</v>
          </cell>
          <cell r="AK1500">
            <v>1600000</v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>
            <v>0</v>
          </cell>
          <cell r="AR1500">
            <v>575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 t="str">
            <v/>
          </cell>
          <cell r="BK1500">
            <v>3000</v>
          </cell>
          <cell r="BL1500" t="str">
            <v>0</v>
          </cell>
          <cell r="BM1500" t="str">
            <v>1</v>
          </cell>
          <cell r="BN1500" t="str">
            <v/>
          </cell>
          <cell r="BO1500" t="str">
            <v/>
          </cell>
        </row>
        <row r="1501">
          <cell r="A1501">
            <v>1</v>
          </cell>
          <cell r="B1501">
            <v>1333100</v>
          </cell>
          <cell r="C1501" t="str">
            <v>MEC. RETENUE REMORQUES</v>
          </cell>
          <cell r="D1501" t="str">
            <v/>
          </cell>
          <cell r="E1501" t="str">
            <v>O</v>
          </cell>
          <cell r="F1501">
            <v>0</v>
          </cell>
          <cell r="G1501">
            <v>0</v>
          </cell>
          <cell r="H1501">
            <v>48179.68</v>
          </cell>
          <cell r="I1501">
            <v>23099.68</v>
          </cell>
          <cell r="J1501">
            <v>23900</v>
          </cell>
          <cell r="K1501">
            <v>0</v>
          </cell>
          <cell r="L1501">
            <v>0</v>
          </cell>
          <cell r="M1501">
            <v>0</v>
          </cell>
          <cell r="N1501">
            <v>48179.68</v>
          </cell>
          <cell r="O1501">
            <v>48179.68</v>
          </cell>
          <cell r="P1501">
            <v>48179.68</v>
          </cell>
          <cell r="Q1501">
            <v>48179.68</v>
          </cell>
          <cell r="R1501">
            <v>48179.68</v>
          </cell>
          <cell r="S1501">
            <v>48179.68</v>
          </cell>
          <cell r="T1501">
            <v>48179.68</v>
          </cell>
          <cell r="U1501">
            <v>48179.68</v>
          </cell>
          <cell r="V1501">
            <v>48179.68</v>
          </cell>
          <cell r="W1501">
            <v>48179.68</v>
          </cell>
          <cell r="X1501">
            <v>48179.68</v>
          </cell>
          <cell r="Y1501">
            <v>48179.68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25080</v>
          </cell>
          <cell r="AF1501">
            <v>25080</v>
          </cell>
          <cell r="AG1501">
            <v>25080</v>
          </cell>
          <cell r="AH1501">
            <v>25080</v>
          </cell>
          <cell r="AI1501">
            <v>25080</v>
          </cell>
          <cell r="AJ1501">
            <v>25080</v>
          </cell>
          <cell r="AK1501">
            <v>48980</v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>
            <v>0</v>
          </cell>
          <cell r="AR1501">
            <v>290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240</v>
          </cell>
          <cell r="BJ1501" t="str">
            <v/>
          </cell>
          <cell r="BK1501">
            <v>1700</v>
          </cell>
          <cell r="BL1501" t="str">
            <v>1</v>
          </cell>
          <cell r="BM1501" t="str">
            <v>1</v>
          </cell>
          <cell r="BN1501" t="str">
            <v/>
          </cell>
          <cell r="BO1501" t="str">
            <v/>
          </cell>
        </row>
        <row r="1502">
          <cell r="A1502">
            <v>1</v>
          </cell>
          <cell r="B1502">
            <v>1263090</v>
          </cell>
          <cell r="C1502" t="str">
            <v>INFORMATIQUE</v>
          </cell>
          <cell r="D1502" t="str">
            <v>MAGASIN SYSTEME INFO</v>
          </cell>
          <cell r="E1502" t="str">
            <v>N</v>
          </cell>
          <cell r="F1502">
            <v>0</v>
          </cell>
          <cell r="G1502">
            <v>0</v>
          </cell>
          <cell r="H1502">
            <v>20000</v>
          </cell>
          <cell r="I1502">
            <v>7500</v>
          </cell>
          <cell r="J1502">
            <v>7500</v>
          </cell>
          <cell r="K1502">
            <v>0</v>
          </cell>
          <cell r="L1502">
            <v>0</v>
          </cell>
          <cell r="M1502">
            <v>0</v>
          </cell>
          <cell r="N1502">
            <v>20000</v>
          </cell>
          <cell r="O1502">
            <v>20000</v>
          </cell>
          <cell r="P1502">
            <v>20000</v>
          </cell>
          <cell r="Q1502">
            <v>20000</v>
          </cell>
          <cell r="R1502">
            <v>20000</v>
          </cell>
          <cell r="S1502">
            <v>20000</v>
          </cell>
          <cell r="T1502">
            <v>20000</v>
          </cell>
          <cell r="U1502">
            <v>20000</v>
          </cell>
          <cell r="V1502">
            <v>20000</v>
          </cell>
          <cell r="W1502">
            <v>20000</v>
          </cell>
          <cell r="X1502">
            <v>20000</v>
          </cell>
          <cell r="Y1502">
            <v>20000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12500</v>
          </cell>
          <cell r="AI1502">
            <v>12500</v>
          </cell>
          <cell r="AJ1502">
            <v>12500</v>
          </cell>
          <cell r="AK1502">
            <v>20000</v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>
            <v>0</v>
          </cell>
          <cell r="AR1502">
            <v>310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36</v>
          </cell>
          <cell r="BJ1502" t="str">
            <v/>
          </cell>
          <cell r="BK1502">
            <v>1700</v>
          </cell>
          <cell r="BL1502" t="str">
            <v>1</v>
          </cell>
          <cell r="BM1502" t="str">
            <v>1</v>
          </cell>
          <cell r="BN1502" t="str">
            <v/>
          </cell>
          <cell r="BO1502" t="str">
            <v/>
          </cell>
        </row>
        <row r="1503">
          <cell r="A1503">
            <v>1</v>
          </cell>
          <cell r="B1503">
            <v>1333070</v>
          </cell>
          <cell r="C1503" t="str">
            <v>COMPTEURS DE GAZ NATUREL</v>
          </cell>
          <cell r="D1503" t="str">
            <v/>
          </cell>
          <cell r="E1503" t="str">
            <v>O</v>
          </cell>
          <cell r="F1503">
            <v>0</v>
          </cell>
          <cell r="G1503">
            <v>0</v>
          </cell>
          <cell r="H1503">
            <v>10296</v>
          </cell>
          <cell r="I1503">
            <v>20592</v>
          </cell>
          <cell r="J1503">
            <v>20592</v>
          </cell>
          <cell r="K1503">
            <v>0</v>
          </cell>
          <cell r="L1503">
            <v>0</v>
          </cell>
          <cell r="M1503">
            <v>0</v>
          </cell>
          <cell r="N1503">
            <v>10296</v>
          </cell>
          <cell r="O1503">
            <v>10296</v>
          </cell>
          <cell r="P1503">
            <v>10296</v>
          </cell>
          <cell r="Q1503">
            <v>10296</v>
          </cell>
          <cell r="R1503">
            <v>10296</v>
          </cell>
          <cell r="S1503">
            <v>10296</v>
          </cell>
          <cell r="T1503">
            <v>10296</v>
          </cell>
          <cell r="U1503">
            <v>10296</v>
          </cell>
          <cell r="V1503">
            <v>10296</v>
          </cell>
          <cell r="W1503">
            <v>10296</v>
          </cell>
          <cell r="X1503">
            <v>10296</v>
          </cell>
          <cell r="Y1503">
            <v>10296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10296</v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>
            <v>0</v>
          </cell>
          <cell r="AR1503">
            <v>290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240</v>
          </cell>
          <cell r="BJ1503" t="str">
            <v/>
          </cell>
          <cell r="BK1503">
            <v>1700</v>
          </cell>
          <cell r="BL1503" t="str">
            <v>1</v>
          </cell>
          <cell r="BM1503" t="str">
            <v>1</v>
          </cell>
          <cell r="BN1503" t="str">
            <v/>
          </cell>
          <cell r="BO1503" t="str">
            <v/>
          </cell>
        </row>
        <row r="1504">
          <cell r="A1504">
            <v>1</v>
          </cell>
          <cell r="B1504">
            <v>1333081</v>
          </cell>
          <cell r="C1504" t="str">
            <v>BASCULE HYDRAULIQUE</v>
          </cell>
          <cell r="D1504" t="str">
            <v/>
          </cell>
          <cell r="E1504" t="str">
            <v>O</v>
          </cell>
          <cell r="F1504">
            <v>0</v>
          </cell>
          <cell r="G1504">
            <v>0</v>
          </cell>
          <cell r="H1504">
            <v>20808.349999999999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20808.349999999999</v>
          </cell>
          <cell r="O1504">
            <v>20808.349999999999</v>
          </cell>
          <cell r="P1504">
            <v>20808.349999999999</v>
          </cell>
          <cell r="Q1504">
            <v>20808.349999999999</v>
          </cell>
          <cell r="R1504">
            <v>20808.349999999999</v>
          </cell>
          <cell r="S1504">
            <v>20808.349999999999</v>
          </cell>
          <cell r="T1504">
            <v>20808.349999999999</v>
          </cell>
          <cell r="U1504">
            <v>20808.349999999999</v>
          </cell>
          <cell r="V1504">
            <v>20808.349999999999</v>
          </cell>
          <cell r="W1504">
            <v>20808.349999999999</v>
          </cell>
          <cell r="X1504">
            <v>20808.349999999999</v>
          </cell>
          <cell r="Y1504">
            <v>20808.349999999999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4522.09</v>
          </cell>
          <cell r="AE1504">
            <v>4522.09</v>
          </cell>
          <cell r="AF1504">
            <v>4522.09</v>
          </cell>
          <cell r="AG1504">
            <v>4522.09</v>
          </cell>
          <cell r="AH1504">
            <v>4522.09</v>
          </cell>
          <cell r="AI1504">
            <v>11764.18</v>
          </cell>
          <cell r="AJ1504">
            <v>20808.349999999999</v>
          </cell>
          <cell r="AK1504">
            <v>20808.349999999999</v>
          </cell>
          <cell r="AL1504">
            <v>0</v>
          </cell>
          <cell r="AM1504">
            <v>1</v>
          </cell>
          <cell r="AN1504" t="str">
            <v/>
          </cell>
          <cell r="AO1504">
            <v>0</v>
          </cell>
          <cell r="AP1504">
            <v>0</v>
          </cell>
          <cell r="AQ1504">
            <v>0</v>
          </cell>
          <cell r="AR1504">
            <v>290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240</v>
          </cell>
          <cell r="BJ1504" t="str">
            <v/>
          </cell>
          <cell r="BK1504">
            <v>1700</v>
          </cell>
          <cell r="BL1504" t="str">
            <v>1</v>
          </cell>
          <cell r="BM1504" t="str">
            <v>1</v>
          </cell>
          <cell r="BN1504" t="str">
            <v/>
          </cell>
          <cell r="BO1504" t="str">
            <v/>
          </cell>
        </row>
        <row r="1505">
          <cell r="A1505">
            <v>1</v>
          </cell>
          <cell r="B1505">
            <v>1333050</v>
          </cell>
          <cell r="C1505" t="str">
            <v>REAMENAGEMENT CHAR.BATTER</v>
          </cell>
          <cell r="D1505" t="str">
            <v/>
          </cell>
          <cell r="E1505" t="str">
            <v>O</v>
          </cell>
          <cell r="F1505">
            <v>0</v>
          </cell>
          <cell r="G1505">
            <v>0</v>
          </cell>
          <cell r="H1505">
            <v>9880</v>
          </cell>
          <cell r="I1505">
            <v>390</v>
          </cell>
          <cell r="J1505">
            <v>390</v>
          </cell>
          <cell r="K1505">
            <v>0</v>
          </cell>
          <cell r="L1505">
            <v>0</v>
          </cell>
          <cell r="M1505">
            <v>0</v>
          </cell>
          <cell r="N1505">
            <v>9880</v>
          </cell>
          <cell r="O1505">
            <v>9880</v>
          </cell>
          <cell r="P1505">
            <v>9880</v>
          </cell>
          <cell r="Q1505">
            <v>9880</v>
          </cell>
          <cell r="R1505">
            <v>9880</v>
          </cell>
          <cell r="S1505">
            <v>9880</v>
          </cell>
          <cell r="T1505">
            <v>9880</v>
          </cell>
          <cell r="U1505">
            <v>9880</v>
          </cell>
          <cell r="V1505">
            <v>9880</v>
          </cell>
          <cell r="W1505">
            <v>9880</v>
          </cell>
          <cell r="X1505">
            <v>9880</v>
          </cell>
          <cell r="Y1505">
            <v>9880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9100</v>
          </cell>
          <cell r="AF1505">
            <v>9490</v>
          </cell>
          <cell r="AG1505">
            <v>9490</v>
          </cell>
          <cell r="AH1505">
            <v>9490</v>
          </cell>
          <cell r="AI1505">
            <v>9490</v>
          </cell>
          <cell r="AJ1505">
            <v>9490</v>
          </cell>
          <cell r="AK1505">
            <v>9880</v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>
            <v>0</v>
          </cell>
          <cell r="AR1505">
            <v>290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240</v>
          </cell>
          <cell r="BJ1505" t="str">
            <v/>
          </cell>
          <cell r="BK1505">
            <v>1700</v>
          </cell>
          <cell r="BL1505" t="str">
            <v>1</v>
          </cell>
          <cell r="BM1505" t="str">
            <v>1</v>
          </cell>
          <cell r="BN1505" t="str">
            <v/>
          </cell>
          <cell r="BO1505" t="str">
            <v/>
          </cell>
        </row>
        <row r="1506">
          <cell r="A1506">
            <v>1</v>
          </cell>
          <cell r="B1506">
            <v>1373040</v>
          </cell>
          <cell r="C1506" t="str">
            <v>MATERIEL ROULANT</v>
          </cell>
          <cell r="D1506" t="str">
            <v>CHARIOT HIGHSTACKER</v>
          </cell>
          <cell r="E1506" t="str">
            <v>O</v>
          </cell>
          <cell r="F1506">
            <v>0</v>
          </cell>
          <cell r="G1506">
            <v>0</v>
          </cell>
          <cell r="H1506">
            <v>39752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39752</v>
          </cell>
          <cell r="O1506">
            <v>39752</v>
          </cell>
          <cell r="P1506">
            <v>39752</v>
          </cell>
          <cell r="Q1506">
            <v>39752</v>
          </cell>
          <cell r="R1506">
            <v>39752</v>
          </cell>
          <cell r="S1506">
            <v>39752</v>
          </cell>
          <cell r="T1506">
            <v>39752</v>
          </cell>
          <cell r="U1506">
            <v>39752</v>
          </cell>
          <cell r="V1506">
            <v>39752</v>
          </cell>
          <cell r="W1506">
            <v>39752</v>
          </cell>
          <cell r="X1506">
            <v>39752</v>
          </cell>
          <cell r="Y1506">
            <v>39752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39752</v>
          </cell>
          <cell r="AI1506">
            <v>39752</v>
          </cell>
          <cell r="AJ1506">
            <v>39752</v>
          </cell>
          <cell r="AK1506">
            <v>39752</v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>
            <v>0</v>
          </cell>
          <cell r="AR1506">
            <v>320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60</v>
          </cell>
          <cell r="BJ1506" t="str">
            <v/>
          </cell>
          <cell r="BK1506">
            <v>1700</v>
          </cell>
          <cell r="BL1506" t="str">
            <v>1</v>
          </cell>
          <cell r="BM1506" t="str">
            <v>1</v>
          </cell>
          <cell r="BN1506" t="str">
            <v/>
          </cell>
          <cell r="BO1506" t="str">
            <v/>
          </cell>
        </row>
        <row r="1507">
          <cell r="A1507">
            <v>1</v>
          </cell>
          <cell r="B1507">
            <v>4552941</v>
          </cell>
          <cell r="C1507" t="str">
            <v>MATERIEL ROULANT</v>
          </cell>
          <cell r="D1507" t="str">
            <v>ENT. CHARIOTS -RAYMOND294</v>
          </cell>
          <cell r="E1507" t="str">
            <v>O</v>
          </cell>
          <cell r="F1507">
            <v>0</v>
          </cell>
          <cell r="G1507">
            <v>0</v>
          </cell>
          <cell r="H1507">
            <v>1958.93</v>
          </cell>
          <cell r="I1507">
            <v>2208.9299999999998</v>
          </cell>
          <cell r="J1507">
            <v>250</v>
          </cell>
          <cell r="K1507">
            <v>0</v>
          </cell>
          <cell r="L1507">
            <v>50</v>
          </cell>
          <cell r="M1507">
            <v>50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200</v>
          </cell>
          <cell r="U1507">
            <v>250.33</v>
          </cell>
          <cell r="V1507">
            <v>1368.12</v>
          </cell>
          <cell r="W1507">
            <v>1418.12</v>
          </cell>
          <cell r="X1507">
            <v>1958.93</v>
          </cell>
          <cell r="Y1507">
            <v>1958.93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17145</v>
          </cell>
          <cell r="AK1507">
            <v>18161.36</v>
          </cell>
          <cell r="AL1507">
            <v>0</v>
          </cell>
          <cell r="AM1507">
            <v>1</v>
          </cell>
          <cell r="AN1507" t="str">
            <v/>
          </cell>
          <cell r="AO1507">
            <v>0</v>
          </cell>
          <cell r="AP1507">
            <v>0</v>
          </cell>
          <cell r="AQ1507">
            <v>0</v>
          </cell>
          <cell r="AR1507">
            <v>750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 t="str">
            <v/>
          </cell>
          <cell r="BK1507">
            <v>7000</v>
          </cell>
          <cell r="BL1507" t="str">
            <v>0</v>
          </cell>
          <cell r="BM1507" t="str">
            <v>1</v>
          </cell>
          <cell r="BN1507" t="str">
            <v/>
          </cell>
          <cell r="BO1507" t="str">
            <v/>
          </cell>
        </row>
        <row r="1508">
          <cell r="A1508">
            <v>1</v>
          </cell>
          <cell r="B1508">
            <v>4592051</v>
          </cell>
          <cell r="C1508" t="str">
            <v>ENTRETIEN BATIMENT</v>
          </cell>
          <cell r="D1508" t="str">
            <v>ENTRETIEN CONVOYEUR</v>
          </cell>
          <cell r="E1508" t="str">
            <v>O</v>
          </cell>
          <cell r="F1508">
            <v>0</v>
          </cell>
          <cell r="G1508">
            <v>0</v>
          </cell>
          <cell r="H1508">
            <v>16539.349999999999</v>
          </cell>
          <cell r="I1508">
            <v>20512.18</v>
          </cell>
          <cell r="J1508">
            <v>3972.83</v>
          </cell>
          <cell r="K1508">
            <v>0</v>
          </cell>
          <cell r="L1508">
            <v>360.66</v>
          </cell>
          <cell r="M1508">
            <v>160.65</v>
          </cell>
          <cell r="N1508">
            <v>713.64</v>
          </cell>
          <cell r="O1508">
            <v>2792.16</v>
          </cell>
          <cell r="P1508">
            <v>3258.23</v>
          </cell>
          <cell r="Q1508">
            <v>5222.57</v>
          </cell>
          <cell r="R1508">
            <v>5893.93</v>
          </cell>
          <cell r="S1508">
            <v>5901.17</v>
          </cell>
          <cell r="T1508">
            <v>5933.93</v>
          </cell>
          <cell r="U1508">
            <v>8498.58</v>
          </cell>
          <cell r="V1508">
            <v>13916.76</v>
          </cell>
          <cell r="W1508">
            <v>15860.8</v>
          </cell>
          <cell r="X1508">
            <v>16539.349999999999</v>
          </cell>
          <cell r="Y1508">
            <v>16739.36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48</v>
          </cell>
          <cell r="AF1508">
            <v>418.07</v>
          </cell>
          <cell r="AG1508">
            <v>435.42</v>
          </cell>
          <cell r="AH1508">
            <v>1068.57</v>
          </cell>
          <cell r="AI1508">
            <v>1132.3499999999999</v>
          </cell>
          <cell r="AJ1508">
            <v>2857.33</v>
          </cell>
          <cell r="AK1508">
            <v>4093.09</v>
          </cell>
          <cell r="AL1508">
            <v>0</v>
          </cell>
          <cell r="AM1508">
            <v>1</v>
          </cell>
          <cell r="AN1508" t="str">
            <v/>
          </cell>
          <cell r="AO1508">
            <v>0</v>
          </cell>
          <cell r="AP1508">
            <v>0</v>
          </cell>
          <cell r="AQ1508">
            <v>0</v>
          </cell>
          <cell r="AR1508">
            <v>710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 t="str">
            <v/>
          </cell>
          <cell r="BK1508">
            <v>7000</v>
          </cell>
          <cell r="BL1508" t="str">
            <v>0</v>
          </cell>
          <cell r="BM1508" t="str">
            <v>1</v>
          </cell>
          <cell r="BN1508" t="str">
            <v/>
          </cell>
          <cell r="BO1508" t="str">
            <v/>
          </cell>
        </row>
        <row r="1509">
          <cell r="A1509">
            <v>1</v>
          </cell>
          <cell r="B1509">
            <v>4250513</v>
          </cell>
          <cell r="C1509" t="str">
            <v>M.O.D.</v>
          </cell>
          <cell r="D1509" t="str">
            <v>SACS - SYSTEME DE COLLE</v>
          </cell>
          <cell r="E1509" t="str">
            <v>O</v>
          </cell>
          <cell r="F1509">
            <v>0</v>
          </cell>
          <cell r="G1509">
            <v>0</v>
          </cell>
          <cell r="H1509">
            <v>8310.6299999999992</v>
          </cell>
          <cell r="I1509">
            <v>9547.19</v>
          </cell>
          <cell r="J1509">
            <v>1236.56</v>
          </cell>
          <cell r="K1509">
            <v>0</v>
          </cell>
          <cell r="L1509">
            <v>1838.83</v>
          </cell>
          <cell r="M1509">
            <v>518.74</v>
          </cell>
          <cell r="N1509">
            <v>172.62</v>
          </cell>
          <cell r="O1509">
            <v>775.99</v>
          </cell>
          <cell r="P1509">
            <v>1926.94</v>
          </cell>
          <cell r="Q1509">
            <v>2723.36</v>
          </cell>
          <cell r="R1509">
            <v>3515.98</v>
          </cell>
          <cell r="S1509">
            <v>4032.59</v>
          </cell>
          <cell r="T1509">
            <v>5140.93</v>
          </cell>
          <cell r="U1509">
            <v>5646.49</v>
          </cell>
          <cell r="V1509">
            <v>6543.84</v>
          </cell>
          <cell r="W1509">
            <v>7791.89</v>
          </cell>
          <cell r="X1509">
            <v>8310.6299999999992</v>
          </cell>
          <cell r="Y1509">
            <v>9630.7199999999993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352.58</v>
          </cell>
          <cell r="AE1509">
            <v>1228.05</v>
          </cell>
          <cell r="AF1509">
            <v>2086.9699999999998</v>
          </cell>
          <cell r="AG1509">
            <v>2856.02</v>
          </cell>
          <cell r="AH1509">
            <v>3155.92</v>
          </cell>
          <cell r="AI1509">
            <v>3124.38</v>
          </cell>
          <cell r="AJ1509">
            <v>3255.2</v>
          </cell>
          <cell r="AK1509">
            <v>4583.7</v>
          </cell>
          <cell r="AL1509">
            <v>0</v>
          </cell>
          <cell r="AM1509">
            <v>3</v>
          </cell>
          <cell r="AN1509" t="str">
            <v/>
          </cell>
          <cell r="AO1509">
            <v>0</v>
          </cell>
          <cell r="AP1509">
            <v>0</v>
          </cell>
          <cell r="AQ1509">
            <v>0</v>
          </cell>
          <cell r="AR1509">
            <v>690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 t="str">
            <v/>
          </cell>
          <cell r="BK1509">
            <v>6000</v>
          </cell>
          <cell r="BL1509" t="str">
            <v>0</v>
          </cell>
          <cell r="BM1509" t="str">
            <v>1</v>
          </cell>
          <cell r="BN1509" t="str">
            <v/>
          </cell>
          <cell r="BO1509" t="str">
            <v/>
          </cell>
        </row>
        <row r="1510">
          <cell r="A1510">
            <v>1</v>
          </cell>
          <cell r="B1510">
            <v>4250523</v>
          </cell>
          <cell r="C1510" t="str">
            <v>M.O.D.</v>
          </cell>
          <cell r="D1510" t="str">
            <v>SACS - ENCRE ET PLAQUES</v>
          </cell>
          <cell r="E1510" t="str">
            <v>O</v>
          </cell>
          <cell r="F1510">
            <v>0</v>
          </cell>
          <cell r="G1510">
            <v>0</v>
          </cell>
          <cell r="H1510">
            <v>113091.37</v>
          </cell>
          <cell r="I1510">
            <v>132986.57</v>
          </cell>
          <cell r="J1510">
            <v>19895.2</v>
          </cell>
          <cell r="K1510">
            <v>0</v>
          </cell>
          <cell r="L1510">
            <v>15929.22</v>
          </cell>
          <cell r="M1510">
            <v>9489.3700000000008</v>
          </cell>
          <cell r="N1510">
            <v>10753.09</v>
          </cell>
          <cell r="O1510">
            <v>25272.3</v>
          </cell>
          <cell r="P1510">
            <v>36615.300000000003</v>
          </cell>
          <cell r="Q1510">
            <v>46069.29</v>
          </cell>
          <cell r="R1510">
            <v>56670.26</v>
          </cell>
          <cell r="S1510">
            <v>65992.09</v>
          </cell>
          <cell r="T1510">
            <v>75902.81</v>
          </cell>
          <cell r="U1510">
            <v>86273.76</v>
          </cell>
          <cell r="V1510">
            <v>94704.12</v>
          </cell>
          <cell r="W1510">
            <v>103602</v>
          </cell>
          <cell r="X1510">
            <v>113091.37</v>
          </cell>
          <cell r="Y1510">
            <v>119531.22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6267.09</v>
          </cell>
          <cell r="AE1510">
            <v>20381.990000000002</v>
          </cell>
          <cell r="AF1510">
            <v>34088.949999999997</v>
          </cell>
          <cell r="AG1510">
            <v>46876.95</v>
          </cell>
          <cell r="AH1510">
            <v>60422.2</v>
          </cell>
          <cell r="AI1510">
            <v>72110.66</v>
          </cell>
          <cell r="AJ1510">
            <v>85163.6</v>
          </cell>
          <cell r="AK1510">
            <v>96657.600000000006</v>
          </cell>
          <cell r="AL1510">
            <v>0</v>
          </cell>
          <cell r="AM1510">
            <v>3</v>
          </cell>
          <cell r="AN1510" t="str">
            <v/>
          </cell>
          <cell r="AO1510">
            <v>0</v>
          </cell>
          <cell r="AP1510">
            <v>0</v>
          </cell>
          <cell r="AQ1510">
            <v>0</v>
          </cell>
          <cell r="AR1510">
            <v>690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 t="str">
            <v/>
          </cell>
          <cell r="BK1510">
            <v>6000</v>
          </cell>
          <cell r="BL1510" t="str">
            <v>0</v>
          </cell>
          <cell r="BM1510" t="str">
            <v>1</v>
          </cell>
          <cell r="BN1510" t="str">
            <v/>
          </cell>
          <cell r="BO1510" t="str">
            <v/>
          </cell>
        </row>
        <row r="1511">
          <cell r="A1511">
            <v>1</v>
          </cell>
          <cell r="B1511">
            <v>4460513</v>
          </cell>
          <cell r="C1511" t="str">
            <v>MECANICIENS     ENTRETIEN</v>
          </cell>
          <cell r="D1511" t="str">
            <v>SACS - SYSTEME DE COLLE</v>
          </cell>
          <cell r="E1511" t="str">
            <v>O</v>
          </cell>
          <cell r="F1511">
            <v>0</v>
          </cell>
          <cell r="G1511">
            <v>0</v>
          </cell>
          <cell r="H1511">
            <v>11607.24</v>
          </cell>
          <cell r="I1511">
            <v>12369.77</v>
          </cell>
          <cell r="J1511">
            <v>762.53</v>
          </cell>
          <cell r="K1511">
            <v>0</v>
          </cell>
          <cell r="L1511">
            <v>197.96</v>
          </cell>
          <cell r="M1511">
            <v>108.85</v>
          </cell>
          <cell r="N1511">
            <v>1198.51</v>
          </cell>
          <cell r="O1511">
            <v>2984.45</v>
          </cell>
          <cell r="P1511">
            <v>3802.33</v>
          </cell>
          <cell r="Q1511">
            <v>4664.74</v>
          </cell>
          <cell r="R1511">
            <v>5377.82</v>
          </cell>
          <cell r="S1511">
            <v>5699.4</v>
          </cell>
          <cell r="T1511">
            <v>7965.46</v>
          </cell>
          <cell r="U1511">
            <v>8763.7800000000007</v>
          </cell>
          <cell r="V1511">
            <v>9837.5400000000009</v>
          </cell>
          <cell r="W1511">
            <v>11498.39</v>
          </cell>
          <cell r="X1511">
            <v>11607.24</v>
          </cell>
          <cell r="Y1511">
            <v>11696.35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261.02</v>
          </cell>
          <cell r="AF1511">
            <v>411.99</v>
          </cell>
          <cell r="AG1511">
            <v>516.15</v>
          </cell>
          <cell r="AH1511">
            <v>878.01</v>
          </cell>
          <cell r="AI1511">
            <v>2164.56</v>
          </cell>
          <cell r="AJ1511">
            <v>2993.2</v>
          </cell>
          <cell r="AK1511">
            <v>3455.81</v>
          </cell>
          <cell r="AL1511">
            <v>0</v>
          </cell>
          <cell r="AM1511">
            <v>3</v>
          </cell>
          <cell r="AN1511" t="str">
            <v/>
          </cell>
          <cell r="AO1511">
            <v>0</v>
          </cell>
          <cell r="AP1511">
            <v>0</v>
          </cell>
          <cell r="AQ1511">
            <v>0</v>
          </cell>
          <cell r="AR1511">
            <v>700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 t="str">
            <v/>
          </cell>
          <cell r="BK1511">
            <v>7000</v>
          </cell>
          <cell r="BL1511" t="str">
            <v>0</v>
          </cell>
          <cell r="BM1511" t="str">
            <v>1</v>
          </cell>
          <cell r="BN1511" t="str">
            <v/>
          </cell>
          <cell r="BO1511" t="str">
            <v/>
          </cell>
        </row>
        <row r="1512">
          <cell r="A1512">
            <v>1</v>
          </cell>
          <cell r="B1512">
            <v>4460552</v>
          </cell>
          <cell r="C1512" t="str">
            <v>MECANICIENS &amp; ELECTRICIEN</v>
          </cell>
          <cell r="D1512" t="str">
            <v>MACHINE 55 SHRINK WRAP</v>
          </cell>
          <cell r="E1512" t="str">
            <v>O</v>
          </cell>
          <cell r="F1512">
            <v>0</v>
          </cell>
          <cell r="G1512">
            <v>0</v>
          </cell>
          <cell r="H1512">
            <v>5604.13</v>
          </cell>
          <cell r="I1512">
            <v>6598.63</v>
          </cell>
          <cell r="J1512">
            <v>994.5</v>
          </cell>
          <cell r="K1512">
            <v>0</v>
          </cell>
          <cell r="L1512">
            <v>656.19</v>
          </cell>
          <cell r="M1512">
            <v>51.69</v>
          </cell>
          <cell r="N1512">
            <v>51.04</v>
          </cell>
          <cell r="O1512">
            <v>1306.46</v>
          </cell>
          <cell r="P1512">
            <v>1622.09</v>
          </cell>
          <cell r="Q1512">
            <v>1993.09</v>
          </cell>
          <cell r="R1512">
            <v>2442.37</v>
          </cell>
          <cell r="S1512">
            <v>3455.89</v>
          </cell>
          <cell r="T1512">
            <v>4398.01</v>
          </cell>
          <cell r="U1512">
            <v>5200.42</v>
          </cell>
          <cell r="V1512">
            <v>5314.37</v>
          </cell>
          <cell r="W1512">
            <v>5552.44</v>
          </cell>
          <cell r="X1512">
            <v>5604.13</v>
          </cell>
          <cell r="Y1512">
            <v>6208.63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51.59</v>
          </cell>
          <cell r="AF1512">
            <v>594.63</v>
          </cell>
          <cell r="AG1512">
            <v>945.66</v>
          </cell>
          <cell r="AH1512">
            <v>1178.8699999999999</v>
          </cell>
          <cell r="AI1512">
            <v>1679.26</v>
          </cell>
          <cell r="AJ1512">
            <v>2131.12</v>
          </cell>
          <cell r="AK1512">
            <v>2498.3000000000002</v>
          </cell>
          <cell r="AL1512">
            <v>0</v>
          </cell>
          <cell r="AM1512">
            <v>2</v>
          </cell>
          <cell r="AN1512" t="str">
            <v/>
          </cell>
          <cell r="AO1512">
            <v>0</v>
          </cell>
          <cell r="AP1512">
            <v>0</v>
          </cell>
          <cell r="AQ1512">
            <v>0</v>
          </cell>
          <cell r="AR1512">
            <v>700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 t="str">
            <v/>
          </cell>
          <cell r="BK1512">
            <v>7000</v>
          </cell>
          <cell r="BL1512" t="str">
            <v>0</v>
          </cell>
          <cell r="BM1512" t="str">
            <v>1</v>
          </cell>
          <cell r="BN1512" t="str">
            <v/>
          </cell>
          <cell r="BO1512" t="str">
            <v/>
          </cell>
        </row>
        <row r="1513">
          <cell r="A1513">
            <v>1</v>
          </cell>
          <cell r="B1513">
            <v>4421002</v>
          </cell>
          <cell r="C1513" t="str">
            <v>SURINTENDANT</v>
          </cell>
          <cell r="D1513" t="str">
            <v>SUPERVISION - SERVIETTE</v>
          </cell>
          <cell r="E1513" t="str">
            <v>O</v>
          </cell>
          <cell r="F1513">
            <v>0</v>
          </cell>
          <cell r="G1513">
            <v>0</v>
          </cell>
          <cell r="H1513">
            <v>89467.74</v>
          </cell>
          <cell r="I1513">
            <v>110953.03</v>
          </cell>
          <cell r="J1513">
            <v>21485.29</v>
          </cell>
          <cell r="K1513">
            <v>0</v>
          </cell>
          <cell r="L1513">
            <v>11874.12</v>
          </cell>
          <cell r="M1513">
            <v>5403.22</v>
          </cell>
          <cell r="N1513">
            <v>8406.42</v>
          </cell>
          <cell r="O1513">
            <v>13524.47</v>
          </cell>
          <cell r="P1513">
            <v>22068.639999999999</v>
          </cell>
          <cell r="Q1513">
            <v>30065.1</v>
          </cell>
          <cell r="R1513">
            <v>38294.01</v>
          </cell>
          <cell r="S1513">
            <v>46522.92</v>
          </cell>
          <cell r="T1513">
            <v>54751.83</v>
          </cell>
          <cell r="U1513">
            <v>63217.66</v>
          </cell>
          <cell r="V1513">
            <v>71128.350000000006</v>
          </cell>
          <cell r="W1513">
            <v>78899.839999999997</v>
          </cell>
          <cell r="X1513">
            <v>89467.74</v>
          </cell>
          <cell r="Y1513">
            <v>95938.64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2027.91</v>
          </cell>
          <cell r="AE1513">
            <v>7192.95</v>
          </cell>
          <cell r="AF1513">
            <v>13366.53</v>
          </cell>
          <cell r="AG1513">
            <v>18132.900000000001</v>
          </cell>
          <cell r="AH1513">
            <v>24958.9</v>
          </cell>
          <cell r="AI1513">
            <v>32783.199999999997</v>
          </cell>
          <cell r="AJ1513">
            <v>40319.17</v>
          </cell>
          <cell r="AK1513">
            <v>47620.35</v>
          </cell>
          <cell r="AL1513">
            <v>0</v>
          </cell>
          <cell r="AM1513">
            <v>2</v>
          </cell>
          <cell r="AN1513" t="str">
            <v/>
          </cell>
          <cell r="AO1513">
            <v>0</v>
          </cell>
          <cell r="AP1513">
            <v>0</v>
          </cell>
          <cell r="AQ1513">
            <v>0</v>
          </cell>
          <cell r="AR1513">
            <v>700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 t="str">
            <v/>
          </cell>
          <cell r="BK1513">
            <v>7000</v>
          </cell>
          <cell r="BL1513" t="str">
            <v>0</v>
          </cell>
          <cell r="BM1513" t="str">
            <v>1</v>
          </cell>
          <cell r="BN1513" t="str">
            <v/>
          </cell>
          <cell r="BO1513" t="str">
            <v/>
          </cell>
        </row>
        <row r="1514">
          <cell r="A1514">
            <v>1</v>
          </cell>
          <cell r="B1514">
            <v>4250112</v>
          </cell>
          <cell r="C1514" t="str">
            <v>M.O.D.</v>
          </cell>
          <cell r="D1514" t="str">
            <v>NETTOYEUR</v>
          </cell>
          <cell r="E1514" t="str">
            <v>N</v>
          </cell>
          <cell r="F1514">
            <v>0</v>
          </cell>
          <cell r="G1514">
            <v>0</v>
          </cell>
          <cell r="H1514">
            <v>86084.91</v>
          </cell>
          <cell r="I1514">
            <v>102665.99</v>
          </cell>
          <cell r="J1514">
            <v>16581.080000000002</v>
          </cell>
          <cell r="K1514">
            <v>0</v>
          </cell>
          <cell r="L1514">
            <v>15224.81</v>
          </cell>
          <cell r="M1514">
            <v>8414.1200000000008</v>
          </cell>
          <cell r="N1514">
            <v>6275.4</v>
          </cell>
          <cell r="O1514">
            <v>14527.56</v>
          </cell>
          <cell r="P1514">
            <v>22095.64</v>
          </cell>
          <cell r="Q1514">
            <v>28447.8</v>
          </cell>
          <cell r="R1514">
            <v>37472.21</v>
          </cell>
          <cell r="S1514">
            <v>45512.59</v>
          </cell>
          <cell r="T1514">
            <v>55450.22</v>
          </cell>
          <cell r="U1514">
            <v>62567.41</v>
          </cell>
          <cell r="V1514">
            <v>69354.679999999993</v>
          </cell>
          <cell r="W1514">
            <v>77951.78</v>
          </cell>
          <cell r="X1514">
            <v>86084.91</v>
          </cell>
          <cell r="Y1514">
            <v>92895.6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5865.55</v>
          </cell>
          <cell r="AE1514">
            <v>14322.75</v>
          </cell>
          <cell r="AF1514">
            <v>21458.55</v>
          </cell>
          <cell r="AG1514">
            <v>27682.94</v>
          </cell>
          <cell r="AH1514">
            <v>33827.910000000003</v>
          </cell>
          <cell r="AI1514">
            <v>41302.06</v>
          </cell>
          <cell r="AJ1514">
            <v>49230.77</v>
          </cell>
          <cell r="AK1514">
            <v>55864.2</v>
          </cell>
          <cell r="AL1514">
            <v>0</v>
          </cell>
          <cell r="AM1514">
            <v>2</v>
          </cell>
          <cell r="AN1514" t="str">
            <v/>
          </cell>
          <cell r="AO1514">
            <v>0</v>
          </cell>
          <cell r="AP1514">
            <v>0</v>
          </cell>
          <cell r="AQ1514">
            <v>0</v>
          </cell>
          <cell r="AR1514">
            <v>690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 t="str">
            <v/>
          </cell>
          <cell r="BK1514">
            <v>6000</v>
          </cell>
          <cell r="BL1514" t="str">
            <v>0</v>
          </cell>
          <cell r="BM1514" t="str">
            <v>1</v>
          </cell>
          <cell r="BN1514" t="str">
            <v/>
          </cell>
          <cell r="BO1514" t="str">
            <v/>
          </cell>
        </row>
        <row r="1515">
          <cell r="A1515">
            <v>1</v>
          </cell>
          <cell r="B1515">
            <v>4802061</v>
          </cell>
          <cell r="C1515" t="str">
            <v>EXPEDITIONS</v>
          </cell>
          <cell r="D1515" t="str">
            <v>RÉPARATION CONVOYEUR</v>
          </cell>
          <cell r="E1515" t="str">
            <v>O</v>
          </cell>
          <cell r="F1515">
            <v>0</v>
          </cell>
          <cell r="G1515">
            <v>0</v>
          </cell>
          <cell r="H1515">
            <v>25711.14</v>
          </cell>
          <cell r="I1515">
            <v>27582.2</v>
          </cell>
          <cell r="J1515">
            <v>1871.06</v>
          </cell>
          <cell r="K1515">
            <v>0</v>
          </cell>
          <cell r="L1515">
            <v>4728.1400000000003</v>
          </cell>
          <cell r="M1515">
            <v>1786.93</v>
          </cell>
          <cell r="N1515">
            <v>2286.4899999999998</v>
          </cell>
          <cell r="O1515">
            <v>4354.3</v>
          </cell>
          <cell r="P1515">
            <v>6077.01</v>
          </cell>
          <cell r="Q1515">
            <v>10114.59</v>
          </cell>
          <cell r="R1515">
            <v>12273.85</v>
          </cell>
          <cell r="S1515">
            <v>15364.76</v>
          </cell>
          <cell r="T1515">
            <v>17014.04</v>
          </cell>
          <cell r="U1515">
            <v>19161.189999999999</v>
          </cell>
          <cell r="V1515">
            <v>21714.73</v>
          </cell>
          <cell r="W1515">
            <v>23924.21</v>
          </cell>
          <cell r="X1515">
            <v>25711.14</v>
          </cell>
          <cell r="Y1515">
            <v>28652.35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5568.19</v>
          </cell>
          <cell r="AF1515">
            <v>7349.69</v>
          </cell>
          <cell r="AG1515">
            <v>8683.15</v>
          </cell>
          <cell r="AH1515">
            <v>10168.32</v>
          </cell>
          <cell r="AI1515">
            <v>12974.77</v>
          </cell>
          <cell r="AJ1515">
            <v>14817.88</v>
          </cell>
          <cell r="AK1515">
            <v>16412.259999999998</v>
          </cell>
          <cell r="AL1515">
            <v>0</v>
          </cell>
          <cell r="AM1515">
            <v>1</v>
          </cell>
          <cell r="AN1515" t="str">
            <v/>
          </cell>
          <cell r="AO1515">
            <v>0</v>
          </cell>
          <cell r="AP1515">
            <v>0</v>
          </cell>
          <cell r="AQ1515">
            <v>0</v>
          </cell>
          <cell r="AR1515">
            <v>800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 t="str">
            <v/>
          </cell>
          <cell r="BK1515">
            <v>7100</v>
          </cell>
          <cell r="BL1515" t="str">
            <v>0</v>
          </cell>
          <cell r="BM1515" t="str">
            <v>1</v>
          </cell>
          <cell r="BN1515" t="str">
            <v/>
          </cell>
          <cell r="BO1515" t="str">
            <v/>
          </cell>
        </row>
        <row r="1516">
          <cell r="A1516">
            <v>1</v>
          </cell>
          <cell r="B1516">
            <v>4251112</v>
          </cell>
          <cell r="C1516" t="str">
            <v>M.O.D.</v>
          </cell>
          <cell r="D1516" t="str">
            <v>AJUSTEUR GROUPE</v>
          </cell>
          <cell r="E1516" t="str">
            <v>N</v>
          </cell>
          <cell r="F1516">
            <v>0</v>
          </cell>
          <cell r="G1516">
            <v>0</v>
          </cell>
          <cell r="H1516">
            <v>291194.92</v>
          </cell>
          <cell r="I1516">
            <v>321719.12</v>
          </cell>
          <cell r="J1516">
            <v>30524.2</v>
          </cell>
          <cell r="K1516">
            <v>0</v>
          </cell>
          <cell r="L1516">
            <v>48356.800000000003</v>
          </cell>
          <cell r="M1516">
            <v>27546.41</v>
          </cell>
          <cell r="N1516">
            <v>28046.11</v>
          </cell>
          <cell r="O1516">
            <v>52924.66</v>
          </cell>
          <cell r="P1516">
            <v>85151.78</v>
          </cell>
          <cell r="Q1516">
            <v>108543.45</v>
          </cell>
          <cell r="R1516">
            <v>132222.31</v>
          </cell>
          <cell r="S1516">
            <v>161264.54999999999</v>
          </cell>
          <cell r="T1516">
            <v>183318.7</v>
          </cell>
          <cell r="U1516">
            <v>215921.21</v>
          </cell>
          <cell r="V1516">
            <v>240174.42</v>
          </cell>
          <cell r="W1516">
            <v>263648.51</v>
          </cell>
          <cell r="X1516">
            <v>291194.92</v>
          </cell>
          <cell r="Y1516">
            <v>312005.31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8750.94</v>
          </cell>
          <cell r="AE1516">
            <v>35674.69</v>
          </cell>
          <cell r="AF1516">
            <v>60206.96</v>
          </cell>
          <cell r="AG1516">
            <v>86448.72</v>
          </cell>
          <cell r="AH1516">
            <v>112364.47</v>
          </cell>
          <cell r="AI1516">
            <v>137018.56</v>
          </cell>
          <cell r="AJ1516">
            <v>159219.54</v>
          </cell>
          <cell r="AK1516">
            <v>181715.78</v>
          </cell>
          <cell r="AL1516">
            <v>0</v>
          </cell>
          <cell r="AM1516">
            <v>2</v>
          </cell>
          <cell r="AN1516" t="str">
            <v/>
          </cell>
          <cell r="AO1516">
            <v>0</v>
          </cell>
          <cell r="AP1516">
            <v>0</v>
          </cell>
          <cell r="AQ1516">
            <v>0</v>
          </cell>
          <cell r="AR1516">
            <v>690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 t="str">
            <v/>
          </cell>
          <cell r="BK1516">
            <v>6000</v>
          </cell>
          <cell r="BL1516" t="str">
            <v>0</v>
          </cell>
          <cell r="BM1516" t="str">
            <v>1</v>
          </cell>
          <cell r="BN1516" t="str">
            <v/>
          </cell>
          <cell r="BO1516" t="str">
            <v/>
          </cell>
        </row>
        <row r="1517">
          <cell r="A1517">
            <v>1</v>
          </cell>
          <cell r="B1517">
            <v>4251243</v>
          </cell>
          <cell r="C1517" t="str">
            <v>M.O.D.</v>
          </cell>
          <cell r="D1517" t="str">
            <v>SACS - AJUSTEURS</v>
          </cell>
          <cell r="E1517" t="str">
            <v>O</v>
          </cell>
          <cell r="F1517">
            <v>0</v>
          </cell>
          <cell r="G1517">
            <v>0</v>
          </cell>
          <cell r="H1517">
            <v>221925.73</v>
          </cell>
          <cell r="I1517">
            <v>264028.74</v>
          </cell>
          <cell r="J1517">
            <v>42103.01</v>
          </cell>
          <cell r="K1517">
            <v>0</v>
          </cell>
          <cell r="L1517">
            <v>33256.78</v>
          </cell>
          <cell r="M1517">
            <v>22086.39</v>
          </cell>
          <cell r="N1517">
            <v>22074.720000000001</v>
          </cell>
          <cell r="O1517">
            <v>43472.29</v>
          </cell>
          <cell r="P1517">
            <v>63171.94</v>
          </cell>
          <cell r="Q1517">
            <v>82245.7</v>
          </cell>
          <cell r="R1517">
            <v>110553.28</v>
          </cell>
          <cell r="S1517">
            <v>130292.18</v>
          </cell>
          <cell r="T1517">
            <v>153635.18</v>
          </cell>
          <cell r="U1517">
            <v>171297.49</v>
          </cell>
          <cell r="V1517">
            <v>184385.91</v>
          </cell>
          <cell r="W1517">
            <v>199839.35</v>
          </cell>
          <cell r="X1517">
            <v>221925.73</v>
          </cell>
          <cell r="Y1517">
            <v>233096.12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8008.34</v>
          </cell>
          <cell r="AE1517">
            <v>38112.879999999997</v>
          </cell>
          <cell r="AF1517">
            <v>70557.850000000006</v>
          </cell>
          <cell r="AG1517">
            <v>108779.6</v>
          </cell>
          <cell r="AH1517">
            <v>132372.4</v>
          </cell>
          <cell r="AI1517">
            <v>158201.76</v>
          </cell>
          <cell r="AJ1517">
            <v>183985.77</v>
          </cell>
          <cell r="AK1517">
            <v>210930.5</v>
          </cell>
          <cell r="AL1517">
            <v>0</v>
          </cell>
          <cell r="AM1517">
            <v>3</v>
          </cell>
          <cell r="AN1517" t="str">
            <v/>
          </cell>
          <cell r="AO1517">
            <v>0</v>
          </cell>
          <cell r="AP1517">
            <v>0</v>
          </cell>
          <cell r="AQ1517">
            <v>0</v>
          </cell>
          <cell r="AR1517">
            <v>690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 t="str">
            <v/>
          </cell>
          <cell r="BK1517">
            <v>6000</v>
          </cell>
          <cell r="BL1517" t="str">
            <v>0</v>
          </cell>
          <cell r="BM1517" t="str">
            <v>1</v>
          </cell>
          <cell r="BN1517" t="str">
            <v/>
          </cell>
          <cell r="BO1517" t="str">
            <v/>
          </cell>
        </row>
        <row r="1518">
          <cell r="A1518">
            <v>1</v>
          </cell>
          <cell r="B1518">
            <v>1333060</v>
          </cell>
          <cell r="C1518" t="str">
            <v>DO NOT USE SEE 131-3060</v>
          </cell>
          <cell r="D1518" t="str">
            <v/>
          </cell>
          <cell r="E1518" t="str">
            <v>O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>
            <v>0</v>
          </cell>
          <cell r="AR1518">
            <v>290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240</v>
          </cell>
          <cell r="BJ1518" t="str">
            <v/>
          </cell>
          <cell r="BK1518">
            <v>1700</v>
          </cell>
          <cell r="BL1518" t="str">
            <v>1</v>
          </cell>
          <cell r="BM1518" t="str">
            <v>1</v>
          </cell>
          <cell r="BN1518" t="str">
            <v/>
          </cell>
          <cell r="BO1518" t="str">
            <v/>
          </cell>
        </row>
        <row r="1519">
          <cell r="A1519">
            <v>1</v>
          </cell>
          <cell r="B1519">
            <v>1333111</v>
          </cell>
          <cell r="C1519" t="str">
            <v>POMPE HAUTE PRESSION</v>
          </cell>
          <cell r="D1519" t="str">
            <v/>
          </cell>
          <cell r="E1519" t="str">
            <v>O</v>
          </cell>
          <cell r="F1519">
            <v>0</v>
          </cell>
          <cell r="G1519">
            <v>0</v>
          </cell>
          <cell r="H1519">
            <v>45906.78</v>
          </cell>
          <cell r="I1519">
            <v>1793.02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45906.78</v>
          </cell>
          <cell r="O1519">
            <v>45906.78</v>
          </cell>
          <cell r="P1519">
            <v>45906.78</v>
          </cell>
          <cell r="Q1519">
            <v>45906.78</v>
          </cell>
          <cell r="R1519">
            <v>45906.78</v>
          </cell>
          <cell r="S1519">
            <v>45906.78</v>
          </cell>
          <cell r="T1519">
            <v>45906.78</v>
          </cell>
          <cell r="U1519">
            <v>45906.78</v>
          </cell>
          <cell r="V1519">
            <v>45906.78</v>
          </cell>
          <cell r="W1519">
            <v>45906.78</v>
          </cell>
          <cell r="X1519">
            <v>45906.78</v>
          </cell>
          <cell r="Y1519">
            <v>45906.78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30959.26</v>
          </cell>
          <cell r="AH1519">
            <v>30959.26</v>
          </cell>
          <cell r="AI1519">
            <v>41898.300000000003</v>
          </cell>
          <cell r="AJ1519">
            <v>43274.3</v>
          </cell>
          <cell r="AK1519">
            <v>44113.760000000002</v>
          </cell>
          <cell r="AL1519">
            <v>0</v>
          </cell>
          <cell r="AM1519">
            <v>1</v>
          </cell>
          <cell r="AN1519" t="str">
            <v/>
          </cell>
          <cell r="AO1519">
            <v>0</v>
          </cell>
          <cell r="AP1519">
            <v>0</v>
          </cell>
          <cell r="AQ1519">
            <v>0</v>
          </cell>
          <cell r="AR1519">
            <v>290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240</v>
          </cell>
          <cell r="BJ1519" t="str">
            <v/>
          </cell>
          <cell r="BK1519">
            <v>1700</v>
          </cell>
          <cell r="BL1519" t="str">
            <v>1</v>
          </cell>
          <cell r="BM1519" t="str">
            <v>1</v>
          </cell>
          <cell r="BN1519" t="str">
            <v/>
          </cell>
          <cell r="BO1519" t="str">
            <v/>
          </cell>
        </row>
        <row r="1520">
          <cell r="A1520">
            <v>1</v>
          </cell>
          <cell r="B1520">
            <v>4341081</v>
          </cell>
          <cell r="C1520" t="str">
            <v>HABILLAGE DE MACHINE</v>
          </cell>
          <cell r="D1520" t="str">
            <v>ANTIPICK 4000 SENTINELLE</v>
          </cell>
          <cell r="E1520" t="str">
            <v>O</v>
          </cell>
          <cell r="F1520">
            <v>0</v>
          </cell>
          <cell r="G1520">
            <v>0</v>
          </cell>
          <cell r="H1520">
            <v>-2728.75</v>
          </cell>
          <cell r="I1520">
            <v>0</v>
          </cell>
          <cell r="J1520">
            <v>2728.75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-2728.75</v>
          </cell>
          <cell r="S1520">
            <v>-2728.75</v>
          </cell>
          <cell r="T1520">
            <v>-2728.75</v>
          </cell>
          <cell r="U1520">
            <v>-2728.75</v>
          </cell>
          <cell r="V1520">
            <v>-2728.75</v>
          </cell>
          <cell r="W1520">
            <v>-2728.75</v>
          </cell>
          <cell r="X1520">
            <v>-2728.75</v>
          </cell>
          <cell r="Y1520">
            <v>-2728.75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15832.65</v>
          </cell>
          <cell r="AE1520">
            <v>24190</v>
          </cell>
          <cell r="AF1520">
            <v>24190</v>
          </cell>
          <cell r="AG1520">
            <v>24190</v>
          </cell>
          <cell r="AH1520">
            <v>24190</v>
          </cell>
          <cell r="AI1520">
            <v>24190</v>
          </cell>
          <cell r="AJ1520">
            <v>24190</v>
          </cell>
          <cell r="AK1520">
            <v>28615</v>
          </cell>
          <cell r="AL1520">
            <v>0</v>
          </cell>
          <cell r="AM1520">
            <v>1</v>
          </cell>
          <cell r="AN1520" t="str">
            <v/>
          </cell>
          <cell r="AO1520">
            <v>0</v>
          </cell>
          <cell r="AP1520">
            <v>0</v>
          </cell>
          <cell r="AQ1520">
            <v>0</v>
          </cell>
          <cell r="AR1520">
            <v>740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 t="str">
            <v/>
          </cell>
          <cell r="BK1520">
            <v>6300</v>
          </cell>
          <cell r="BL1520" t="str">
            <v>0</v>
          </cell>
          <cell r="BM1520" t="str">
            <v>1</v>
          </cell>
          <cell r="BN1520" t="str">
            <v/>
          </cell>
          <cell r="BO1520" t="str">
            <v/>
          </cell>
        </row>
        <row r="1521">
          <cell r="A1521">
            <v>1</v>
          </cell>
          <cell r="B1521">
            <v>1263120</v>
          </cell>
          <cell r="C1521" t="str">
            <v>INFORMATIQUE</v>
          </cell>
          <cell r="D1521" t="str">
            <v>CAMERA DIGITALE</v>
          </cell>
          <cell r="E1521" t="str">
            <v>N</v>
          </cell>
          <cell r="F1521">
            <v>0</v>
          </cell>
          <cell r="G1521">
            <v>0</v>
          </cell>
          <cell r="H1521">
            <v>2335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2335</v>
          </cell>
          <cell r="O1521">
            <v>2335</v>
          </cell>
          <cell r="P1521">
            <v>2335</v>
          </cell>
          <cell r="Q1521">
            <v>2335</v>
          </cell>
          <cell r="R1521">
            <v>2335</v>
          </cell>
          <cell r="S1521">
            <v>2335</v>
          </cell>
          <cell r="T1521">
            <v>2335</v>
          </cell>
          <cell r="U1521">
            <v>2335</v>
          </cell>
          <cell r="V1521">
            <v>2335</v>
          </cell>
          <cell r="W1521">
            <v>2335</v>
          </cell>
          <cell r="X1521">
            <v>2335</v>
          </cell>
          <cell r="Y1521">
            <v>2335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2335</v>
          </cell>
          <cell r="AE1521">
            <v>4670</v>
          </cell>
          <cell r="AF1521">
            <v>2335</v>
          </cell>
          <cell r="AG1521">
            <v>2335</v>
          </cell>
          <cell r="AH1521">
            <v>2470</v>
          </cell>
          <cell r="AI1521">
            <v>2470</v>
          </cell>
          <cell r="AJ1521">
            <v>2470</v>
          </cell>
          <cell r="AK1521">
            <v>2335</v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>
            <v>0</v>
          </cell>
          <cell r="AR1521">
            <v>310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36</v>
          </cell>
          <cell r="BJ1521" t="str">
            <v/>
          </cell>
          <cell r="BK1521">
            <v>1700</v>
          </cell>
          <cell r="BL1521" t="str">
            <v>1</v>
          </cell>
          <cell r="BM1521" t="str">
            <v>1</v>
          </cell>
          <cell r="BN1521" t="str">
            <v/>
          </cell>
          <cell r="BO1521" t="str">
            <v/>
          </cell>
        </row>
        <row r="1522">
          <cell r="A1522">
            <v>1</v>
          </cell>
          <cell r="B1522">
            <v>2142061</v>
          </cell>
          <cell r="C1522" t="str">
            <v>D.A.S. D012</v>
          </cell>
          <cell r="D1522" t="str">
            <v>REER ADD CADRE</v>
          </cell>
          <cell r="E1522" t="str">
            <v>N</v>
          </cell>
          <cell r="F1522">
            <v>0</v>
          </cell>
          <cell r="G1522">
            <v>0</v>
          </cell>
          <cell r="H1522">
            <v>649.61</v>
          </cell>
          <cell r="I1522">
            <v>11956.68</v>
          </cell>
          <cell r="J1522">
            <v>11740.72</v>
          </cell>
          <cell r="K1522">
            <v>0</v>
          </cell>
          <cell r="L1522">
            <v>964.8</v>
          </cell>
          <cell r="M1522">
            <v>578.88</v>
          </cell>
          <cell r="N1522">
            <v>1160.76</v>
          </cell>
          <cell r="O1522">
            <v>865.57</v>
          </cell>
          <cell r="P1522">
            <v>1160.76</v>
          </cell>
          <cell r="Q1522">
            <v>761.11</v>
          </cell>
          <cell r="R1522">
            <v>656.65</v>
          </cell>
          <cell r="S1522">
            <v>899.61</v>
          </cell>
          <cell r="T1522">
            <v>1771.45</v>
          </cell>
          <cell r="U1522">
            <v>649.61</v>
          </cell>
          <cell r="V1522">
            <v>456.65</v>
          </cell>
          <cell r="W1522">
            <v>456.65</v>
          </cell>
          <cell r="X1522">
            <v>649.61</v>
          </cell>
          <cell r="Y1522">
            <v>263.69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945.57</v>
          </cell>
          <cell r="AE1522">
            <v>995.57</v>
          </cell>
          <cell r="AF1522">
            <v>1260.76</v>
          </cell>
          <cell r="AG1522">
            <v>925.57</v>
          </cell>
          <cell r="AH1522">
            <v>865.57</v>
          </cell>
          <cell r="AI1522">
            <v>1160.76</v>
          </cell>
          <cell r="AJ1522">
            <v>865.57</v>
          </cell>
          <cell r="AK1522">
            <v>865.57</v>
          </cell>
          <cell r="AL1522">
            <v>0</v>
          </cell>
          <cell r="AM1522">
            <v>1</v>
          </cell>
          <cell r="AN1522" t="str">
            <v/>
          </cell>
          <cell r="AO1522">
            <v>0</v>
          </cell>
          <cell r="AP1522">
            <v>0</v>
          </cell>
          <cell r="AQ1522">
            <v>0</v>
          </cell>
          <cell r="AR1522">
            <v>420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 t="str">
            <v/>
          </cell>
          <cell r="BK1522">
            <v>2100</v>
          </cell>
          <cell r="BL1522" t="str">
            <v>0</v>
          </cell>
          <cell r="BM1522" t="str">
            <v>1</v>
          </cell>
          <cell r="BN1522" t="str">
            <v/>
          </cell>
          <cell r="BO1522" t="str">
            <v/>
          </cell>
        </row>
        <row r="1523">
          <cell r="A1523">
            <v>1</v>
          </cell>
          <cell r="B1523">
            <v>2142062</v>
          </cell>
          <cell r="C1523" t="str">
            <v>D.A.S. D010</v>
          </cell>
          <cell r="D1523" t="str">
            <v>RETR CIE SYNDIQUÉS</v>
          </cell>
          <cell r="E1523" t="str">
            <v>N</v>
          </cell>
          <cell r="F1523">
            <v>0</v>
          </cell>
          <cell r="G1523">
            <v>0</v>
          </cell>
          <cell r="H1523">
            <v>21314.98</v>
          </cell>
          <cell r="I1523">
            <v>227635.13</v>
          </cell>
          <cell r="J1523">
            <v>231080.99</v>
          </cell>
          <cell r="K1523">
            <v>0</v>
          </cell>
          <cell r="L1523">
            <v>21314.98</v>
          </cell>
          <cell r="M1523">
            <v>13438.05</v>
          </cell>
          <cell r="N1523">
            <v>20632.89</v>
          </cell>
          <cell r="O1523">
            <v>17284.98</v>
          </cell>
          <cell r="P1523">
            <v>20293.79</v>
          </cell>
          <cell r="Q1523">
            <v>16705.150000000001</v>
          </cell>
          <cell r="R1523">
            <v>18746.54</v>
          </cell>
          <cell r="S1523">
            <v>23673.74</v>
          </cell>
          <cell r="T1523">
            <v>18509.38</v>
          </cell>
          <cell r="U1523">
            <v>22056.78</v>
          </cell>
          <cell r="V1523">
            <v>17289.38</v>
          </cell>
          <cell r="W1523">
            <v>17286.689999999999</v>
          </cell>
          <cell r="X1523">
            <v>21314.98</v>
          </cell>
          <cell r="Y1523">
            <v>13438.05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7760.74</v>
          </cell>
          <cell r="AE1523">
            <v>15776.74</v>
          </cell>
          <cell r="AF1523">
            <v>19127.47</v>
          </cell>
          <cell r="AG1523">
            <v>15426.52</v>
          </cell>
          <cell r="AH1523">
            <v>12070.73</v>
          </cell>
          <cell r="AI1523">
            <v>15450.45</v>
          </cell>
          <cell r="AJ1523">
            <v>12663.69</v>
          </cell>
          <cell r="AK1523">
            <v>17869.12</v>
          </cell>
          <cell r="AL1523">
            <v>0</v>
          </cell>
          <cell r="AM1523">
            <v>2</v>
          </cell>
          <cell r="AN1523" t="str">
            <v/>
          </cell>
          <cell r="AO1523">
            <v>0</v>
          </cell>
          <cell r="AP1523">
            <v>0</v>
          </cell>
          <cell r="AQ1523">
            <v>0</v>
          </cell>
          <cell r="AR1523">
            <v>420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 t="str">
            <v/>
          </cell>
          <cell r="BK1523">
            <v>2100</v>
          </cell>
          <cell r="BL1523" t="str">
            <v>0</v>
          </cell>
          <cell r="BM1523" t="str">
            <v>1</v>
          </cell>
          <cell r="BN1523" t="str">
            <v/>
          </cell>
          <cell r="BO1523" t="str">
            <v/>
          </cell>
        </row>
        <row r="1524">
          <cell r="A1524">
            <v>1</v>
          </cell>
          <cell r="B1524">
            <v>2142063</v>
          </cell>
          <cell r="C1524" t="str">
            <v>D.A.S. D018</v>
          </cell>
          <cell r="D1524" t="str">
            <v>FOND FTQ EMPLOYÉ SUNDIQUÉ</v>
          </cell>
          <cell r="E1524" t="str">
            <v>N</v>
          </cell>
          <cell r="F1524">
            <v>0</v>
          </cell>
          <cell r="G1524">
            <v>0</v>
          </cell>
          <cell r="H1524">
            <v>11056.75</v>
          </cell>
          <cell r="I1524">
            <v>104779.45</v>
          </cell>
          <cell r="J1524">
            <v>108033.2</v>
          </cell>
          <cell r="K1524">
            <v>0</v>
          </cell>
          <cell r="L1524">
            <v>11056.75</v>
          </cell>
          <cell r="M1524">
            <v>6626.05</v>
          </cell>
          <cell r="N1524">
            <v>9461.4500000000007</v>
          </cell>
          <cell r="O1524">
            <v>8573.7800000000007</v>
          </cell>
          <cell r="P1524">
            <v>10136.07</v>
          </cell>
          <cell r="Q1524">
            <v>8295.2999999999993</v>
          </cell>
          <cell r="R1524">
            <v>8753.75</v>
          </cell>
          <cell r="S1524">
            <v>12542.1</v>
          </cell>
          <cell r="T1524">
            <v>9441.4</v>
          </cell>
          <cell r="U1524">
            <v>11521.35</v>
          </cell>
          <cell r="V1524">
            <v>9323.7000000000007</v>
          </cell>
          <cell r="W1524">
            <v>8927.5499999999993</v>
          </cell>
          <cell r="X1524">
            <v>11056.75</v>
          </cell>
          <cell r="Y1524">
            <v>6626.05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245.32</v>
          </cell>
          <cell r="AE1524">
            <v>5676.26</v>
          </cell>
          <cell r="AF1524">
            <v>8466.85</v>
          </cell>
          <cell r="AG1524">
            <v>7118.4</v>
          </cell>
          <cell r="AH1524">
            <v>7656.85</v>
          </cell>
          <cell r="AI1524">
            <v>9483.75</v>
          </cell>
          <cell r="AJ1524">
            <v>7543</v>
          </cell>
          <cell r="AK1524">
            <v>7803</v>
          </cell>
          <cell r="AL1524">
            <v>0</v>
          </cell>
          <cell r="AM1524">
            <v>3</v>
          </cell>
          <cell r="AN1524" t="str">
            <v/>
          </cell>
          <cell r="AO1524">
            <v>0</v>
          </cell>
          <cell r="AP1524">
            <v>0</v>
          </cell>
          <cell r="AQ1524">
            <v>0</v>
          </cell>
          <cell r="AR1524">
            <v>420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 t="str">
            <v/>
          </cell>
          <cell r="BK1524">
            <v>2100</v>
          </cell>
          <cell r="BL1524" t="str">
            <v>0</v>
          </cell>
          <cell r="BM1524" t="str">
            <v>1</v>
          </cell>
          <cell r="BN1524" t="str">
            <v/>
          </cell>
          <cell r="BO1524" t="str">
            <v/>
          </cell>
        </row>
        <row r="1525">
          <cell r="A1525">
            <v>1</v>
          </cell>
          <cell r="B1525">
            <v>2142111</v>
          </cell>
          <cell r="C1525" t="str">
            <v>D.A.S. D020</v>
          </cell>
          <cell r="D1525" t="str">
            <v>CONT SYND USINE</v>
          </cell>
          <cell r="E1525" t="str">
            <v>N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1</v>
          </cell>
          <cell r="AN1525" t="str">
            <v/>
          </cell>
          <cell r="AO1525">
            <v>0</v>
          </cell>
          <cell r="AP1525">
            <v>0</v>
          </cell>
          <cell r="AQ1525">
            <v>0</v>
          </cell>
          <cell r="AR1525">
            <v>420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 t="str">
            <v/>
          </cell>
          <cell r="BK1525">
            <v>2100</v>
          </cell>
          <cell r="BL1525" t="str">
            <v>0</v>
          </cell>
          <cell r="BM1525" t="str">
            <v>1</v>
          </cell>
          <cell r="BN1525" t="str">
            <v/>
          </cell>
          <cell r="BO1525" t="str">
            <v/>
          </cell>
        </row>
        <row r="1526">
          <cell r="A1526">
            <v>1</v>
          </cell>
          <cell r="B1526">
            <v>2222021</v>
          </cell>
          <cell r="C1526" t="str">
            <v>SALAIRE A PAYER G203 @205</v>
          </cell>
          <cell r="D1526" t="str">
            <v>CONGÉ FLOTTEUR</v>
          </cell>
          <cell r="E1526" t="str">
            <v>N</v>
          </cell>
          <cell r="F1526">
            <v>0</v>
          </cell>
          <cell r="G1526">
            <v>0</v>
          </cell>
          <cell r="H1526">
            <v>450700.1</v>
          </cell>
          <cell r="I1526">
            <v>109294.02</v>
          </cell>
          <cell r="J1526">
            <v>354105.29</v>
          </cell>
          <cell r="K1526">
            <v>0</v>
          </cell>
          <cell r="L1526">
            <v>3975.64</v>
          </cell>
          <cell r="M1526">
            <v>22150.95</v>
          </cell>
          <cell r="N1526">
            <v>236790.71</v>
          </cell>
          <cell r="O1526">
            <v>258596.35</v>
          </cell>
          <cell r="P1526">
            <v>285570.05</v>
          </cell>
          <cell r="Q1526">
            <v>303792.71999999997</v>
          </cell>
          <cell r="R1526">
            <v>323850.40999999997</v>
          </cell>
          <cell r="S1526">
            <v>342715.78</v>
          </cell>
          <cell r="T1526">
            <v>357304.59</v>
          </cell>
          <cell r="U1526">
            <v>376131.46</v>
          </cell>
          <cell r="V1526">
            <v>398638.12</v>
          </cell>
          <cell r="W1526">
            <v>420011.92</v>
          </cell>
          <cell r="X1526">
            <v>450700.1</v>
          </cell>
          <cell r="Y1526">
            <v>468875.41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12331.87</v>
          </cell>
          <cell r="AE1526">
            <v>36416.89</v>
          </cell>
          <cell r="AF1526">
            <v>62693.06</v>
          </cell>
          <cell r="AG1526">
            <v>91882.68</v>
          </cell>
          <cell r="AH1526">
            <v>117983.36</v>
          </cell>
          <cell r="AI1526">
            <v>153440.67000000001</v>
          </cell>
          <cell r="AJ1526">
            <v>179230.26</v>
          </cell>
          <cell r="AK1526">
            <v>205888.83</v>
          </cell>
          <cell r="AL1526">
            <v>0</v>
          </cell>
          <cell r="AM1526">
            <v>1</v>
          </cell>
          <cell r="AN1526" t="str">
            <v/>
          </cell>
          <cell r="AO1526">
            <v>0</v>
          </cell>
          <cell r="AP1526">
            <v>0</v>
          </cell>
          <cell r="AQ1526">
            <v>0</v>
          </cell>
          <cell r="AR1526">
            <v>420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 t="str">
            <v/>
          </cell>
          <cell r="BK1526">
            <v>2100</v>
          </cell>
          <cell r="BL1526" t="str">
            <v>0</v>
          </cell>
          <cell r="BM1526" t="str">
            <v>1</v>
          </cell>
          <cell r="BN1526" t="str">
            <v/>
          </cell>
          <cell r="BO1526" t="str">
            <v/>
          </cell>
        </row>
        <row r="1527">
          <cell r="A1527">
            <v>1</v>
          </cell>
          <cell r="B1527">
            <v>2142160</v>
          </cell>
          <cell r="C1527" t="str">
            <v>D.A.S D061 D062</v>
          </cell>
          <cell r="D1527" t="str">
            <v>OUTILS ET UNIFORMES</v>
          </cell>
          <cell r="E1527" t="str">
            <v>N</v>
          </cell>
          <cell r="F1527">
            <v>0</v>
          </cell>
          <cell r="G1527">
            <v>0</v>
          </cell>
          <cell r="H1527">
            <v>8831.91</v>
          </cell>
          <cell r="I1527">
            <v>0</v>
          </cell>
          <cell r="J1527">
            <v>6927.06</v>
          </cell>
          <cell r="K1527">
            <v>0</v>
          </cell>
          <cell r="L1527">
            <v>300</v>
          </cell>
          <cell r="M1527">
            <v>135</v>
          </cell>
          <cell r="N1527">
            <v>2206.65</v>
          </cell>
          <cell r="O1527">
            <v>3508.65</v>
          </cell>
          <cell r="P1527">
            <v>4125.46</v>
          </cell>
          <cell r="Q1527">
            <v>4405.46</v>
          </cell>
          <cell r="R1527">
            <v>5413.86</v>
          </cell>
          <cell r="S1527">
            <v>5860.12</v>
          </cell>
          <cell r="T1527">
            <v>6922.52</v>
          </cell>
          <cell r="U1527">
            <v>7434.01</v>
          </cell>
          <cell r="V1527">
            <v>7714.51</v>
          </cell>
          <cell r="W1527">
            <v>8353.01</v>
          </cell>
          <cell r="X1527">
            <v>8831.91</v>
          </cell>
          <cell r="Y1527">
            <v>8666.91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20</v>
          </cell>
          <cell r="AF1527">
            <v>458</v>
          </cell>
          <cell r="AG1527">
            <v>753.05</v>
          </cell>
          <cell r="AH1527">
            <v>1208.05</v>
          </cell>
          <cell r="AI1527">
            <v>1620.22</v>
          </cell>
          <cell r="AJ1527">
            <v>1810.22</v>
          </cell>
          <cell r="AK1527">
            <v>1904.85</v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>
            <v>0</v>
          </cell>
          <cell r="AR1527">
            <v>420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 t="str">
            <v/>
          </cell>
          <cell r="BK1527">
            <v>2100</v>
          </cell>
          <cell r="BL1527" t="str">
            <v>0</v>
          </cell>
          <cell r="BM1527" t="str">
            <v>1</v>
          </cell>
          <cell r="BN1527" t="str">
            <v/>
          </cell>
          <cell r="BO1527" t="str">
            <v/>
          </cell>
        </row>
        <row r="1528">
          <cell r="A1528">
            <v>1</v>
          </cell>
          <cell r="B1528">
            <v>2142999</v>
          </cell>
          <cell r="C1528" t="str">
            <v>D.A.S</v>
          </cell>
          <cell r="D1528" t="str">
            <v>DIVERS RHU (TJR VIDE)</v>
          </cell>
          <cell r="E1528" t="str">
            <v>N</v>
          </cell>
          <cell r="F1528">
            <v>0</v>
          </cell>
          <cell r="G1528">
            <v>0</v>
          </cell>
          <cell r="H1528">
            <v>0</v>
          </cell>
          <cell r="I1528">
            <v>165459.25</v>
          </cell>
          <cell r="J1528">
            <v>165459.25</v>
          </cell>
          <cell r="K1528">
            <v>0</v>
          </cell>
          <cell r="L1528">
            <v>10307.370000000001</v>
          </cell>
          <cell r="M1528">
            <v>10307.370000000001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9</v>
          </cell>
          <cell r="AN1528" t="str">
            <v/>
          </cell>
          <cell r="AO1528">
            <v>0</v>
          </cell>
          <cell r="AP1528">
            <v>0</v>
          </cell>
          <cell r="AQ1528">
            <v>0</v>
          </cell>
          <cell r="AR1528">
            <v>420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 t="str">
            <v/>
          </cell>
          <cell r="BK1528">
            <v>2100</v>
          </cell>
          <cell r="BL1528" t="str">
            <v>0</v>
          </cell>
          <cell r="BM1528" t="str">
            <v>1</v>
          </cell>
          <cell r="BN1528" t="str">
            <v/>
          </cell>
          <cell r="BO1528" t="str">
            <v/>
          </cell>
        </row>
        <row r="1529">
          <cell r="A1529">
            <v>1</v>
          </cell>
          <cell r="B1529">
            <v>4435001</v>
          </cell>
          <cell r="C1529" t="str">
            <v>CONTRÔLE QUALITÉ</v>
          </cell>
          <cell r="D1529" t="str">
            <v>PROJET KAISEN SMED MOD</v>
          </cell>
          <cell r="E1529" t="str">
            <v>O</v>
          </cell>
          <cell r="F1529">
            <v>0</v>
          </cell>
          <cell r="G1529">
            <v>0</v>
          </cell>
          <cell r="H1529">
            <v>10514.74</v>
          </cell>
          <cell r="I1529">
            <v>10953.81</v>
          </cell>
          <cell r="J1529">
            <v>439.07</v>
          </cell>
          <cell r="K1529">
            <v>0</v>
          </cell>
          <cell r="L1529">
            <v>0</v>
          </cell>
          <cell r="M1529">
            <v>0</v>
          </cell>
          <cell r="N1529">
            <v>3250.57</v>
          </cell>
          <cell r="O1529">
            <v>4652.58</v>
          </cell>
          <cell r="P1529">
            <v>4912.99</v>
          </cell>
          <cell r="Q1529">
            <v>4937.3999999999996</v>
          </cell>
          <cell r="R1529">
            <v>9691.81</v>
          </cell>
          <cell r="S1529">
            <v>10417.040000000001</v>
          </cell>
          <cell r="T1529">
            <v>10514.74</v>
          </cell>
          <cell r="U1529">
            <v>10514.74</v>
          </cell>
          <cell r="V1529">
            <v>10514.74</v>
          </cell>
          <cell r="W1529">
            <v>10514.74</v>
          </cell>
          <cell r="X1529">
            <v>10514.74</v>
          </cell>
          <cell r="Y1529">
            <v>10514.74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5742.82</v>
          </cell>
          <cell r="AE1529">
            <v>8446.4500000000007</v>
          </cell>
          <cell r="AF1529">
            <v>8446.4500000000007</v>
          </cell>
          <cell r="AG1529">
            <v>9755.0400000000009</v>
          </cell>
          <cell r="AH1529">
            <v>9709.92</v>
          </cell>
          <cell r="AI1529">
            <v>9709.92</v>
          </cell>
          <cell r="AJ1529">
            <v>9709.92</v>
          </cell>
          <cell r="AK1529">
            <v>9709.92</v>
          </cell>
          <cell r="AL1529">
            <v>0</v>
          </cell>
          <cell r="AM1529">
            <v>1</v>
          </cell>
          <cell r="AN1529" t="str">
            <v/>
          </cell>
          <cell r="AO1529">
            <v>0</v>
          </cell>
          <cell r="AP1529">
            <v>0</v>
          </cell>
          <cell r="AQ1529">
            <v>0</v>
          </cell>
          <cell r="AR1529">
            <v>720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 t="str">
            <v/>
          </cell>
          <cell r="BK1529">
            <v>7000</v>
          </cell>
          <cell r="BL1529" t="str">
            <v>0</v>
          </cell>
          <cell r="BM1529" t="str">
            <v>1</v>
          </cell>
          <cell r="BN1529" t="str">
            <v/>
          </cell>
          <cell r="BO1529" t="str">
            <v/>
          </cell>
        </row>
        <row r="1530">
          <cell r="A1530">
            <v>1</v>
          </cell>
          <cell r="B1530">
            <v>4435002</v>
          </cell>
          <cell r="C1530" t="str">
            <v>CONTRÔLE QUALITÉ</v>
          </cell>
          <cell r="D1530" t="str">
            <v>PROJET KAISEN SMED MOD</v>
          </cell>
          <cell r="E1530" t="str">
            <v>O</v>
          </cell>
          <cell r="F1530">
            <v>0</v>
          </cell>
          <cell r="G1530">
            <v>0</v>
          </cell>
          <cell r="H1530">
            <v>269</v>
          </cell>
          <cell r="I1530">
            <v>308.13</v>
          </cell>
          <cell r="J1530">
            <v>39.130000000000003</v>
          </cell>
          <cell r="K1530">
            <v>0</v>
          </cell>
          <cell r="L1530">
            <v>0</v>
          </cell>
          <cell r="M1530">
            <v>0</v>
          </cell>
          <cell r="N1530">
            <v>269</v>
          </cell>
          <cell r="O1530">
            <v>269</v>
          </cell>
          <cell r="P1530">
            <v>269</v>
          </cell>
          <cell r="Q1530">
            <v>269</v>
          </cell>
          <cell r="R1530">
            <v>269</v>
          </cell>
          <cell r="S1530">
            <v>269</v>
          </cell>
          <cell r="T1530">
            <v>269</v>
          </cell>
          <cell r="U1530">
            <v>269</v>
          </cell>
          <cell r="V1530">
            <v>269</v>
          </cell>
          <cell r="W1530">
            <v>269</v>
          </cell>
          <cell r="X1530">
            <v>269</v>
          </cell>
          <cell r="Y1530">
            <v>269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155.44999999999999</v>
          </cell>
          <cell r="AE1530">
            <v>274.39</v>
          </cell>
          <cell r="AF1530">
            <v>274.39</v>
          </cell>
          <cell r="AG1530">
            <v>274.39</v>
          </cell>
          <cell r="AH1530">
            <v>274.39</v>
          </cell>
          <cell r="AI1530">
            <v>274.39</v>
          </cell>
          <cell r="AJ1530">
            <v>1230.46</v>
          </cell>
          <cell r="AK1530">
            <v>2332.2800000000002</v>
          </cell>
          <cell r="AL1530">
            <v>0</v>
          </cell>
          <cell r="AM1530">
            <v>2</v>
          </cell>
          <cell r="AN1530" t="str">
            <v/>
          </cell>
          <cell r="AO1530">
            <v>0</v>
          </cell>
          <cell r="AP1530">
            <v>0</v>
          </cell>
          <cell r="AQ1530">
            <v>0</v>
          </cell>
          <cell r="AR1530">
            <v>720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 t="str">
            <v/>
          </cell>
          <cell r="BK1530">
            <v>7000</v>
          </cell>
          <cell r="BL1530" t="str">
            <v>0</v>
          </cell>
          <cell r="BM1530" t="str">
            <v>1</v>
          </cell>
          <cell r="BN1530" t="str">
            <v/>
          </cell>
          <cell r="BO1530" t="str">
            <v/>
          </cell>
        </row>
        <row r="1531">
          <cell r="A1531">
            <v>1</v>
          </cell>
          <cell r="B1531">
            <v>4435003</v>
          </cell>
          <cell r="C1531" t="str">
            <v>CONTRÔLE QUALITÉ</v>
          </cell>
          <cell r="D1531" t="str">
            <v>PROJET KAISEN SMED MOD</v>
          </cell>
          <cell r="E1531" t="str">
            <v>O</v>
          </cell>
          <cell r="F1531">
            <v>0</v>
          </cell>
          <cell r="G1531">
            <v>0</v>
          </cell>
          <cell r="H1531">
            <v>20168.87</v>
          </cell>
          <cell r="I1531">
            <v>20568.57</v>
          </cell>
          <cell r="J1531">
            <v>399.7</v>
          </cell>
          <cell r="K1531">
            <v>0</v>
          </cell>
          <cell r="L1531">
            <v>868.35</v>
          </cell>
          <cell r="M1531">
            <v>439.67</v>
          </cell>
          <cell r="N1531">
            <v>3761.82</v>
          </cell>
          <cell r="O1531">
            <v>11302.81</v>
          </cell>
          <cell r="P1531">
            <v>18377.96</v>
          </cell>
          <cell r="Q1531">
            <v>18759.599999999999</v>
          </cell>
          <cell r="R1531">
            <v>19341.96</v>
          </cell>
          <cell r="S1531">
            <v>19341.96</v>
          </cell>
          <cell r="T1531">
            <v>19341.96</v>
          </cell>
          <cell r="U1531">
            <v>19341.96</v>
          </cell>
          <cell r="V1531">
            <v>19729.2</v>
          </cell>
          <cell r="W1531">
            <v>19729.2</v>
          </cell>
          <cell r="X1531">
            <v>20168.87</v>
          </cell>
          <cell r="Y1531">
            <v>20597.55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3995.82</v>
          </cell>
          <cell r="AL1531">
            <v>0</v>
          </cell>
          <cell r="AM1531">
            <v>3</v>
          </cell>
          <cell r="AN1531" t="str">
            <v/>
          </cell>
          <cell r="AO1531">
            <v>0</v>
          </cell>
          <cell r="AP1531">
            <v>0</v>
          </cell>
          <cell r="AQ1531">
            <v>0</v>
          </cell>
          <cell r="AR1531">
            <v>720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 t="str">
            <v/>
          </cell>
          <cell r="BK1531">
            <v>7000</v>
          </cell>
          <cell r="BL1531" t="str">
            <v>0</v>
          </cell>
          <cell r="BM1531" t="str">
            <v>1</v>
          </cell>
          <cell r="BN1531" t="str">
            <v/>
          </cell>
          <cell r="BO1531" t="str">
            <v/>
          </cell>
        </row>
        <row r="1532">
          <cell r="A1532">
            <v>1</v>
          </cell>
          <cell r="B1532">
            <v>2142170</v>
          </cell>
          <cell r="C1532" t="str">
            <v>D.A.S D200 @ D281</v>
          </cell>
          <cell r="D1532" t="str">
            <v>ASSURANCE GROUPES</v>
          </cell>
          <cell r="E1532" t="str">
            <v>N</v>
          </cell>
          <cell r="F1532">
            <v>0</v>
          </cell>
          <cell r="G1532">
            <v>0</v>
          </cell>
          <cell r="H1532">
            <v>-38903.410000000003</v>
          </cell>
          <cell r="I1532">
            <v>889152.52</v>
          </cell>
          <cell r="J1532">
            <v>633369.65</v>
          </cell>
          <cell r="K1532">
            <v>0</v>
          </cell>
          <cell r="L1532">
            <v>41221.57</v>
          </cell>
          <cell r="M1532">
            <v>73216.06</v>
          </cell>
          <cell r="N1532">
            <v>249213.34</v>
          </cell>
          <cell r="O1532">
            <v>276859.67</v>
          </cell>
          <cell r="P1532">
            <v>311345.26</v>
          </cell>
          <cell r="Q1532">
            <v>246556.04</v>
          </cell>
          <cell r="R1532">
            <v>60042</v>
          </cell>
          <cell r="S1532">
            <v>97680.15</v>
          </cell>
          <cell r="T1532">
            <v>127179.74</v>
          </cell>
          <cell r="U1532">
            <v>59366.8</v>
          </cell>
          <cell r="V1532">
            <v>88825.73</v>
          </cell>
          <cell r="W1532">
            <v>-30893.08</v>
          </cell>
          <cell r="X1532">
            <v>-38903.410000000003</v>
          </cell>
          <cell r="Y1532">
            <v>-6908.92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14047.58</v>
          </cell>
          <cell r="AE1532">
            <v>42715.839999999997</v>
          </cell>
          <cell r="AF1532">
            <v>76575.16</v>
          </cell>
          <cell r="AG1532">
            <v>102485.54</v>
          </cell>
          <cell r="AH1532">
            <v>130105.49</v>
          </cell>
          <cell r="AI1532">
            <v>163808.01999999999</v>
          </cell>
          <cell r="AJ1532">
            <v>190089.12</v>
          </cell>
          <cell r="AK1532">
            <v>216879.46</v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>
            <v>0</v>
          </cell>
          <cell r="AR1532">
            <v>420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 t="str">
            <v/>
          </cell>
          <cell r="BK1532">
            <v>2100</v>
          </cell>
          <cell r="BL1532" t="str">
            <v>0</v>
          </cell>
          <cell r="BM1532" t="str">
            <v>1</v>
          </cell>
          <cell r="BN1532" t="str">
            <v/>
          </cell>
          <cell r="BO1532" t="str">
            <v/>
          </cell>
        </row>
        <row r="1533">
          <cell r="A1533">
            <v>1</v>
          </cell>
          <cell r="B1533">
            <v>2142500</v>
          </cell>
          <cell r="C1533" t="str">
            <v>D.A.S D030</v>
          </cell>
          <cell r="D1533" t="str">
            <v>PROVISION BANQUE DE TEMPS</v>
          </cell>
          <cell r="E1533" t="str">
            <v>N</v>
          </cell>
          <cell r="F1533">
            <v>0</v>
          </cell>
          <cell r="G1533">
            <v>0</v>
          </cell>
          <cell r="H1533">
            <v>-845.83</v>
          </cell>
          <cell r="I1533">
            <v>35908.68</v>
          </cell>
          <cell r="J1533">
            <v>22945.22</v>
          </cell>
          <cell r="K1533">
            <v>0</v>
          </cell>
          <cell r="L1533">
            <v>2290.7600000000002</v>
          </cell>
          <cell r="M1533">
            <v>1154.99</v>
          </cell>
          <cell r="N1533">
            <v>10929.34</v>
          </cell>
          <cell r="O1533">
            <v>6259.97</v>
          </cell>
          <cell r="P1533">
            <v>-2561.59</v>
          </cell>
          <cell r="Q1533">
            <v>-6560.96</v>
          </cell>
          <cell r="R1533">
            <v>-6064.46</v>
          </cell>
          <cell r="S1533">
            <v>-5343.9</v>
          </cell>
          <cell r="T1533">
            <v>-4044.52</v>
          </cell>
          <cell r="U1533">
            <v>-2806.42</v>
          </cell>
          <cell r="V1533">
            <v>-2616.6</v>
          </cell>
          <cell r="W1533">
            <v>-2409.9</v>
          </cell>
          <cell r="X1533">
            <v>-845.83</v>
          </cell>
          <cell r="Y1533">
            <v>-1981.6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2491.37</v>
          </cell>
          <cell r="AE1533">
            <v>6123.35</v>
          </cell>
          <cell r="AF1533">
            <v>11261.21</v>
          </cell>
          <cell r="AG1533">
            <v>12062.51</v>
          </cell>
          <cell r="AH1533">
            <v>13342.29</v>
          </cell>
          <cell r="AI1533">
            <v>11211.76</v>
          </cell>
          <cell r="AJ1533">
            <v>11550.23</v>
          </cell>
          <cell r="AK1533">
            <v>12117.63</v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>
            <v>0</v>
          </cell>
          <cell r="AR1533">
            <v>420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 t="str">
            <v/>
          </cell>
          <cell r="BK1533">
            <v>2100</v>
          </cell>
          <cell r="BL1533" t="str">
            <v>0</v>
          </cell>
          <cell r="BM1533" t="str">
            <v>1</v>
          </cell>
          <cell r="BN1533" t="str">
            <v/>
          </cell>
          <cell r="BO1533" t="str">
            <v/>
          </cell>
        </row>
        <row r="1534">
          <cell r="A1534">
            <v>1</v>
          </cell>
          <cell r="B1534">
            <v>4258991</v>
          </cell>
          <cell r="C1534" t="str">
            <v>M.O.D. @ SPLITER</v>
          </cell>
          <cell r="D1534" t="str">
            <v>ALIMENTATION DES MACHINE</v>
          </cell>
          <cell r="E1534" t="str">
            <v>N</v>
          </cell>
          <cell r="F1534">
            <v>0</v>
          </cell>
          <cell r="G1534">
            <v>0</v>
          </cell>
          <cell r="H1534">
            <v>5346.24</v>
          </cell>
          <cell r="I1534">
            <v>321428.21000000002</v>
          </cell>
          <cell r="J1534">
            <v>316081.96999999997</v>
          </cell>
          <cell r="K1534">
            <v>0</v>
          </cell>
          <cell r="L1534">
            <v>37493.129999999997</v>
          </cell>
          <cell r="M1534">
            <v>41480.03</v>
          </cell>
          <cell r="N1534">
            <v>2063.75</v>
          </cell>
          <cell r="O1534">
            <v>1852.01</v>
          </cell>
          <cell r="P1534">
            <v>2175.7199999999998</v>
          </cell>
          <cell r="Q1534">
            <v>1958.1</v>
          </cell>
          <cell r="R1534">
            <v>1990.28</v>
          </cell>
          <cell r="S1534">
            <v>2424.7800000000002</v>
          </cell>
          <cell r="T1534">
            <v>1865.66</v>
          </cell>
          <cell r="U1534">
            <v>2394.4</v>
          </cell>
          <cell r="V1534">
            <v>2001.69</v>
          </cell>
          <cell r="W1534">
            <v>1599.01</v>
          </cell>
          <cell r="X1534">
            <v>5346.24</v>
          </cell>
          <cell r="Y1534">
            <v>1359.34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2077.12</v>
          </cell>
          <cell r="AF1534">
            <v>2769.76</v>
          </cell>
          <cell r="AG1534">
            <v>1613.92</v>
          </cell>
          <cell r="AH1534">
            <v>-18630.75</v>
          </cell>
          <cell r="AI1534">
            <v>2046.92</v>
          </cell>
          <cell r="AJ1534">
            <v>1868.53</v>
          </cell>
          <cell r="AK1534">
            <v>1754.44</v>
          </cell>
          <cell r="AL1534">
            <v>0</v>
          </cell>
          <cell r="AM1534">
            <v>1</v>
          </cell>
          <cell r="AN1534" t="str">
            <v/>
          </cell>
          <cell r="AO1534">
            <v>0</v>
          </cell>
          <cell r="AP1534">
            <v>0</v>
          </cell>
          <cell r="AQ1534">
            <v>0</v>
          </cell>
          <cell r="AR1534">
            <v>690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 t="str">
            <v/>
          </cell>
          <cell r="BK1534">
            <v>6000</v>
          </cell>
          <cell r="BL1534" t="str">
            <v>0</v>
          </cell>
          <cell r="BM1534" t="str">
            <v>1</v>
          </cell>
          <cell r="BN1534" t="str">
            <v/>
          </cell>
          <cell r="BO1534" t="str">
            <v/>
          </cell>
        </row>
        <row r="1535">
          <cell r="A1535">
            <v>1</v>
          </cell>
          <cell r="B1535">
            <v>1124041</v>
          </cell>
          <cell r="C1535" t="str">
            <v>C.A.R. AVANCE EMPLOYÉ</v>
          </cell>
          <cell r="D1535" t="str">
            <v>CSST                 G251</v>
          </cell>
          <cell r="E1535" t="str">
            <v>N</v>
          </cell>
          <cell r="F1535">
            <v>0</v>
          </cell>
          <cell r="G1535">
            <v>0</v>
          </cell>
          <cell r="H1535">
            <v>-3179.22</v>
          </cell>
          <cell r="I1535">
            <v>3592.88</v>
          </cell>
          <cell r="J1535">
            <v>2788.49</v>
          </cell>
          <cell r="K1535">
            <v>0</v>
          </cell>
          <cell r="L1535">
            <v>0</v>
          </cell>
          <cell r="M1535">
            <v>403.88</v>
          </cell>
          <cell r="N1535">
            <v>-3436.97</v>
          </cell>
          <cell r="O1535">
            <v>-2926.85</v>
          </cell>
          <cell r="P1535">
            <v>-2926.85</v>
          </cell>
          <cell r="Q1535">
            <v>-2263.81</v>
          </cell>
          <cell r="R1535">
            <v>-1312.87</v>
          </cell>
          <cell r="S1535">
            <v>-2040.99</v>
          </cell>
          <cell r="T1535">
            <v>-1478.11</v>
          </cell>
          <cell r="U1535">
            <v>-1478.11</v>
          </cell>
          <cell r="V1535">
            <v>-1478.11</v>
          </cell>
          <cell r="W1535">
            <v>-1478.11</v>
          </cell>
          <cell r="X1535">
            <v>-3179.22</v>
          </cell>
          <cell r="Y1535">
            <v>-3583.1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623.64</v>
          </cell>
          <cell r="AF1535">
            <v>1463.1</v>
          </cell>
          <cell r="AG1535">
            <v>658.5</v>
          </cell>
          <cell r="AH1535">
            <v>-3295.51</v>
          </cell>
          <cell r="AI1535">
            <v>-3295.51</v>
          </cell>
          <cell r="AJ1535">
            <v>-4098.55</v>
          </cell>
          <cell r="AK1535">
            <v>-3983.61</v>
          </cell>
          <cell r="AL1535">
            <v>0</v>
          </cell>
          <cell r="AM1535">
            <v>1</v>
          </cell>
          <cell r="AN1535" t="str">
            <v/>
          </cell>
          <cell r="AO1535">
            <v>0</v>
          </cell>
          <cell r="AP1535">
            <v>0</v>
          </cell>
          <cell r="AQ1535">
            <v>0</v>
          </cell>
          <cell r="AR1535">
            <v>50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 t="str">
            <v/>
          </cell>
          <cell r="BK1535">
            <v>1200</v>
          </cell>
          <cell r="BL1535" t="str">
            <v>0</v>
          </cell>
          <cell r="BM1535" t="str">
            <v>1</v>
          </cell>
          <cell r="BN1535" t="str">
            <v/>
          </cell>
          <cell r="BO1535" t="str">
            <v/>
          </cell>
        </row>
        <row r="1536">
          <cell r="A1536">
            <v>1</v>
          </cell>
          <cell r="B1536">
            <v>1124042</v>
          </cell>
          <cell r="C1536" t="str">
            <v>C.A.R. AVANCE EMPLOYÉ</v>
          </cell>
          <cell r="D1536" t="str">
            <v>AVANCE               D035</v>
          </cell>
          <cell r="E1536" t="str">
            <v>N</v>
          </cell>
          <cell r="F1536">
            <v>0</v>
          </cell>
          <cell r="G1536">
            <v>0</v>
          </cell>
          <cell r="H1536">
            <v>-349.94</v>
          </cell>
          <cell r="I1536">
            <v>5754.93</v>
          </cell>
          <cell r="J1536">
            <v>19629.86</v>
          </cell>
          <cell r="K1536">
            <v>0</v>
          </cell>
          <cell r="L1536">
            <v>15230</v>
          </cell>
          <cell r="M1536">
            <v>0</v>
          </cell>
          <cell r="N1536">
            <v>13739.99</v>
          </cell>
          <cell r="O1536">
            <v>3535.06</v>
          </cell>
          <cell r="P1536">
            <v>3635.06</v>
          </cell>
          <cell r="Q1536">
            <v>7050.06</v>
          </cell>
          <cell r="R1536">
            <v>-349.94</v>
          </cell>
          <cell r="S1536">
            <v>-349.94</v>
          </cell>
          <cell r="T1536">
            <v>-349.94</v>
          </cell>
          <cell r="U1536">
            <v>-349.94</v>
          </cell>
          <cell r="V1536">
            <v>-349.94</v>
          </cell>
          <cell r="W1536">
            <v>-349.94</v>
          </cell>
          <cell r="X1536">
            <v>-349.94</v>
          </cell>
          <cell r="Y1536">
            <v>14880.06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337.99</v>
          </cell>
          <cell r="AF1536">
            <v>350</v>
          </cell>
          <cell r="AG1536">
            <v>650</v>
          </cell>
          <cell r="AH1536">
            <v>22.12</v>
          </cell>
          <cell r="AI1536">
            <v>299.99</v>
          </cell>
          <cell r="AJ1536">
            <v>299.99</v>
          </cell>
          <cell r="AK1536">
            <v>13524.99</v>
          </cell>
          <cell r="AL1536">
            <v>0</v>
          </cell>
          <cell r="AM1536">
            <v>2</v>
          </cell>
          <cell r="AN1536" t="str">
            <v/>
          </cell>
          <cell r="AO1536">
            <v>0</v>
          </cell>
          <cell r="AP1536">
            <v>0</v>
          </cell>
          <cell r="AQ1536">
            <v>0</v>
          </cell>
          <cell r="AR1536">
            <v>50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 t="str">
            <v/>
          </cell>
          <cell r="BK1536">
            <v>1200</v>
          </cell>
          <cell r="BL1536" t="str">
            <v>0</v>
          </cell>
          <cell r="BM1536" t="str">
            <v>1</v>
          </cell>
          <cell r="BN1536" t="str">
            <v/>
          </cell>
          <cell r="BO1536" t="str">
            <v/>
          </cell>
        </row>
        <row r="1537">
          <cell r="A1537">
            <v>1</v>
          </cell>
          <cell r="B1537">
            <v>4251951</v>
          </cell>
          <cell r="C1537" t="str">
            <v>M.O.D. G455 G460</v>
          </cell>
          <cell r="D1537" t="str">
            <v>LUNETTE ET BOTTES  M/P</v>
          </cell>
          <cell r="E1537" t="str">
            <v>N</v>
          </cell>
          <cell r="F1537">
            <v>0</v>
          </cell>
          <cell r="G1537">
            <v>0</v>
          </cell>
          <cell r="H1537">
            <v>1494.48</v>
          </cell>
          <cell r="I1537">
            <v>1494.48</v>
          </cell>
          <cell r="J1537">
            <v>0</v>
          </cell>
          <cell r="K1537">
            <v>0</v>
          </cell>
          <cell r="L1537">
            <v>200</v>
          </cell>
          <cell r="M1537">
            <v>0</v>
          </cell>
          <cell r="N1537">
            <v>0</v>
          </cell>
          <cell r="O1537">
            <v>350.32</v>
          </cell>
          <cell r="P1537">
            <v>450.32</v>
          </cell>
          <cell r="Q1537">
            <v>622.46</v>
          </cell>
          <cell r="R1537">
            <v>622.46</v>
          </cell>
          <cell r="S1537">
            <v>691.28</v>
          </cell>
          <cell r="T1537">
            <v>948.6</v>
          </cell>
          <cell r="U1537">
            <v>948.6</v>
          </cell>
          <cell r="V1537">
            <v>1214.1600000000001</v>
          </cell>
          <cell r="W1537">
            <v>1394.48</v>
          </cell>
          <cell r="X1537">
            <v>1494.48</v>
          </cell>
          <cell r="Y1537">
            <v>1694.48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473.02</v>
          </cell>
          <cell r="AF1537">
            <v>863.53</v>
          </cell>
          <cell r="AG1537">
            <v>1063.53</v>
          </cell>
          <cell r="AH1537">
            <v>1363.53</v>
          </cell>
          <cell r="AI1537">
            <v>1363.53</v>
          </cell>
          <cell r="AJ1537">
            <v>1463.53</v>
          </cell>
          <cell r="AK1537">
            <v>1949.79</v>
          </cell>
          <cell r="AL1537">
            <v>0</v>
          </cell>
          <cell r="AM1537">
            <v>1</v>
          </cell>
          <cell r="AN1537" t="str">
            <v/>
          </cell>
          <cell r="AO1537">
            <v>0</v>
          </cell>
          <cell r="AP1537">
            <v>0</v>
          </cell>
          <cell r="AQ1537">
            <v>0</v>
          </cell>
          <cell r="AR1537">
            <v>690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 t="str">
            <v/>
          </cell>
          <cell r="BK1537">
            <v>6000</v>
          </cell>
          <cell r="BL1537" t="str">
            <v>0</v>
          </cell>
          <cell r="BM1537" t="str">
            <v>1</v>
          </cell>
          <cell r="BN1537" t="str">
            <v/>
          </cell>
          <cell r="BO1537" t="str">
            <v/>
          </cell>
        </row>
        <row r="1538">
          <cell r="A1538">
            <v>1</v>
          </cell>
          <cell r="B1538">
            <v>1313060</v>
          </cell>
          <cell r="C1538" t="str">
            <v>AGRANDISSEMENT</v>
          </cell>
          <cell r="D1538" t="str">
            <v>STATIONNEMENT</v>
          </cell>
          <cell r="E1538" t="str">
            <v>N</v>
          </cell>
          <cell r="F1538">
            <v>0</v>
          </cell>
          <cell r="G1538">
            <v>0</v>
          </cell>
          <cell r="H1538">
            <v>26498.45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26498.45</v>
          </cell>
          <cell r="O1538">
            <v>26498.45</v>
          </cell>
          <cell r="P1538">
            <v>26498.45</v>
          </cell>
          <cell r="Q1538">
            <v>26498.45</v>
          </cell>
          <cell r="R1538">
            <v>26498.45</v>
          </cell>
          <cell r="S1538">
            <v>26498.45</v>
          </cell>
          <cell r="T1538">
            <v>26498.45</v>
          </cell>
          <cell r="U1538">
            <v>26498.45</v>
          </cell>
          <cell r="V1538">
            <v>26498.45</v>
          </cell>
          <cell r="W1538">
            <v>26498.45</v>
          </cell>
          <cell r="X1538">
            <v>26498.45</v>
          </cell>
          <cell r="Y1538">
            <v>26498.45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9599.86</v>
          </cell>
          <cell r="AE1538">
            <v>9599.86</v>
          </cell>
          <cell r="AF1538">
            <v>12183.18</v>
          </cell>
          <cell r="AG1538">
            <v>12183.18</v>
          </cell>
          <cell r="AH1538">
            <v>20762.580000000002</v>
          </cell>
          <cell r="AI1538">
            <v>26498.45</v>
          </cell>
          <cell r="AJ1538">
            <v>26498.45</v>
          </cell>
          <cell r="AK1538">
            <v>26498.45</v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>
            <v>0</v>
          </cell>
          <cell r="AR1538">
            <v>280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396</v>
          </cell>
          <cell r="BJ1538" t="str">
            <v/>
          </cell>
          <cell r="BK1538">
            <v>1700</v>
          </cell>
          <cell r="BL1538" t="str">
            <v>1</v>
          </cell>
          <cell r="BM1538" t="str">
            <v>1</v>
          </cell>
          <cell r="BN1538" t="str">
            <v/>
          </cell>
          <cell r="BO1538" t="str">
            <v/>
          </cell>
        </row>
        <row r="1539">
          <cell r="A1539">
            <v>1</v>
          </cell>
          <cell r="B1539">
            <v>4432011</v>
          </cell>
          <cell r="C1539" t="str">
            <v>CONTRÔLE QUALITÉ G226</v>
          </cell>
          <cell r="D1539" t="str">
            <v>PROJET ISO</v>
          </cell>
          <cell r="E1539" t="str">
            <v>O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1</v>
          </cell>
          <cell r="AN1539" t="str">
            <v/>
          </cell>
          <cell r="AO1539">
            <v>0</v>
          </cell>
          <cell r="AP1539">
            <v>0</v>
          </cell>
          <cell r="AQ1539">
            <v>0</v>
          </cell>
          <cell r="AR1539">
            <v>700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 t="str">
            <v/>
          </cell>
          <cell r="BK1539">
            <v>7000</v>
          </cell>
          <cell r="BL1539" t="str">
            <v>0</v>
          </cell>
          <cell r="BM1539" t="str">
            <v>1</v>
          </cell>
          <cell r="BN1539" t="str">
            <v/>
          </cell>
          <cell r="BO1539" t="str">
            <v/>
          </cell>
        </row>
        <row r="1540">
          <cell r="A1540">
            <v>1</v>
          </cell>
          <cell r="B1540">
            <v>4411071</v>
          </cell>
          <cell r="C1540" t="str">
            <v>FORMATION</v>
          </cell>
          <cell r="D1540" t="str">
            <v>MANUTENTION</v>
          </cell>
          <cell r="E1540" t="str">
            <v>O</v>
          </cell>
          <cell r="F1540">
            <v>0</v>
          </cell>
          <cell r="G1540">
            <v>0</v>
          </cell>
          <cell r="H1540">
            <v>10438.52</v>
          </cell>
          <cell r="I1540">
            <v>18592.82</v>
          </cell>
          <cell r="J1540">
            <v>8154.3</v>
          </cell>
          <cell r="K1540">
            <v>0</v>
          </cell>
          <cell r="L1540">
            <v>5719.57</v>
          </cell>
          <cell r="M1540">
            <v>5719.57</v>
          </cell>
          <cell r="N1540">
            <v>94.5</v>
          </cell>
          <cell r="O1540">
            <v>575</v>
          </cell>
          <cell r="P1540">
            <v>575</v>
          </cell>
          <cell r="Q1540">
            <v>1238.7</v>
          </cell>
          <cell r="R1540">
            <v>1331.82</v>
          </cell>
          <cell r="S1540">
            <v>1331.82</v>
          </cell>
          <cell r="T1540">
            <v>1376.73</v>
          </cell>
          <cell r="U1540">
            <v>1523.15</v>
          </cell>
          <cell r="V1540">
            <v>1628.15</v>
          </cell>
          <cell r="W1540">
            <v>4718.95</v>
          </cell>
          <cell r="X1540">
            <v>10438.52</v>
          </cell>
          <cell r="Y1540">
            <v>10438.52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350.43</v>
          </cell>
          <cell r="AF1540">
            <v>350.43</v>
          </cell>
          <cell r="AG1540">
            <v>413.25</v>
          </cell>
          <cell r="AH1540">
            <v>981.6</v>
          </cell>
          <cell r="AI1540">
            <v>2425.3200000000002</v>
          </cell>
          <cell r="AJ1540">
            <v>4847.53</v>
          </cell>
          <cell r="AK1540">
            <v>7747.44</v>
          </cell>
          <cell r="AL1540">
            <v>0</v>
          </cell>
          <cell r="AM1540">
            <v>1</v>
          </cell>
          <cell r="AN1540" t="str">
            <v/>
          </cell>
          <cell r="AO1540">
            <v>0</v>
          </cell>
          <cell r="AP1540">
            <v>0</v>
          </cell>
          <cell r="AQ1540">
            <v>0</v>
          </cell>
          <cell r="AR1540">
            <v>810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 t="str">
            <v/>
          </cell>
          <cell r="BK1540">
            <v>7000</v>
          </cell>
          <cell r="BL1540" t="str">
            <v>0</v>
          </cell>
          <cell r="BM1540" t="str">
            <v>1</v>
          </cell>
          <cell r="BN1540" t="str">
            <v/>
          </cell>
          <cell r="BO1540" t="str">
            <v/>
          </cell>
        </row>
        <row r="1541">
          <cell r="A1541">
            <v>1</v>
          </cell>
          <cell r="B1541">
            <v>4411081</v>
          </cell>
          <cell r="C1541" t="str">
            <v>FORMATION</v>
          </cell>
          <cell r="D1541" t="str">
            <v>BUREAU SYNDIQUÉ</v>
          </cell>
          <cell r="E1541" t="str">
            <v>O</v>
          </cell>
          <cell r="F1541">
            <v>0</v>
          </cell>
          <cell r="G1541">
            <v>0</v>
          </cell>
          <cell r="H1541">
            <v>635.12</v>
          </cell>
          <cell r="I1541">
            <v>635.12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635.12</v>
          </cell>
          <cell r="T1541">
            <v>635.12</v>
          </cell>
          <cell r="U1541">
            <v>635.12</v>
          </cell>
          <cell r="V1541">
            <v>635.12</v>
          </cell>
          <cell r="W1541">
            <v>635.12</v>
          </cell>
          <cell r="X1541">
            <v>635.12</v>
          </cell>
          <cell r="Y1541">
            <v>635.12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1011.01</v>
          </cell>
          <cell r="AE1541">
            <v>1179.51</v>
          </cell>
          <cell r="AF1541">
            <v>1179.51</v>
          </cell>
          <cell r="AG1541">
            <v>1179.51</v>
          </cell>
          <cell r="AH1541">
            <v>1331.38</v>
          </cell>
          <cell r="AI1541">
            <v>1316.68</v>
          </cell>
          <cell r="AJ1541">
            <v>1316.68</v>
          </cell>
          <cell r="AK1541">
            <v>1316.68</v>
          </cell>
          <cell r="AL1541">
            <v>0</v>
          </cell>
          <cell r="AM1541">
            <v>1</v>
          </cell>
          <cell r="AN1541" t="str">
            <v/>
          </cell>
          <cell r="AO1541">
            <v>0</v>
          </cell>
          <cell r="AP1541">
            <v>0</v>
          </cell>
          <cell r="AQ1541">
            <v>0</v>
          </cell>
          <cell r="AR1541">
            <v>810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 t="str">
            <v/>
          </cell>
          <cell r="BK1541">
            <v>7000</v>
          </cell>
          <cell r="BL1541" t="str">
            <v>0</v>
          </cell>
          <cell r="BM1541" t="str">
            <v>1</v>
          </cell>
          <cell r="BN1541" t="str">
            <v/>
          </cell>
          <cell r="BO1541" t="str">
            <v/>
          </cell>
        </row>
        <row r="1542">
          <cell r="A1542">
            <v>1</v>
          </cell>
          <cell r="B1542">
            <v>4411091</v>
          </cell>
          <cell r="C1542" t="str">
            <v>FORMATION</v>
          </cell>
          <cell r="D1542" t="str">
            <v>MAINTENANCE</v>
          </cell>
          <cell r="E1542" t="str">
            <v>O</v>
          </cell>
          <cell r="F1542">
            <v>0</v>
          </cell>
          <cell r="G1542">
            <v>0</v>
          </cell>
          <cell r="H1542">
            <v>5043.33</v>
          </cell>
          <cell r="I1542">
            <v>5043.33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2089.17</v>
          </cell>
          <cell r="P1542">
            <v>3712.27</v>
          </cell>
          <cell r="Q1542">
            <v>3820.16</v>
          </cell>
          <cell r="R1542">
            <v>3924.16</v>
          </cell>
          <cell r="S1542">
            <v>3924.16</v>
          </cell>
          <cell r="T1542">
            <v>3924.16</v>
          </cell>
          <cell r="U1542">
            <v>3924.16</v>
          </cell>
          <cell r="V1542">
            <v>3924.16</v>
          </cell>
          <cell r="W1542">
            <v>5043.33</v>
          </cell>
          <cell r="X1542">
            <v>5043.33</v>
          </cell>
          <cell r="Y1542">
            <v>5043.33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1051.56</v>
          </cell>
          <cell r="AK1542">
            <v>1796.02</v>
          </cell>
          <cell r="AL1542">
            <v>0</v>
          </cell>
          <cell r="AM1542">
            <v>1</v>
          </cell>
          <cell r="AN1542" t="str">
            <v/>
          </cell>
          <cell r="AO1542">
            <v>0</v>
          </cell>
          <cell r="AP1542">
            <v>0</v>
          </cell>
          <cell r="AQ1542">
            <v>0</v>
          </cell>
          <cell r="AR1542">
            <v>810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 t="str">
            <v/>
          </cell>
          <cell r="BK1542">
            <v>7000</v>
          </cell>
          <cell r="BL1542" t="str">
            <v>0</v>
          </cell>
          <cell r="BM1542" t="str">
            <v>1</v>
          </cell>
          <cell r="BN1542" t="str">
            <v/>
          </cell>
          <cell r="BO1542" t="str">
            <v/>
          </cell>
        </row>
        <row r="1543">
          <cell r="A1543">
            <v>1</v>
          </cell>
          <cell r="B1543">
            <v>4592061</v>
          </cell>
          <cell r="C1543" t="str">
            <v>ENTRETIEN BATIMENT</v>
          </cell>
          <cell r="D1543" t="str">
            <v>COMPRESSEUR QUNICY</v>
          </cell>
          <cell r="E1543" t="str">
            <v>O</v>
          </cell>
          <cell r="F1543">
            <v>0</v>
          </cell>
          <cell r="G1543">
            <v>0</v>
          </cell>
          <cell r="H1543">
            <v>19062.48</v>
          </cell>
          <cell r="I1543">
            <v>19264.18</v>
          </cell>
          <cell r="J1543">
            <v>201.7</v>
          </cell>
          <cell r="K1543">
            <v>0</v>
          </cell>
          <cell r="L1543">
            <v>0</v>
          </cell>
          <cell r="M1543">
            <v>0</v>
          </cell>
          <cell r="N1543">
            <v>40.49</v>
          </cell>
          <cell r="O1543">
            <v>6710.76</v>
          </cell>
          <cell r="P1543">
            <v>6710.76</v>
          </cell>
          <cell r="Q1543">
            <v>11856.46</v>
          </cell>
          <cell r="R1543">
            <v>12727.99</v>
          </cell>
          <cell r="S1543">
            <v>15087.95</v>
          </cell>
          <cell r="T1543">
            <v>15087.95</v>
          </cell>
          <cell r="U1543">
            <v>15087.95</v>
          </cell>
          <cell r="V1543">
            <v>15087.95</v>
          </cell>
          <cell r="W1543">
            <v>17637.2</v>
          </cell>
          <cell r="X1543">
            <v>19062.48</v>
          </cell>
          <cell r="Y1543">
            <v>19062.48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59.3</v>
          </cell>
          <cell r="AH1543">
            <v>59.3</v>
          </cell>
          <cell r="AI1543">
            <v>59.3</v>
          </cell>
          <cell r="AJ1543">
            <v>-82.6</v>
          </cell>
          <cell r="AK1543">
            <v>1095.74</v>
          </cell>
          <cell r="AL1543">
            <v>0</v>
          </cell>
          <cell r="AM1543">
            <v>1</v>
          </cell>
          <cell r="AN1543" t="str">
            <v/>
          </cell>
          <cell r="AO1543">
            <v>0</v>
          </cell>
          <cell r="AP1543">
            <v>0</v>
          </cell>
          <cell r="AQ1543">
            <v>0</v>
          </cell>
          <cell r="AR1543">
            <v>710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 t="str">
            <v/>
          </cell>
          <cell r="BK1543">
            <v>7000</v>
          </cell>
          <cell r="BL1543" t="str">
            <v>0</v>
          </cell>
          <cell r="BM1543" t="str">
            <v>1</v>
          </cell>
          <cell r="BN1543" t="str">
            <v/>
          </cell>
          <cell r="BO1543" t="str">
            <v/>
          </cell>
        </row>
        <row r="1544">
          <cell r="A1544">
            <v>1</v>
          </cell>
          <cell r="B1544">
            <v>4592201</v>
          </cell>
          <cell r="C1544" t="str">
            <v>ENTRETIEN BATIMENT</v>
          </cell>
          <cell r="D1544" t="str">
            <v>COMPRESSEUR ATALS</v>
          </cell>
          <cell r="E1544" t="str">
            <v>O</v>
          </cell>
          <cell r="F1544">
            <v>0</v>
          </cell>
          <cell r="G1544">
            <v>0</v>
          </cell>
          <cell r="H1544">
            <v>23284.62</v>
          </cell>
          <cell r="I1544">
            <v>23388.12</v>
          </cell>
          <cell r="J1544">
            <v>103.5</v>
          </cell>
          <cell r="K1544">
            <v>0</v>
          </cell>
          <cell r="L1544">
            <v>0</v>
          </cell>
          <cell r="M1544">
            <v>0</v>
          </cell>
          <cell r="N1544">
            <v>160.91999999999999</v>
          </cell>
          <cell r="O1544">
            <v>15578.29</v>
          </cell>
          <cell r="P1544">
            <v>15840.81</v>
          </cell>
          <cell r="Q1544">
            <v>15939.66</v>
          </cell>
          <cell r="R1544">
            <v>16991.62</v>
          </cell>
          <cell r="S1544">
            <v>17728.509999999998</v>
          </cell>
          <cell r="T1544">
            <v>19788.73</v>
          </cell>
          <cell r="U1544">
            <v>19788.73</v>
          </cell>
          <cell r="V1544">
            <v>20973.63</v>
          </cell>
          <cell r="W1544">
            <v>23284.62</v>
          </cell>
          <cell r="X1544">
            <v>23284.62</v>
          </cell>
          <cell r="Y1544">
            <v>23284.62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87.55</v>
          </cell>
          <cell r="AF1544">
            <v>87.55</v>
          </cell>
          <cell r="AG1544">
            <v>87.55</v>
          </cell>
          <cell r="AH1544">
            <v>87.55</v>
          </cell>
          <cell r="AI1544">
            <v>826.55</v>
          </cell>
          <cell r="AJ1544">
            <v>826.55</v>
          </cell>
          <cell r="AK1544">
            <v>2004.41</v>
          </cell>
          <cell r="AL1544">
            <v>0</v>
          </cell>
          <cell r="AM1544">
            <v>1</v>
          </cell>
          <cell r="AN1544" t="str">
            <v/>
          </cell>
          <cell r="AO1544">
            <v>0</v>
          </cell>
          <cell r="AP1544">
            <v>0</v>
          </cell>
          <cell r="AQ1544">
            <v>0</v>
          </cell>
          <cell r="AR1544">
            <v>710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 t="str">
            <v/>
          </cell>
          <cell r="BK1544">
            <v>7000</v>
          </cell>
          <cell r="BL1544" t="str">
            <v>0</v>
          </cell>
          <cell r="BM1544" t="str">
            <v>1</v>
          </cell>
          <cell r="BN1544" t="str">
            <v/>
          </cell>
          <cell r="BO1544" t="str">
            <v/>
          </cell>
        </row>
        <row r="1545">
          <cell r="A1545">
            <v>1</v>
          </cell>
          <cell r="B1545">
            <v>4435011</v>
          </cell>
          <cell r="C1545" t="str">
            <v>CONTRÔLE QUALITÉ</v>
          </cell>
          <cell r="D1545" t="str">
            <v>PROJET KAISEN SMED ACHATS</v>
          </cell>
          <cell r="E1545" t="str">
            <v>O</v>
          </cell>
          <cell r="F1545">
            <v>0</v>
          </cell>
          <cell r="G1545">
            <v>0</v>
          </cell>
          <cell r="H1545">
            <v>296.85000000000002</v>
          </cell>
          <cell r="I1545">
            <v>521.42999999999995</v>
          </cell>
          <cell r="J1545">
            <v>224.58</v>
          </cell>
          <cell r="K1545">
            <v>0</v>
          </cell>
          <cell r="L1545">
            <v>0</v>
          </cell>
          <cell r="M1545">
            <v>0</v>
          </cell>
          <cell r="N1545">
            <v>49</v>
          </cell>
          <cell r="O1545">
            <v>296.85000000000002</v>
          </cell>
          <cell r="P1545">
            <v>296.85000000000002</v>
          </cell>
          <cell r="Q1545">
            <v>296.85000000000002</v>
          </cell>
          <cell r="R1545">
            <v>296.85000000000002</v>
          </cell>
          <cell r="S1545">
            <v>296.85000000000002</v>
          </cell>
          <cell r="T1545">
            <v>296.85000000000002</v>
          </cell>
          <cell r="U1545">
            <v>296.85000000000002</v>
          </cell>
          <cell r="V1545">
            <v>296.85000000000002</v>
          </cell>
          <cell r="W1545">
            <v>296.85000000000002</v>
          </cell>
          <cell r="X1545">
            <v>296.85000000000002</v>
          </cell>
          <cell r="Y1545">
            <v>296.85000000000002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320</v>
          </cell>
          <cell r="AE1545">
            <v>1808</v>
          </cell>
          <cell r="AF1545">
            <v>1808</v>
          </cell>
          <cell r="AG1545">
            <v>1808</v>
          </cell>
          <cell r="AH1545">
            <v>1808</v>
          </cell>
          <cell r="AI1545">
            <v>1808</v>
          </cell>
          <cell r="AJ1545">
            <v>1808</v>
          </cell>
          <cell r="AK1545">
            <v>1808</v>
          </cell>
          <cell r="AL1545">
            <v>0</v>
          </cell>
          <cell r="AM1545">
            <v>1</v>
          </cell>
          <cell r="AN1545" t="str">
            <v/>
          </cell>
          <cell r="AO1545">
            <v>0</v>
          </cell>
          <cell r="AP1545">
            <v>0</v>
          </cell>
          <cell r="AQ1545">
            <v>0</v>
          </cell>
          <cell r="AR1545">
            <v>720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 t="str">
            <v/>
          </cell>
          <cell r="BK1545">
            <v>7000</v>
          </cell>
          <cell r="BL1545" t="str">
            <v>0</v>
          </cell>
          <cell r="BM1545" t="str">
            <v>1</v>
          </cell>
          <cell r="BN1545" t="str">
            <v/>
          </cell>
          <cell r="BO1545" t="str">
            <v/>
          </cell>
        </row>
        <row r="1546">
          <cell r="A1546">
            <v>1</v>
          </cell>
          <cell r="B1546">
            <v>4435012</v>
          </cell>
          <cell r="C1546" t="str">
            <v>CONTRÔLE QUALITÉ</v>
          </cell>
          <cell r="D1546" t="str">
            <v>PROJET KAISEN SMED ACHATS</v>
          </cell>
          <cell r="E1546" t="str">
            <v>O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2</v>
          </cell>
          <cell r="AN1546" t="str">
            <v/>
          </cell>
          <cell r="AO1546">
            <v>0</v>
          </cell>
          <cell r="AP1546">
            <v>0</v>
          </cell>
          <cell r="AQ1546">
            <v>0</v>
          </cell>
          <cell r="AR1546">
            <v>720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 t="str">
            <v/>
          </cell>
          <cell r="BK1546">
            <v>7000</v>
          </cell>
          <cell r="BL1546" t="str">
            <v>0</v>
          </cell>
          <cell r="BM1546" t="str">
            <v>1</v>
          </cell>
          <cell r="BN1546" t="str">
            <v/>
          </cell>
          <cell r="BO1546" t="str">
            <v/>
          </cell>
        </row>
        <row r="1547">
          <cell r="A1547">
            <v>1</v>
          </cell>
          <cell r="B1547">
            <v>4435013</v>
          </cell>
          <cell r="C1547" t="str">
            <v>CONTRÔLE QUALITÉ</v>
          </cell>
          <cell r="D1547" t="str">
            <v>PROJET KAISEN SMED ACHATS</v>
          </cell>
          <cell r="E1547" t="str">
            <v>O</v>
          </cell>
          <cell r="F1547">
            <v>0</v>
          </cell>
          <cell r="G1547">
            <v>0</v>
          </cell>
          <cell r="H1547">
            <v>80.5</v>
          </cell>
          <cell r="I1547">
            <v>161</v>
          </cell>
          <cell r="J1547">
            <v>80.5</v>
          </cell>
          <cell r="K1547">
            <v>0</v>
          </cell>
          <cell r="L1547">
            <v>0</v>
          </cell>
          <cell r="M1547">
            <v>0</v>
          </cell>
          <cell r="N1547">
            <v>70</v>
          </cell>
          <cell r="O1547">
            <v>70</v>
          </cell>
          <cell r="P1547">
            <v>70</v>
          </cell>
          <cell r="Q1547">
            <v>70</v>
          </cell>
          <cell r="R1547">
            <v>70</v>
          </cell>
          <cell r="S1547">
            <v>80.5</v>
          </cell>
          <cell r="T1547">
            <v>80.5</v>
          </cell>
          <cell r="U1547">
            <v>80.5</v>
          </cell>
          <cell r="V1547">
            <v>80.5</v>
          </cell>
          <cell r="W1547">
            <v>80.5</v>
          </cell>
          <cell r="X1547">
            <v>80.5</v>
          </cell>
          <cell r="Y1547">
            <v>80.5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3</v>
          </cell>
          <cell r="AN1547" t="str">
            <v/>
          </cell>
          <cell r="AO1547">
            <v>0</v>
          </cell>
          <cell r="AP1547">
            <v>0</v>
          </cell>
          <cell r="AQ1547">
            <v>0</v>
          </cell>
          <cell r="AR1547">
            <v>720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 t="str">
            <v/>
          </cell>
          <cell r="BK1547">
            <v>7000</v>
          </cell>
          <cell r="BL1547" t="str">
            <v>0</v>
          </cell>
          <cell r="BM1547" t="str">
            <v>1</v>
          </cell>
          <cell r="BN1547" t="str">
            <v/>
          </cell>
          <cell r="BO1547" t="str">
            <v/>
          </cell>
        </row>
        <row r="1548">
          <cell r="A1548">
            <v>1</v>
          </cell>
          <cell r="B1548">
            <v>4250102</v>
          </cell>
          <cell r="C1548" t="str">
            <v>M.O.D.</v>
          </cell>
          <cell r="D1548" t="str">
            <v>MOD BALER</v>
          </cell>
          <cell r="E1548" t="str">
            <v>N</v>
          </cell>
          <cell r="F1548">
            <v>0</v>
          </cell>
          <cell r="G1548">
            <v>0</v>
          </cell>
          <cell r="H1548">
            <v>33991.1</v>
          </cell>
          <cell r="I1548">
            <v>36343.019999999997</v>
          </cell>
          <cell r="J1548">
            <v>2351.92</v>
          </cell>
          <cell r="K1548">
            <v>0</v>
          </cell>
          <cell r="L1548">
            <v>5576.63</v>
          </cell>
          <cell r="M1548">
            <v>2603.91</v>
          </cell>
          <cell r="N1548">
            <v>3434.71</v>
          </cell>
          <cell r="O1548">
            <v>6054.16</v>
          </cell>
          <cell r="P1548">
            <v>8791.76</v>
          </cell>
          <cell r="Q1548">
            <v>11682.08</v>
          </cell>
          <cell r="R1548">
            <v>14699.19</v>
          </cell>
          <cell r="S1548">
            <v>19384.03</v>
          </cell>
          <cell r="T1548">
            <v>22024.560000000001</v>
          </cell>
          <cell r="U1548">
            <v>24965.08</v>
          </cell>
          <cell r="V1548">
            <v>28767.66</v>
          </cell>
          <cell r="W1548">
            <v>31387.19</v>
          </cell>
          <cell r="X1548">
            <v>33991.1</v>
          </cell>
          <cell r="Y1548">
            <v>36963.82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1144.92</v>
          </cell>
          <cell r="AE1548">
            <v>16477.73</v>
          </cell>
          <cell r="AF1548">
            <v>18871.82</v>
          </cell>
          <cell r="AG1548">
            <v>19903.189999999999</v>
          </cell>
          <cell r="AH1548">
            <v>22515.14</v>
          </cell>
          <cell r="AI1548">
            <v>26707.599999999999</v>
          </cell>
          <cell r="AJ1548">
            <v>28889.73</v>
          </cell>
          <cell r="AK1548">
            <v>31145.73</v>
          </cell>
          <cell r="AL1548">
            <v>0</v>
          </cell>
          <cell r="AM1548">
            <v>2</v>
          </cell>
          <cell r="AN1548" t="str">
            <v/>
          </cell>
          <cell r="AO1548">
            <v>0</v>
          </cell>
          <cell r="AP1548">
            <v>0</v>
          </cell>
          <cell r="AQ1548">
            <v>0</v>
          </cell>
          <cell r="AR1548">
            <v>690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 t="str">
            <v/>
          </cell>
          <cell r="BK1548">
            <v>6000</v>
          </cell>
          <cell r="BL1548" t="str">
            <v>0</v>
          </cell>
          <cell r="BM1548" t="str">
            <v>1</v>
          </cell>
          <cell r="BN1548" t="str">
            <v/>
          </cell>
          <cell r="BO1548" t="str">
            <v/>
          </cell>
        </row>
        <row r="1549">
          <cell r="A1549">
            <v>1</v>
          </cell>
          <cell r="B1549">
            <v>1263162</v>
          </cell>
          <cell r="C1549" t="str">
            <v>INFORMATIQUE</v>
          </cell>
          <cell r="D1549" t="str">
            <v>SYSTEME À JET D'ENCRE TWL</v>
          </cell>
          <cell r="E1549" t="str">
            <v>N</v>
          </cell>
          <cell r="F1549">
            <v>0</v>
          </cell>
          <cell r="G1549">
            <v>0</v>
          </cell>
          <cell r="H1549">
            <v>7993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7993</v>
          </cell>
          <cell r="O1549">
            <v>7993</v>
          </cell>
          <cell r="P1549">
            <v>7993</v>
          </cell>
          <cell r="Q1549">
            <v>7993</v>
          </cell>
          <cell r="R1549">
            <v>7993</v>
          </cell>
          <cell r="S1549">
            <v>7993</v>
          </cell>
          <cell r="T1549">
            <v>7993</v>
          </cell>
          <cell r="U1549">
            <v>7993</v>
          </cell>
          <cell r="V1549">
            <v>7993</v>
          </cell>
          <cell r="W1549">
            <v>7993</v>
          </cell>
          <cell r="X1549">
            <v>7993</v>
          </cell>
          <cell r="Y1549">
            <v>7993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7993</v>
          </cell>
          <cell r="AE1549">
            <v>7993</v>
          </cell>
          <cell r="AF1549">
            <v>7993</v>
          </cell>
          <cell r="AG1549">
            <v>7993</v>
          </cell>
          <cell r="AH1549">
            <v>7993</v>
          </cell>
          <cell r="AI1549">
            <v>7993</v>
          </cell>
          <cell r="AJ1549">
            <v>7993</v>
          </cell>
          <cell r="AK1549">
            <v>7993</v>
          </cell>
          <cell r="AL1549">
            <v>0</v>
          </cell>
          <cell r="AM1549">
            <v>2</v>
          </cell>
          <cell r="AN1549" t="str">
            <v/>
          </cell>
          <cell r="AO1549">
            <v>0</v>
          </cell>
          <cell r="AP1549">
            <v>0</v>
          </cell>
          <cell r="AQ1549">
            <v>0</v>
          </cell>
          <cell r="AR1549">
            <v>310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36</v>
          </cell>
          <cell r="BJ1549" t="str">
            <v/>
          </cell>
          <cell r="BK1549">
            <v>1700</v>
          </cell>
          <cell r="BL1549" t="str">
            <v>1</v>
          </cell>
          <cell r="BM1549" t="str">
            <v>1</v>
          </cell>
          <cell r="BN1549" t="str">
            <v/>
          </cell>
          <cell r="BO1549" t="str">
            <v/>
          </cell>
        </row>
        <row r="1550">
          <cell r="A1550">
            <v>1</v>
          </cell>
          <cell r="B1550">
            <v>1263170</v>
          </cell>
          <cell r="C1550" t="str">
            <v>INFORMATIQUE</v>
          </cell>
          <cell r="D1550" t="str">
            <v>RADIO EMETEUR PORTATIF</v>
          </cell>
          <cell r="E1550" t="str">
            <v>N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>
            <v>0</v>
          </cell>
          <cell r="AR1550">
            <v>310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36</v>
          </cell>
          <cell r="BJ1550" t="str">
            <v/>
          </cell>
          <cell r="BK1550">
            <v>1700</v>
          </cell>
          <cell r="BL1550" t="str">
            <v>1</v>
          </cell>
          <cell r="BM1550" t="str">
            <v>1</v>
          </cell>
          <cell r="BN1550" t="str">
            <v/>
          </cell>
          <cell r="BO1550" t="str">
            <v/>
          </cell>
        </row>
        <row r="1551">
          <cell r="A1551">
            <v>1</v>
          </cell>
          <cell r="B1551">
            <v>1333181</v>
          </cell>
          <cell r="C1551" t="str">
            <v>BOITES A VAPEUR</v>
          </cell>
          <cell r="D1551" t="str">
            <v>MACHINE A PAPIERS</v>
          </cell>
          <cell r="E1551" t="str">
            <v>O</v>
          </cell>
          <cell r="F1551">
            <v>0</v>
          </cell>
          <cell r="G1551">
            <v>50000</v>
          </cell>
          <cell r="H1551">
            <v>70739.289999999994</v>
          </cell>
          <cell r="I1551">
            <v>18670.84</v>
          </cell>
          <cell r="J1551">
            <v>12037.89</v>
          </cell>
          <cell r="K1551">
            <v>0</v>
          </cell>
          <cell r="L1551">
            <v>0</v>
          </cell>
          <cell r="M1551">
            <v>0</v>
          </cell>
          <cell r="N1551">
            <v>67052.399999999994</v>
          </cell>
          <cell r="O1551">
            <v>67753.33</v>
          </cell>
          <cell r="P1551">
            <v>68449.3</v>
          </cell>
          <cell r="Q1551">
            <v>70739.289999999994</v>
          </cell>
          <cell r="R1551">
            <v>70739.289999999994</v>
          </cell>
          <cell r="S1551">
            <v>70739.289999999994</v>
          </cell>
          <cell r="T1551">
            <v>70739.289999999994</v>
          </cell>
          <cell r="U1551">
            <v>70739.289999999994</v>
          </cell>
          <cell r="V1551">
            <v>70739.289999999994</v>
          </cell>
          <cell r="W1551">
            <v>70739.289999999994</v>
          </cell>
          <cell r="X1551">
            <v>70739.289999999994</v>
          </cell>
          <cell r="Y1551">
            <v>70739.289999999994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1400.17</v>
          </cell>
          <cell r="AF1551">
            <v>4598.21</v>
          </cell>
          <cell r="AG1551">
            <v>6684.46</v>
          </cell>
          <cell r="AH1551">
            <v>12445.8</v>
          </cell>
          <cell r="AI1551">
            <v>23262.3</v>
          </cell>
          <cell r="AJ1551">
            <v>38667.57</v>
          </cell>
          <cell r="AK1551">
            <v>64106.34</v>
          </cell>
          <cell r="AL1551">
            <v>0</v>
          </cell>
          <cell r="AM1551">
            <v>1</v>
          </cell>
          <cell r="AN1551" t="str">
            <v/>
          </cell>
          <cell r="AO1551">
            <v>0</v>
          </cell>
          <cell r="AP1551">
            <v>0</v>
          </cell>
          <cell r="AQ1551">
            <v>0</v>
          </cell>
          <cell r="AR1551">
            <v>290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240</v>
          </cell>
          <cell r="BJ1551" t="str">
            <v/>
          </cell>
          <cell r="BK1551">
            <v>1700</v>
          </cell>
          <cell r="BL1551" t="str">
            <v>1</v>
          </cell>
          <cell r="BM1551" t="str">
            <v>1</v>
          </cell>
          <cell r="BN1551" t="str">
            <v/>
          </cell>
          <cell r="BO1551" t="str">
            <v/>
          </cell>
        </row>
        <row r="1552">
          <cell r="A1552">
            <v>1</v>
          </cell>
          <cell r="B1552">
            <v>1263190</v>
          </cell>
          <cell r="C1552" t="str">
            <v>INFORMATIQUE</v>
          </cell>
          <cell r="D1552" t="str">
            <v>SYSTEME CONTROLE D'ACCES</v>
          </cell>
          <cell r="E1552" t="str">
            <v>N</v>
          </cell>
          <cell r="F1552">
            <v>0</v>
          </cell>
          <cell r="G1552">
            <v>0</v>
          </cell>
          <cell r="H1552">
            <v>8440</v>
          </cell>
          <cell r="I1552">
            <v>1494</v>
          </cell>
          <cell r="J1552">
            <v>480</v>
          </cell>
          <cell r="K1552">
            <v>0</v>
          </cell>
          <cell r="L1552">
            <v>0</v>
          </cell>
          <cell r="M1552">
            <v>0</v>
          </cell>
          <cell r="N1552">
            <v>7906</v>
          </cell>
          <cell r="O1552">
            <v>7906</v>
          </cell>
          <cell r="P1552">
            <v>7906</v>
          </cell>
          <cell r="Q1552">
            <v>7906</v>
          </cell>
          <cell r="R1552">
            <v>8440</v>
          </cell>
          <cell r="S1552">
            <v>8440</v>
          </cell>
          <cell r="T1552">
            <v>8440</v>
          </cell>
          <cell r="U1552">
            <v>8440</v>
          </cell>
          <cell r="V1552">
            <v>8440</v>
          </cell>
          <cell r="W1552">
            <v>8440</v>
          </cell>
          <cell r="X1552">
            <v>8440</v>
          </cell>
          <cell r="Y1552">
            <v>8440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6500</v>
          </cell>
          <cell r="AI1552">
            <v>13926</v>
          </cell>
          <cell r="AJ1552">
            <v>7426</v>
          </cell>
          <cell r="AK1552">
            <v>7426</v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>
            <v>0</v>
          </cell>
          <cell r="AR1552">
            <v>310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36</v>
          </cell>
          <cell r="BJ1552" t="str">
            <v/>
          </cell>
          <cell r="BK1552">
            <v>1700</v>
          </cell>
          <cell r="BL1552" t="str">
            <v>1</v>
          </cell>
          <cell r="BM1552" t="str">
            <v>1</v>
          </cell>
          <cell r="BN1552" t="str">
            <v/>
          </cell>
          <cell r="BO1552" t="str">
            <v/>
          </cell>
        </row>
        <row r="1553">
          <cell r="A1553">
            <v>1</v>
          </cell>
          <cell r="B1553">
            <v>4251952</v>
          </cell>
          <cell r="C1553" t="str">
            <v>M.O.D.</v>
          </cell>
          <cell r="D1553" t="str">
            <v>LUNETTE ET BOTTES SERVIET</v>
          </cell>
          <cell r="E1553" t="str">
            <v>N</v>
          </cell>
          <cell r="F1553">
            <v>0</v>
          </cell>
          <cell r="G1553">
            <v>0</v>
          </cell>
          <cell r="H1553">
            <v>2596.42</v>
          </cell>
          <cell r="I1553">
            <v>2596.42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191.96</v>
          </cell>
          <cell r="O1553">
            <v>575.79999999999995</v>
          </cell>
          <cell r="P1553">
            <v>865.47</v>
          </cell>
          <cell r="Q1553">
            <v>965.47</v>
          </cell>
          <cell r="R1553">
            <v>1165.47</v>
          </cell>
          <cell r="S1553">
            <v>1263.23</v>
          </cell>
          <cell r="T1553">
            <v>1443.74</v>
          </cell>
          <cell r="U1553">
            <v>1593.05</v>
          </cell>
          <cell r="V1553">
            <v>2030.69</v>
          </cell>
          <cell r="W1553">
            <v>2416.1</v>
          </cell>
          <cell r="X1553">
            <v>2596.42</v>
          </cell>
          <cell r="Y1553">
            <v>2596.42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75</v>
          </cell>
          <cell r="AF1553">
            <v>75</v>
          </cell>
          <cell r="AG1553">
            <v>275</v>
          </cell>
          <cell r="AH1553">
            <v>475</v>
          </cell>
          <cell r="AI1553">
            <v>574.79999999999995</v>
          </cell>
          <cell r="AJ1553">
            <v>574.79999999999995</v>
          </cell>
          <cell r="AK1553">
            <v>643.62</v>
          </cell>
          <cell r="AL1553">
            <v>0</v>
          </cell>
          <cell r="AM1553">
            <v>2</v>
          </cell>
          <cell r="AN1553" t="str">
            <v/>
          </cell>
          <cell r="AO1553">
            <v>0</v>
          </cell>
          <cell r="AP1553">
            <v>0</v>
          </cell>
          <cell r="AQ1553">
            <v>0</v>
          </cell>
          <cell r="AR1553">
            <v>690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 t="str">
            <v/>
          </cell>
          <cell r="BK1553">
            <v>6000</v>
          </cell>
          <cell r="BL1553" t="str">
            <v>0</v>
          </cell>
          <cell r="BM1553" t="str">
            <v>1</v>
          </cell>
          <cell r="BN1553" t="str">
            <v/>
          </cell>
          <cell r="BO1553" t="str">
            <v/>
          </cell>
        </row>
        <row r="1554">
          <cell r="A1554">
            <v>1</v>
          </cell>
          <cell r="B1554">
            <v>4251953</v>
          </cell>
          <cell r="C1554" t="str">
            <v>M.O.D.</v>
          </cell>
          <cell r="D1554" t="str">
            <v>LUNETTE ET BOTTES SACS</v>
          </cell>
          <cell r="E1554" t="str">
            <v>N</v>
          </cell>
          <cell r="F1554">
            <v>0</v>
          </cell>
          <cell r="G1554">
            <v>0</v>
          </cell>
          <cell r="H1554">
            <v>3005.41</v>
          </cell>
          <cell r="I1554">
            <v>3005.41</v>
          </cell>
          <cell r="J1554">
            <v>0</v>
          </cell>
          <cell r="K1554">
            <v>0</v>
          </cell>
          <cell r="L1554">
            <v>91.96</v>
          </cell>
          <cell r="M1554">
            <v>0</v>
          </cell>
          <cell r="N1554">
            <v>97.71</v>
          </cell>
          <cell r="O1554">
            <v>297.70999999999998</v>
          </cell>
          <cell r="P1554">
            <v>495.42</v>
          </cell>
          <cell r="Q1554">
            <v>813.36</v>
          </cell>
          <cell r="R1554">
            <v>1164.96</v>
          </cell>
          <cell r="S1554">
            <v>1264.96</v>
          </cell>
          <cell r="T1554">
            <v>1745.28</v>
          </cell>
          <cell r="U1554">
            <v>1955.04</v>
          </cell>
          <cell r="V1554">
            <v>2298.1999999999998</v>
          </cell>
          <cell r="W1554">
            <v>2660.01</v>
          </cell>
          <cell r="X1554">
            <v>3005.41</v>
          </cell>
          <cell r="Y1554">
            <v>3097.37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225</v>
          </cell>
          <cell r="AF1554">
            <v>225</v>
          </cell>
          <cell r="AG1554">
            <v>405.32</v>
          </cell>
          <cell r="AH1554">
            <v>898.45</v>
          </cell>
          <cell r="AI1554">
            <v>1078.95</v>
          </cell>
          <cell r="AJ1554">
            <v>1276.6600000000001</v>
          </cell>
          <cell r="AK1554">
            <v>1276.6600000000001</v>
          </cell>
          <cell r="AL1554">
            <v>0</v>
          </cell>
          <cell r="AM1554">
            <v>3</v>
          </cell>
          <cell r="AN1554" t="str">
            <v/>
          </cell>
          <cell r="AO1554">
            <v>0</v>
          </cell>
          <cell r="AP1554">
            <v>0</v>
          </cell>
          <cell r="AQ1554">
            <v>0</v>
          </cell>
          <cell r="AR1554">
            <v>690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 t="str">
            <v/>
          </cell>
          <cell r="BK1554">
            <v>6000</v>
          </cell>
          <cell r="BL1554" t="str">
            <v>0</v>
          </cell>
          <cell r="BM1554" t="str">
            <v>1</v>
          </cell>
          <cell r="BN1554" t="str">
            <v/>
          </cell>
          <cell r="BO1554" t="str">
            <v/>
          </cell>
        </row>
        <row r="1555">
          <cell r="A1555">
            <v>1</v>
          </cell>
          <cell r="B1555">
            <v>4241921</v>
          </cell>
          <cell r="C1555" t="str">
            <v>M.O.D.</v>
          </cell>
          <cell r="D1555" t="str">
            <v>SANTE ET SECURITE</v>
          </cell>
          <cell r="E1555" t="str">
            <v>N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97.98</v>
          </cell>
          <cell r="AF1555">
            <v>97.98</v>
          </cell>
          <cell r="AG1555">
            <v>97.98</v>
          </cell>
          <cell r="AH1555">
            <v>97.98</v>
          </cell>
          <cell r="AI1555">
            <v>97.98</v>
          </cell>
          <cell r="AJ1555">
            <v>97.98</v>
          </cell>
          <cell r="AK1555">
            <v>97.98</v>
          </cell>
          <cell r="AL1555">
            <v>0</v>
          </cell>
          <cell r="AM1555">
            <v>1</v>
          </cell>
          <cell r="AN1555" t="str">
            <v/>
          </cell>
          <cell r="AO1555">
            <v>0</v>
          </cell>
          <cell r="AP1555">
            <v>0</v>
          </cell>
          <cell r="AQ1555">
            <v>0</v>
          </cell>
          <cell r="AR1555">
            <v>690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 t="str">
            <v/>
          </cell>
          <cell r="BK1555">
            <v>6000</v>
          </cell>
          <cell r="BL1555" t="str">
            <v>0</v>
          </cell>
          <cell r="BM1555" t="str">
            <v>1</v>
          </cell>
          <cell r="BN1555" t="str">
            <v/>
          </cell>
          <cell r="BO1555" t="str">
            <v/>
          </cell>
        </row>
        <row r="1556">
          <cell r="A1556">
            <v>1</v>
          </cell>
          <cell r="B1556">
            <v>1333210</v>
          </cell>
          <cell r="C1556" t="str">
            <v>BANC D'ESSAI PNEUMATIQUE</v>
          </cell>
          <cell r="D1556" t="str">
            <v/>
          </cell>
          <cell r="E1556" t="str">
            <v>O</v>
          </cell>
          <cell r="F1556">
            <v>0</v>
          </cell>
          <cell r="G1556">
            <v>0</v>
          </cell>
          <cell r="H1556">
            <v>3344.71</v>
          </cell>
          <cell r="I1556">
            <v>15000</v>
          </cell>
          <cell r="J1556">
            <v>30000</v>
          </cell>
          <cell r="K1556">
            <v>0</v>
          </cell>
          <cell r="L1556">
            <v>0</v>
          </cell>
          <cell r="M1556">
            <v>0</v>
          </cell>
          <cell r="N1556">
            <v>18344.71</v>
          </cell>
          <cell r="O1556">
            <v>3344.71</v>
          </cell>
          <cell r="P1556">
            <v>3344.71</v>
          </cell>
          <cell r="Q1556">
            <v>3344.71</v>
          </cell>
          <cell r="R1556">
            <v>3344.71</v>
          </cell>
          <cell r="S1556">
            <v>3344.71</v>
          </cell>
          <cell r="T1556">
            <v>3344.71</v>
          </cell>
          <cell r="U1556">
            <v>3344.71</v>
          </cell>
          <cell r="V1556">
            <v>3344.71</v>
          </cell>
          <cell r="W1556">
            <v>3344.71</v>
          </cell>
          <cell r="X1556">
            <v>3344.71</v>
          </cell>
          <cell r="Y1556">
            <v>3344.71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3344.71</v>
          </cell>
          <cell r="AI1556">
            <v>3344.71</v>
          </cell>
          <cell r="AJ1556">
            <v>3344.71</v>
          </cell>
          <cell r="AK1556">
            <v>18344.71</v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>
            <v>0</v>
          </cell>
          <cell r="AR1556">
            <v>290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240</v>
          </cell>
          <cell r="BJ1556" t="str">
            <v/>
          </cell>
          <cell r="BK1556">
            <v>1700</v>
          </cell>
          <cell r="BL1556" t="str">
            <v>1</v>
          </cell>
          <cell r="BM1556" t="str">
            <v>1</v>
          </cell>
          <cell r="BN1556" t="str">
            <v/>
          </cell>
          <cell r="BO1556" t="str">
            <v/>
          </cell>
        </row>
        <row r="1557">
          <cell r="A1557">
            <v>1</v>
          </cell>
          <cell r="B1557">
            <v>4801921</v>
          </cell>
          <cell r="C1557" t="str">
            <v>M.O.D.</v>
          </cell>
          <cell r="D1557" t="str">
            <v>SANTE ET SECURITE</v>
          </cell>
          <cell r="E1557" t="str">
            <v>N</v>
          </cell>
          <cell r="F1557">
            <v>0</v>
          </cell>
          <cell r="G1557">
            <v>0</v>
          </cell>
          <cell r="H1557">
            <v>188.63</v>
          </cell>
          <cell r="I1557">
            <v>188.63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188.63</v>
          </cell>
          <cell r="W1557">
            <v>188.63</v>
          </cell>
          <cell r="X1557">
            <v>188.63</v>
          </cell>
          <cell r="Y1557">
            <v>188.63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85</v>
          </cell>
          <cell r="AF1557">
            <v>85</v>
          </cell>
          <cell r="AG1557">
            <v>85</v>
          </cell>
          <cell r="AH1557">
            <v>85</v>
          </cell>
          <cell r="AI1557">
            <v>85</v>
          </cell>
          <cell r="AJ1557">
            <v>85</v>
          </cell>
          <cell r="AK1557">
            <v>85</v>
          </cell>
          <cell r="AL1557">
            <v>0</v>
          </cell>
          <cell r="AM1557">
            <v>1</v>
          </cell>
          <cell r="AN1557" t="str">
            <v/>
          </cell>
          <cell r="AO1557">
            <v>0</v>
          </cell>
          <cell r="AP1557">
            <v>0</v>
          </cell>
          <cell r="AQ1557">
            <v>0</v>
          </cell>
          <cell r="AR1557">
            <v>690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 t="str">
            <v/>
          </cell>
          <cell r="BK1557">
            <v>6000</v>
          </cell>
          <cell r="BL1557" t="str">
            <v>0</v>
          </cell>
          <cell r="BM1557" t="str">
            <v>1</v>
          </cell>
          <cell r="BN1557" t="str">
            <v/>
          </cell>
          <cell r="BO1557" t="str">
            <v/>
          </cell>
        </row>
        <row r="1558">
          <cell r="A1558">
            <v>1</v>
          </cell>
          <cell r="B1558">
            <v>1333131</v>
          </cell>
          <cell r="C1558" t="str">
            <v>DOUCHE A BROSSES FEUTRE</v>
          </cell>
          <cell r="D1558" t="str">
            <v>23 BUSES</v>
          </cell>
          <cell r="E1558" t="str">
            <v>O</v>
          </cell>
          <cell r="F1558">
            <v>0</v>
          </cell>
          <cell r="G1558">
            <v>0</v>
          </cell>
          <cell r="H1558">
            <v>3614.1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3614.1</v>
          </cell>
          <cell r="O1558">
            <v>3614.1</v>
          </cell>
          <cell r="P1558">
            <v>3614.1</v>
          </cell>
          <cell r="Q1558">
            <v>3614.1</v>
          </cell>
          <cell r="R1558">
            <v>3614.1</v>
          </cell>
          <cell r="S1558">
            <v>3614.1</v>
          </cell>
          <cell r="T1558">
            <v>3614.1</v>
          </cell>
          <cell r="U1558">
            <v>3614.1</v>
          </cell>
          <cell r="V1558">
            <v>3614.1</v>
          </cell>
          <cell r="W1558">
            <v>3614.1</v>
          </cell>
          <cell r="X1558">
            <v>3614.1</v>
          </cell>
          <cell r="Y1558">
            <v>3614.1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3614.1</v>
          </cell>
          <cell r="AG1558">
            <v>3614.1</v>
          </cell>
          <cell r="AH1558">
            <v>3614.1</v>
          </cell>
          <cell r="AI1558">
            <v>3614.1</v>
          </cell>
          <cell r="AJ1558">
            <v>3614.1</v>
          </cell>
          <cell r="AK1558">
            <v>3614.1</v>
          </cell>
          <cell r="AL1558">
            <v>0</v>
          </cell>
          <cell r="AM1558">
            <v>1</v>
          </cell>
          <cell r="AN1558" t="str">
            <v/>
          </cell>
          <cell r="AO1558">
            <v>0</v>
          </cell>
          <cell r="AP1558">
            <v>0</v>
          </cell>
          <cell r="AQ1558">
            <v>0</v>
          </cell>
          <cell r="AR1558">
            <v>290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240</v>
          </cell>
          <cell r="BJ1558" t="str">
            <v/>
          </cell>
          <cell r="BK1558">
            <v>1700</v>
          </cell>
          <cell r="BL1558" t="str">
            <v>1</v>
          </cell>
          <cell r="BM1558" t="str">
            <v>1</v>
          </cell>
          <cell r="BN1558" t="str">
            <v/>
          </cell>
          <cell r="BO1558" t="str">
            <v/>
          </cell>
        </row>
        <row r="1559">
          <cell r="A1559">
            <v>1</v>
          </cell>
          <cell r="B1559">
            <v>1333141</v>
          </cell>
          <cell r="C1559" t="str">
            <v>STRETCH DRYER</v>
          </cell>
          <cell r="D1559" t="str">
            <v>FELT AUTOMATIQUE</v>
          </cell>
          <cell r="E1559" t="str">
            <v>O</v>
          </cell>
          <cell r="F1559">
            <v>0</v>
          </cell>
          <cell r="G1559">
            <v>0</v>
          </cell>
          <cell r="H1559">
            <v>22310.91</v>
          </cell>
          <cell r="I1559">
            <v>66140.91</v>
          </cell>
          <cell r="J1559">
            <v>43830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14610</v>
          </cell>
          <cell r="R1559">
            <v>14610</v>
          </cell>
          <cell r="S1559">
            <v>14610</v>
          </cell>
          <cell r="T1559">
            <v>14610</v>
          </cell>
          <cell r="U1559">
            <v>14610</v>
          </cell>
          <cell r="V1559">
            <v>14610</v>
          </cell>
          <cell r="W1559">
            <v>14610</v>
          </cell>
          <cell r="X1559">
            <v>22310.91</v>
          </cell>
          <cell r="Y1559">
            <v>22310.91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1</v>
          </cell>
          <cell r="AN1559" t="str">
            <v/>
          </cell>
          <cell r="AO1559">
            <v>0</v>
          </cell>
          <cell r="AP1559">
            <v>0</v>
          </cell>
          <cell r="AQ1559">
            <v>0</v>
          </cell>
          <cell r="AR1559">
            <v>290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240</v>
          </cell>
          <cell r="BJ1559" t="str">
            <v/>
          </cell>
          <cell r="BK1559">
            <v>1700</v>
          </cell>
          <cell r="BL1559" t="str">
            <v>1</v>
          </cell>
          <cell r="BM1559" t="str">
            <v>1</v>
          </cell>
          <cell r="BN1559" t="str">
            <v/>
          </cell>
          <cell r="BO1559" t="str">
            <v/>
          </cell>
        </row>
        <row r="1560">
          <cell r="A1560">
            <v>1</v>
          </cell>
          <cell r="B1560">
            <v>1333151</v>
          </cell>
          <cell r="C1560" t="str">
            <v>DOUCHE A BROSSES FEUTRE</v>
          </cell>
          <cell r="D1560" t="str">
            <v>14 BUSES</v>
          </cell>
          <cell r="E1560" t="str">
            <v>O</v>
          </cell>
          <cell r="F1560">
            <v>0</v>
          </cell>
          <cell r="G1560">
            <v>0</v>
          </cell>
          <cell r="H1560">
            <v>4041.05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4041.05</v>
          </cell>
          <cell r="O1560">
            <v>4041.05</v>
          </cell>
          <cell r="P1560">
            <v>4041.05</v>
          </cell>
          <cell r="Q1560">
            <v>4041.05</v>
          </cell>
          <cell r="R1560">
            <v>4041.05</v>
          </cell>
          <cell r="S1560">
            <v>4041.05</v>
          </cell>
          <cell r="T1560">
            <v>4041.05</v>
          </cell>
          <cell r="U1560">
            <v>4041.05</v>
          </cell>
          <cell r="V1560">
            <v>4041.05</v>
          </cell>
          <cell r="W1560">
            <v>4041.05</v>
          </cell>
          <cell r="X1560">
            <v>4041.05</v>
          </cell>
          <cell r="Y1560">
            <v>4041.05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  <cell r="AF1560">
            <v>4041.05</v>
          </cell>
          <cell r="AG1560">
            <v>4041.05</v>
          </cell>
          <cell r="AH1560">
            <v>4041.05</v>
          </cell>
          <cell r="AI1560">
            <v>4041.05</v>
          </cell>
          <cell r="AJ1560">
            <v>4041.05</v>
          </cell>
          <cell r="AK1560">
            <v>4041.05</v>
          </cell>
          <cell r="AL1560">
            <v>0</v>
          </cell>
          <cell r="AM1560">
            <v>1</v>
          </cell>
          <cell r="AN1560" t="str">
            <v/>
          </cell>
          <cell r="AO1560">
            <v>0</v>
          </cell>
          <cell r="AP1560">
            <v>0</v>
          </cell>
          <cell r="AQ1560">
            <v>0</v>
          </cell>
          <cell r="AR1560">
            <v>290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240</v>
          </cell>
          <cell r="BJ1560" t="str">
            <v/>
          </cell>
          <cell r="BK1560">
            <v>1700</v>
          </cell>
          <cell r="BL1560" t="str">
            <v>1</v>
          </cell>
          <cell r="BM1560" t="str">
            <v>1</v>
          </cell>
          <cell r="BN1560" t="str">
            <v/>
          </cell>
          <cell r="BO1560" t="str">
            <v/>
          </cell>
        </row>
        <row r="1561">
          <cell r="A1561">
            <v>1</v>
          </cell>
          <cell r="B1561">
            <v>1263200</v>
          </cell>
          <cell r="C1561" t="str">
            <v>INFORMATIQUE</v>
          </cell>
          <cell r="D1561" t="str">
            <v>SYSTEME DE PAIE</v>
          </cell>
          <cell r="E1561" t="str">
            <v>N</v>
          </cell>
          <cell r="F1561">
            <v>0</v>
          </cell>
          <cell r="G1561">
            <v>0</v>
          </cell>
          <cell r="H1561">
            <v>30361.46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30361.46</v>
          </cell>
          <cell r="O1561">
            <v>30361.46</v>
          </cell>
          <cell r="P1561">
            <v>30361.46</v>
          </cell>
          <cell r="Q1561">
            <v>30361.46</v>
          </cell>
          <cell r="R1561">
            <v>30361.46</v>
          </cell>
          <cell r="S1561">
            <v>30361.46</v>
          </cell>
          <cell r="T1561">
            <v>30361.46</v>
          </cell>
          <cell r="U1561">
            <v>30361.46</v>
          </cell>
          <cell r="V1561">
            <v>30361.46</v>
          </cell>
          <cell r="W1561">
            <v>30361.46</v>
          </cell>
          <cell r="X1561">
            <v>30361.46</v>
          </cell>
          <cell r="Y1561">
            <v>30361.46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7293.56</v>
          </cell>
          <cell r="AF1561">
            <v>7293.56</v>
          </cell>
          <cell r="AG1561">
            <v>7293.56</v>
          </cell>
          <cell r="AH1561">
            <v>30361.46</v>
          </cell>
          <cell r="AI1561">
            <v>30361.46</v>
          </cell>
          <cell r="AJ1561">
            <v>30361.46</v>
          </cell>
          <cell r="AK1561">
            <v>30361.46</v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>
            <v>0</v>
          </cell>
          <cell r="AR1561">
            <v>310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36</v>
          </cell>
          <cell r="BJ1561" t="str">
            <v/>
          </cell>
          <cell r="BK1561">
            <v>1700</v>
          </cell>
          <cell r="BL1561" t="str">
            <v>1</v>
          </cell>
          <cell r="BM1561" t="str">
            <v>1</v>
          </cell>
          <cell r="BN1561" t="str">
            <v/>
          </cell>
          <cell r="BO1561" t="str">
            <v/>
          </cell>
        </row>
        <row r="1562">
          <cell r="A1562">
            <v>1</v>
          </cell>
          <cell r="B1562">
            <v>3190000</v>
          </cell>
          <cell r="C1562" t="str">
            <v>DIVIDENDES</v>
          </cell>
          <cell r="D1562" t="str">
            <v/>
          </cell>
          <cell r="E1562" t="str">
            <v>O</v>
          </cell>
          <cell r="F1562">
            <v>0</v>
          </cell>
          <cell r="G1562">
            <v>0</v>
          </cell>
          <cell r="H1562">
            <v>-1082861</v>
          </cell>
          <cell r="I1562">
            <v>1082861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-1082861</v>
          </cell>
          <cell r="U1562">
            <v>-1082861</v>
          </cell>
          <cell r="V1562">
            <v>-1082861</v>
          </cell>
          <cell r="W1562">
            <v>-1082861</v>
          </cell>
          <cell r="X1562">
            <v>-1082861</v>
          </cell>
          <cell r="Y1562">
            <v>-1082861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-3419291</v>
          </cell>
          <cell r="AF1562">
            <v>-3419291</v>
          </cell>
          <cell r="AG1562">
            <v>-3419291</v>
          </cell>
          <cell r="AH1562">
            <v>-3419291</v>
          </cell>
          <cell r="AI1562">
            <v>-3419291</v>
          </cell>
          <cell r="AJ1562">
            <v>-3419291</v>
          </cell>
          <cell r="AK1562">
            <v>-3419291</v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>
            <v>0</v>
          </cell>
          <cell r="AR1562">
            <v>592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 t="str">
            <v/>
          </cell>
          <cell r="BK1562">
            <v>3300</v>
          </cell>
          <cell r="BL1562" t="str">
            <v>0</v>
          </cell>
          <cell r="BM1562" t="str">
            <v>1</v>
          </cell>
          <cell r="BN1562" t="str">
            <v/>
          </cell>
          <cell r="BO1562" t="str">
            <v/>
          </cell>
        </row>
        <row r="1563">
          <cell r="A1563">
            <v>1</v>
          </cell>
          <cell r="B1563">
            <v>4801041</v>
          </cell>
          <cell r="C1563" t="str">
            <v>EXPÉDITIONS</v>
          </cell>
          <cell r="D1563" t="str">
            <v>STRETCH WRAP</v>
          </cell>
          <cell r="E1563" t="str">
            <v>O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1</v>
          </cell>
          <cell r="AN1563" t="str">
            <v/>
          </cell>
          <cell r="AO1563">
            <v>0</v>
          </cell>
          <cell r="AP1563">
            <v>0</v>
          </cell>
          <cell r="AQ1563">
            <v>0</v>
          </cell>
          <cell r="AR1563">
            <v>800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1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 t="str">
            <v/>
          </cell>
          <cell r="BK1563">
            <v>7100</v>
          </cell>
          <cell r="BL1563" t="str">
            <v>0</v>
          </cell>
          <cell r="BM1563" t="str">
            <v>1</v>
          </cell>
          <cell r="BN1563" t="str">
            <v/>
          </cell>
          <cell r="BO1563" t="str">
            <v/>
          </cell>
        </row>
        <row r="1564">
          <cell r="A1564">
            <v>1</v>
          </cell>
          <cell r="B1564">
            <v>4801051</v>
          </cell>
          <cell r="C1564" t="str">
            <v>EXPÉDITIONS</v>
          </cell>
          <cell r="D1564" t="str">
            <v>TETES DE ROULEAUX</v>
          </cell>
          <cell r="E1564" t="str">
            <v>O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1</v>
          </cell>
          <cell r="AN1564" t="str">
            <v/>
          </cell>
          <cell r="AO1564">
            <v>0</v>
          </cell>
          <cell r="AP1564">
            <v>0</v>
          </cell>
          <cell r="AQ1564">
            <v>0</v>
          </cell>
          <cell r="AR1564">
            <v>800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1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 t="str">
            <v/>
          </cell>
          <cell r="BK1564">
            <v>7100</v>
          </cell>
          <cell r="BL1564" t="str">
            <v>0</v>
          </cell>
          <cell r="BM1564" t="str">
            <v>1</v>
          </cell>
          <cell r="BN1564" t="str">
            <v/>
          </cell>
          <cell r="BO1564" t="str">
            <v/>
          </cell>
        </row>
        <row r="1565">
          <cell r="A1565">
            <v>1</v>
          </cell>
          <cell r="B1565">
            <v>4251954</v>
          </cell>
          <cell r="C1565" t="str">
            <v>M.O.D.</v>
          </cell>
          <cell r="D1565" t="str">
            <v>LUNETTE-BOTTES ENTR+BUREA</v>
          </cell>
          <cell r="E1565" t="str">
            <v>N</v>
          </cell>
          <cell r="F1565">
            <v>0</v>
          </cell>
          <cell r="G1565">
            <v>0</v>
          </cell>
          <cell r="H1565">
            <v>0</v>
          </cell>
          <cell r="I1565">
            <v>329.98</v>
          </cell>
          <cell r="J1565">
            <v>329.98</v>
          </cell>
          <cell r="K1565">
            <v>0</v>
          </cell>
          <cell r="L1565">
            <v>0</v>
          </cell>
          <cell r="M1565">
            <v>0</v>
          </cell>
          <cell r="N1565">
            <v>100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  <cell r="AF1565">
            <v>165.5</v>
          </cell>
          <cell r="AG1565">
            <v>165.75</v>
          </cell>
          <cell r="AH1565">
            <v>285.75</v>
          </cell>
          <cell r="AI1565">
            <v>542.33000000000004</v>
          </cell>
          <cell r="AJ1565">
            <v>542.33000000000004</v>
          </cell>
          <cell r="AK1565">
            <v>635.28</v>
          </cell>
          <cell r="AL1565">
            <v>0</v>
          </cell>
          <cell r="AM1565">
            <v>4</v>
          </cell>
          <cell r="AN1565" t="str">
            <v/>
          </cell>
          <cell r="AO1565">
            <v>0</v>
          </cell>
          <cell r="AP1565">
            <v>0</v>
          </cell>
          <cell r="AQ1565">
            <v>0</v>
          </cell>
          <cell r="AR1565">
            <v>690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 t="str">
            <v/>
          </cell>
          <cell r="BK1565">
            <v>6000</v>
          </cell>
          <cell r="BL1565" t="str">
            <v>0</v>
          </cell>
          <cell r="BM1565" t="str">
            <v>1</v>
          </cell>
          <cell r="BN1565" t="str">
            <v/>
          </cell>
          <cell r="BO1565" t="str">
            <v/>
          </cell>
        </row>
        <row r="1566">
          <cell r="A1566">
            <v>1</v>
          </cell>
          <cell r="B1566">
            <v>4313841</v>
          </cell>
          <cell r="C1566" t="str">
            <v>CHIMIQUES</v>
          </cell>
          <cell r="D1566" t="str">
            <v>POLYFLEX CP3</v>
          </cell>
          <cell r="E1566" t="str">
            <v>O</v>
          </cell>
          <cell r="F1566">
            <v>0</v>
          </cell>
          <cell r="G1566">
            <v>0</v>
          </cell>
          <cell r="H1566">
            <v>75242.77</v>
          </cell>
          <cell r="I1566">
            <v>231060.48000000001</v>
          </cell>
          <cell r="J1566">
            <v>155817.71</v>
          </cell>
          <cell r="K1566">
            <v>0</v>
          </cell>
          <cell r="L1566">
            <v>23695.32</v>
          </cell>
          <cell r="M1566">
            <v>16697.32</v>
          </cell>
          <cell r="N1566">
            <v>-1145.01</v>
          </cell>
          <cell r="O1566">
            <v>5591.79</v>
          </cell>
          <cell r="P1566">
            <v>15833.04</v>
          </cell>
          <cell r="Q1566">
            <v>22829.49</v>
          </cell>
          <cell r="R1566">
            <v>29660.34</v>
          </cell>
          <cell r="S1566">
            <v>37741.589999999997</v>
          </cell>
          <cell r="T1566">
            <v>45961.59</v>
          </cell>
          <cell r="U1566">
            <v>52753.03</v>
          </cell>
          <cell r="V1566">
            <v>60290.25</v>
          </cell>
          <cell r="W1566">
            <v>68300.45</v>
          </cell>
          <cell r="X1566">
            <v>75242.77</v>
          </cell>
          <cell r="Y1566">
            <v>82240.77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11353.95</v>
          </cell>
          <cell r="AG1566">
            <v>11487.9</v>
          </cell>
          <cell r="AH1566">
            <v>17658.900000000001</v>
          </cell>
          <cell r="AI1566">
            <v>24506.15</v>
          </cell>
          <cell r="AJ1566">
            <v>32572.6</v>
          </cell>
          <cell r="AK1566">
            <v>46405.11</v>
          </cell>
          <cell r="AL1566">
            <v>0</v>
          </cell>
          <cell r="AM1566">
            <v>1</v>
          </cell>
          <cell r="AN1566" t="str">
            <v/>
          </cell>
          <cell r="AO1566">
            <v>0</v>
          </cell>
          <cell r="AP1566">
            <v>0</v>
          </cell>
          <cell r="AQ1566">
            <v>0</v>
          </cell>
          <cell r="AR1566">
            <v>660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 t="str">
            <v/>
          </cell>
          <cell r="BK1566">
            <v>6200</v>
          </cell>
          <cell r="BL1566" t="str">
            <v>0</v>
          </cell>
          <cell r="BM1566" t="str">
            <v>1</v>
          </cell>
          <cell r="BN1566" t="str">
            <v/>
          </cell>
          <cell r="BO1566" t="str">
            <v/>
          </cell>
        </row>
        <row r="1567">
          <cell r="A1567">
            <v>1</v>
          </cell>
          <cell r="B1567">
            <v>4478001</v>
          </cell>
          <cell r="C1567" t="str">
            <v>ENTRETIEN MACHINERIE</v>
          </cell>
          <cell r="D1567" t="str">
            <v>TRANSPORT SUR PIECES</v>
          </cell>
          <cell r="E1567" t="str">
            <v>O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0</v>
          </cell>
          <cell r="AD1567">
            <v>0</v>
          </cell>
          <cell r="AE1567">
            <v>0</v>
          </cell>
          <cell r="AF1567">
            <v>0</v>
          </cell>
          <cell r="AG1567">
            <v>0</v>
          </cell>
          <cell r="AH1567">
            <v>21.96</v>
          </cell>
          <cell r="AI1567">
            <v>21.96</v>
          </cell>
          <cell r="AJ1567">
            <v>21.96</v>
          </cell>
          <cell r="AK1567">
            <v>21.96</v>
          </cell>
          <cell r="AL1567">
            <v>0</v>
          </cell>
          <cell r="AM1567">
            <v>1</v>
          </cell>
          <cell r="AN1567" t="str">
            <v/>
          </cell>
          <cell r="AO1567">
            <v>0</v>
          </cell>
          <cell r="AP1567">
            <v>0</v>
          </cell>
          <cell r="AQ1567">
            <v>0</v>
          </cell>
          <cell r="AR1567">
            <v>720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 t="str">
            <v/>
          </cell>
          <cell r="BK1567">
            <v>7000</v>
          </cell>
          <cell r="BL1567" t="str">
            <v>0</v>
          </cell>
          <cell r="BM1567" t="str">
            <v>1</v>
          </cell>
          <cell r="BN1567" t="str">
            <v/>
          </cell>
          <cell r="BO1567" t="str">
            <v/>
          </cell>
        </row>
        <row r="1568">
          <cell r="A1568">
            <v>1</v>
          </cell>
          <cell r="B1568">
            <v>4478002</v>
          </cell>
          <cell r="C1568" t="str">
            <v>ENTRETIEN MACHINERIE</v>
          </cell>
          <cell r="D1568" t="str">
            <v>TRANSPORT SUR PIECES</v>
          </cell>
          <cell r="E1568" t="str">
            <v>O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2</v>
          </cell>
          <cell r="AN1568" t="str">
            <v/>
          </cell>
          <cell r="AO1568">
            <v>0</v>
          </cell>
          <cell r="AP1568">
            <v>0</v>
          </cell>
          <cell r="AQ1568">
            <v>0</v>
          </cell>
          <cell r="AR1568">
            <v>720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 t="str">
            <v/>
          </cell>
          <cell r="BK1568">
            <v>7000</v>
          </cell>
          <cell r="BL1568" t="str">
            <v>0</v>
          </cell>
          <cell r="BM1568" t="str">
            <v>1</v>
          </cell>
          <cell r="BN1568" t="str">
            <v/>
          </cell>
          <cell r="BO1568" t="str">
            <v/>
          </cell>
        </row>
        <row r="1569">
          <cell r="A1569">
            <v>1</v>
          </cell>
          <cell r="B1569">
            <v>4478003</v>
          </cell>
          <cell r="C1569" t="str">
            <v>ENTRETIEN MACHINERIE</v>
          </cell>
          <cell r="D1569" t="str">
            <v>TRANSPORT SUR PIECES</v>
          </cell>
          <cell r="E1569" t="str">
            <v>O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>
            <v>0</v>
          </cell>
          <cell r="AL1569">
            <v>0</v>
          </cell>
          <cell r="AM1569">
            <v>3</v>
          </cell>
          <cell r="AN1569" t="str">
            <v/>
          </cell>
          <cell r="AO1569">
            <v>0</v>
          </cell>
          <cell r="AP1569">
            <v>0</v>
          </cell>
          <cell r="AQ1569">
            <v>0</v>
          </cell>
          <cell r="AR1569">
            <v>720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 t="str">
            <v/>
          </cell>
          <cell r="BK1569">
            <v>7000</v>
          </cell>
          <cell r="BL1569" t="str">
            <v>0</v>
          </cell>
          <cell r="BM1569" t="str">
            <v>1</v>
          </cell>
          <cell r="BN1569" t="str">
            <v/>
          </cell>
          <cell r="BO1569" t="str">
            <v/>
          </cell>
        </row>
        <row r="1570">
          <cell r="A1570">
            <v>1</v>
          </cell>
          <cell r="B1570">
            <v>4308001</v>
          </cell>
          <cell r="C1570" t="str">
            <v>FOURNITURES DE PROD.</v>
          </cell>
          <cell r="D1570" t="str">
            <v>TRANSPORT SUR FOURNITURES</v>
          </cell>
          <cell r="E1570" t="str">
            <v>O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0</v>
          </cell>
          <cell r="AK1570">
            <v>0</v>
          </cell>
          <cell r="AL1570">
            <v>0</v>
          </cell>
          <cell r="AM1570">
            <v>1</v>
          </cell>
          <cell r="AN1570" t="str">
            <v/>
          </cell>
          <cell r="AO1570">
            <v>0</v>
          </cell>
          <cell r="AP1570">
            <v>0</v>
          </cell>
          <cell r="AQ1570">
            <v>0</v>
          </cell>
          <cell r="AR1570">
            <v>740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 t="str">
            <v/>
          </cell>
          <cell r="BK1570">
            <v>6300</v>
          </cell>
          <cell r="BL1570" t="str">
            <v>0</v>
          </cell>
          <cell r="BM1570" t="str">
            <v>1</v>
          </cell>
          <cell r="BN1570" t="str">
            <v/>
          </cell>
          <cell r="BO1570" t="str">
            <v/>
          </cell>
        </row>
        <row r="1571">
          <cell r="A1571">
            <v>1</v>
          </cell>
          <cell r="B1571">
            <v>4308002</v>
          </cell>
          <cell r="C1571" t="str">
            <v>FOURNITURES DE PROD.</v>
          </cell>
          <cell r="D1571" t="str">
            <v>TRANSPORT SUR FOURNITURES</v>
          </cell>
          <cell r="E1571" t="str">
            <v>O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0</v>
          </cell>
          <cell r="AK1571">
            <v>0</v>
          </cell>
          <cell r="AL1571">
            <v>0</v>
          </cell>
          <cell r="AM1571">
            <v>2</v>
          </cell>
          <cell r="AN1571" t="str">
            <v/>
          </cell>
          <cell r="AO1571">
            <v>0</v>
          </cell>
          <cell r="AP1571">
            <v>0</v>
          </cell>
          <cell r="AQ1571">
            <v>0</v>
          </cell>
          <cell r="AR1571">
            <v>740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 t="str">
            <v/>
          </cell>
          <cell r="BK1571">
            <v>6300</v>
          </cell>
          <cell r="BL1571" t="str">
            <v>0</v>
          </cell>
          <cell r="BM1571" t="str">
            <v>1</v>
          </cell>
          <cell r="BN1571" t="str">
            <v/>
          </cell>
          <cell r="BO1571" t="str">
            <v/>
          </cell>
        </row>
        <row r="1572">
          <cell r="A1572">
            <v>1</v>
          </cell>
          <cell r="B1572">
            <v>4308003</v>
          </cell>
          <cell r="C1572" t="str">
            <v>FOURNITURES DE PROD.</v>
          </cell>
          <cell r="D1572" t="str">
            <v>TRANSPORT SUR FOURNITURES</v>
          </cell>
          <cell r="E1572" t="str">
            <v>O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>
            <v>0</v>
          </cell>
          <cell r="AL1572">
            <v>0</v>
          </cell>
          <cell r="AM1572">
            <v>3</v>
          </cell>
          <cell r="AN1572" t="str">
            <v/>
          </cell>
          <cell r="AO1572">
            <v>0</v>
          </cell>
          <cell r="AP1572">
            <v>0</v>
          </cell>
          <cell r="AQ1572">
            <v>0</v>
          </cell>
          <cell r="AR1572">
            <v>740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 t="str">
            <v/>
          </cell>
          <cell r="BK1572">
            <v>6300</v>
          </cell>
          <cell r="BL1572" t="str">
            <v>0</v>
          </cell>
          <cell r="BM1572" t="str">
            <v>1</v>
          </cell>
          <cell r="BN1572" t="str">
            <v/>
          </cell>
          <cell r="BO1572" t="str">
            <v/>
          </cell>
        </row>
        <row r="1573">
          <cell r="A1573">
            <v>1</v>
          </cell>
          <cell r="B1573">
            <v>4638002</v>
          </cell>
          <cell r="C1573" t="str">
            <v>ENTREPOSAGE</v>
          </cell>
          <cell r="D1573" t="str">
            <v>TRANSPORT POUR ENTREPOT</v>
          </cell>
          <cell r="E1573" t="str">
            <v>O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>
            <v>0</v>
          </cell>
          <cell r="AL1573">
            <v>0</v>
          </cell>
          <cell r="AM1573">
            <v>2</v>
          </cell>
          <cell r="AN1573" t="str">
            <v/>
          </cell>
          <cell r="AO1573">
            <v>0</v>
          </cell>
          <cell r="AP1573">
            <v>0</v>
          </cell>
          <cell r="AQ1573">
            <v>0</v>
          </cell>
          <cell r="AR1573">
            <v>710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 t="str">
            <v/>
          </cell>
          <cell r="BK1573">
            <v>7000</v>
          </cell>
          <cell r="BL1573" t="str">
            <v>0</v>
          </cell>
          <cell r="BM1573" t="str">
            <v>1</v>
          </cell>
          <cell r="BN1573" t="str">
            <v/>
          </cell>
          <cell r="BO1573" t="str">
            <v/>
          </cell>
        </row>
        <row r="1574">
          <cell r="A1574">
            <v>1</v>
          </cell>
          <cell r="B1574">
            <v>4638001</v>
          </cell>
          <cell r="C1574" t="str">
            <v>ENTREPOSAGE</v>
          </cell>
          <cell r="D1574" t="str">
            <v>TRANSPORT POUR ENTREPOT</v>
          </cell>
          <cell r="E1574" t="str">
            <v>O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>
            <v>0</v>
          </cell>
          <cell r="AL1574">
            <v>0</v>
          </cell>
          <cell r="AM1574">
            <v>1</v>
          </cell>
          <cell r="AN1574" t="str">
            <v/>
          </cell>
          <cell r="AO1574">
            <v>0</v>
          </cell>
          <cell r="AP1574">
            <v>0</v>
          </cell>
          <cell r="AQ1574">
            <v>0</v>
          </cell>
          <cell r="AR1574">
            <v>710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 t="str">
            <v/>
          </cell>
          <cell r="BK1574">
            <v>7000</v>
          </cell>
          <cell r="BL1574" t="str">
            <v>0</v>
          </cell>
          <cell r="BM1574" t="str">
            <v>1</v>
          </cell>
          <cell r="BN1574" t="str">
            <v/>
          </cell>
          <cell r="BO1574" t="str">
            <v/>
          </cell>
        </row>
        <row r="1575">
          <cell r="A1575">
            <v>1</v>
          </cell>
          <cell r="B1575">
            <v>4251961</v>
          </cell>
          <cell r="C1575" t="str">
            <v>M.O.D. G455 G460</v>
          </cell>
          <cell r="D1575" t="str">
            <v>AUTRES AVANTAGES</v>
          </cell>
          <cell r="E1575" t="str">
            <v>N</v>
          </cell>
          <cell r="F1575">
            <v>0</v>
          </cell>
          <cell r="G1575">
            <v>0</v>
          </cell>
          <cell r="H1575">
            <v>2535.4299999999998</v>
          </cell>
          <cell r="I1575">
            <v>2711.43</v>
          </cell>
          <cell r="J1575">
            <v>176</v>
          </cell>
          <cell r="K1575">
            <v>0</v>
          </cell>
          <cell r="L1575">
            <v>632</v>
          </cell>
          <cell r="M1575">
            <v>159.43</v>
          </cell>
          <cell r="N1575">
            <v>368</v>
          </cell>
          <cell r="O1575">
            <v>624</v>
          </cell>
          <cell r="P1575">
            <v>856</v>
          </cell>
          <cell r="Q1575">
            <v>976</v>
          </cell>
          <cell r="R1575">
            <v>1136</v>
          </cell>
          <cell r="S1575">
            <v>1416</v>
          </cell>
          <cell r="T1575">
            <v>1520</v>
          </cell>
          <cell r="U1575">
            <v>1712</v>
          </cell>
          <cell r="V1575">
            <v>2064</v>
          </cell>
          <cell r="W1575">
            <v>2376</v>
          </cell>
          <cell r="X1575">
            <v>2535.4299999999998</v>
          </cell>
          <cell r="Y1575">
            <v>3008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  <cell r="AF1575">
            <v>0</v>
          </cell>
          <cell r="AG1575">
            <v>352</v>
          </cell>
          <cell r="AH1575">
            <v>616</v>
          </cell>
          <cell r="AI1575">
            <v>1080</v>
          </cell>
          <cell r="AJ1575">
            <v>1216</v>
          </cell>
          <cell r="AK1575">
            <v>1752</v>
          </cell>
          <cell r="AL1575">
            <v>0</v>
          </cell>
          <cell r="AM1575">
            <v>1</v>
          </cell>
          <cell r="AN1575" t="str">
            <v/>
          </cell>
          <cell r="AO1575">
            <v>0</v>
          </cell>
          <cell r="AP1575">
            <v>0</v>
          </cell>
          <cell r="AQ1575">
            <v>0</v>
          </cell>
          <cell r="AR1575">
            <v>690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 t="str">
            <v/>
          </cell>
          <cell r="BK1575">
            <v>6000</v>
          </cell>
          <cell r="BL1575" t="str">
            <v>0</v>
          </cell>
          <cell r="BM1575" t="str">
            <v>1</v>
          </cell>
          <cell r="BN1575" t="str">
            <v/>
          </cell>
          <cell r="BO1575" t="str">
            <v/>
          </cell>
        </row>
        <row r="1576">
          <cell r="A1576">
            <v>1</v>
          </cell>
          <cell r="B1576">
            <v>4592071</v>
          </cell>
          <cell r="C1576" t="str">
            <v>ENTRETIEN BATIMENT</v>
          </cell>
          <cell r="D1576" t="str">
            <v>DEMARAGE PRO ACHATS</v>
          </cell>
          <cell r="E1576" t="str">
            <v>O</v>
          </cell>
          <cell r="F1576">
            <v>0</v>
          </cell>
          <cell r="G1576">
            <v>0</v>
          </cell>
          <cell r="H1576">
            <v>3743.91</v>
          </cell>
          <cell r="I1576">
            <v>8743.91</v>
          </cell>
          <cell r="J1576">
            <v>5000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3743.91</v>
          </cell>
          <cell r="P1576">
            <v>3743.91</v>
          </cell>
          <cell r="Q1576">
            <v>3743.91</v>
          </cell>
          <cell r="R1576">
            <v>3743.91</v>
          </cell>
          <cell r="S1576">
            <v>3743.91</v>
          </cell>
          <cell r="T1576">
            <v>3743.91</v>
          </cell>
          <cell r="U1576">
            <v>3743.91</v>
          </cell>
          <cell r="V1576">
            <v>3743.91</v>
          </cell>
          <cell r="W1576">
            <v>3743.91</v>
          </cell>
          <cell r="X1576">
            <v>3743.91</v>
          </cell>
          <cell r="Y1576">
            <v>3743.91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13893.57</v>
          </cell>
          <cell r="AI1576">
            <v>95416.17</v>
          </cell>
          <cell r="AJ1576">
            <v>100842.98</v>
          </cell>
          <cell r="AK1576">
            <v>89176.17</v>
          </cell>
          <cell r="AL1576">
            <v>0</v>
          </cell>
          <cell r="AM1576">
            <v>1</v>
          </cell>
          <cell r="AN1576" t="str">
            <v/>
          </cell>
          <cell r="AO1576">
            <v>0</v>
          </cell>
          <cell r="AP1576">
            <v>0</v>
          </cell>
          <cell r="AQ1576">
            <v>0</v>
          </cell>
          <cell r="AR1576">
            <v>710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 t="str">
            <v/>
          </cell>
          <cell r="BK1576">
            <v>7000</v>
          </cell>
          <cell r="BL1576" t="str">
            <v>0</v>
          </cell>
          <cell r="BM1576" t="str">
            <v>1</v>
          </cell>
          <cell r="BN1576" t="str">
            <v/>
          </cell>
          <cell r="BO1576" t="str">
            <v/>
          </cell>
        </row>
        <row r="1577">
          <cell r="A1577">
            <v>1</v>
          </cell>
          <cell r="B1577">
            <v>4592081</v>
          </cell>
          <cell r="C1577" t="str">
            <v>ENTRETIEN BATIMENT</v>
          </cell>
          <cell r="D1577" t="str">
            <v>DEMARAGE PRO MOD</v>
          </cell>
          <cell r="E1577" t="str">
            <v>O</v>
          </cell>
          <cell r="F1577">
            <v>0</v>
          </cell>
          <cell r="G1577">
            <v>0</v>
          </cell>
          <cell r="H1577">
            <v>30315.68</v>
          </cell>
          <cell r="I1577">
            <v>32413.86</v>
          </cell>
          <cell r="J1577">
            <v>2098.1799999999998</v>
          </cell>
          <cell r="K1577">
            <v>0</v>
          </cell>
          <cell r="L1577">
            <v>5187.87</v>
          </cell>
          <cell r="M1577">
            <v>1051.6099999999999</v>
          </cell>
          <cell r="N1577">
            <v>3725.09</v>
          </cell>
          <cell r="O1577">
            <v>7693.93</v>
          </cell>
          <cell r="P1577">
            <v>11490.64</v>
          </cell>
          <cell r="Q1577">
            <v>11490.64</v>
          </cell>
          <cell r="R1577">
            <v>17758.849999999999</v>
          </cell>
          <cell r="S1577">
            <v>20223.02</v>
          </cell>
          <cell r="T1577">
            <v>22683.01</v>
          </cell>
          <cell r="U1577">
            <v>25335.71</v>
          </cell>
          <cell r="V1577">
            <v>27562.799999999999</v>
          </cell>
          <cell r="W1577">
            <v>29264.07</v>
          </cell>
          <cell r="X1577">
            <v>30315.68</v>
          </cell>
          <cell r="Y1577">
            <v>34451.94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>
            <v>1878.58</v>
          </cell>
          <cell r="AL1577">
            <v>0</v>
          </cell>
          <cell r="AM1577">
            <v>1</v>
          </cell>
          <cell r="AN1577" t="str">
            <v/>
          </cell>
          <cell r="AO1577">
            <v>0</v>
          </cell>
          <cell r="AP1577">
            <v>0</v>
          </cell>
          <cell r="AQ1577">
            <v>0</v>
          </cell>
          <cell r="AR1577">
            <v>710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 t="str">
            <v/>
          </cell>
          <cell r="BK1577">
            <v>7000</v>
          </cell>
          <cell r="BL1577" t="str">
            <v>0</v>
          </cell>
          <cell r="BM1577" t="str">
            <v>1</v>
          </cell>
          <cell r="BN1577" t="str">
            <v/>
          </cell>
          <cell r="BO1577" t="str">
            <v/>
          </cell>
        </row>
        <row r="1578">
          <cell r="A1578">
            <v>1</v>
          </cell>
          <cell r="B1578">
            <v>2142031</v>
          </cell>
          <cell r="C1578" t="str">
            <v>D.A.S. D001 D901</v>
          </cell>
          <cell r="D1578" t="str">
            <v>RPC</v>
          </cell>
          <cell r="E1578" t="str">
            <v>N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>
            <v>0</v>
          </cell>
          <cell r="AL1578">
            <v>0</v>
          </cell>
          <cell r="AM1578">
            <v>1</v>
          </cell>
          <cell r="AN1578" t="str">
            <v/>
          </cell>
          <cell r="AO1578">
            <v>0</v>
          </cell>
          <cell r="AP1578">
            <v>0</v>
          </cell>
          <cell r="AQ1578">
            <v>0</v>
          </cell>
          <cell r="AR1578">
            <v>420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 t="str">
            <v/>
          </cell>
          <cell r="BK1578">
            <v>2100</v>
          </cell>
          <cell r="BL1578" t="str">
            <v>0</v>
          </cell>
          <cell r="BM1578" t="str">
            <v>1</v>
          </cell>
          <cell r="BN1578" t="str">
            <v/>
          </cell>
          <cell r="BO1578" t="str">
            <v/>
          </cell>
        </row>
        <row r="1579">
          <cell r="A1579">
            <v>1</v>
          </cell>
          <cell r="B1579">
            <v>1260000</v>
          </cell>
          <cell r="C1579" t="str">
            <v>INFORMATIQUE</v>
          </cell>
          <cell r="D1579" t="str">
            <v>DÉVELLOPEMENT PERKINS</v>
          </cell>
          <cell r="E1579" t="str">
            <v>N</v>
          </cell>
          <cell r="F1579">
            <v>0</v>
          </cell>
          <cell r="G1579">
            <v>0</v>
          </cell>
          <cell r="H1579">
            <v>37977.08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37977.08</v>
          </cell>
          <cell r="O1579">
            <v>37977.08</v>
          </cell>
          <cell r="P1579">
            <v>37977.08</v>
          </cell>
          <cell r="Q1579">
            <v>37977.08</v>
          </cell>
          <cell r="R1579">
            <v>37977.08</v>
          </cell>
          <cell r="S1579">
            <v>37977.08</v>
          </cell>
          <cell r="T1579">
            <v>37977.08</v>
          </cell>
          <cell r="U1579">
            <v>37977.08</v>
          </cell>
          <cell r="V1579">
            <v>37977.08</v>
          </cell>
          <cell r="W1579">
            <v>37977.08</v>
          </cell>
          <cell r="X1579">
            <v>37977.08</v>
          </cell>
          <cell r="Y1579">
            <v>37977.08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35311.85</v>
          </cell>
          <cell r="AH1579">
            <v>37977.08</v>
          </cell>
          <cell r="AI1579">
            <v>37977.08</v>
          </cell>
          <cell r="AJ1579">
            <v>37977.08</v>
          </cell>
          <cell r="AK1579">
            <v>37977.08</v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>
            <v>0</v>
          </cell>
          <cell r="AR1579">
            <v>310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36</v>
          </cell>
          <cell r="BJ1579" t="str">
            <v/>
          </cell>
          <cell r="BK1579">
            <v>1700</v>
          </cell>
          <cell r="BL1579" t="str">
            <v>1</v>
          </cell>
          <cell r="BM1579" t="str">
            <v>1</v>
          </cell>
          <cell r="BN1579" t="str">
            <v/>
          </cell>
          <cell r="BO1579" t="str">
            <v/>
          </cell>
        </row>
        <row r="1580">
          <cell r="A1580">
            <v>1</v>
          </cell>
          <cell r="B1580">
            <v>1262301</v>
          </cell>
          <cell r="C1580" t="str">
            <v>INFORMATIQUE</v>
          </cell>
          <cell r="D1580" t="str">
            <v>TELXON POUR MAT. PREMIERE</v>
          </cell>
          <cell r="E1580" t="str">
            <v>N</v>
          </cell>
          <cell r="F1580">
            <v>0</v>
          </cell>
          <cell r="G1580">
            <v>15000</v>
          </cell>
          <cell r="H1580">
            <v>11063.48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11063.48</v>
          </cell>
          <cell r="O1580">
            <v>11063.48</v>
          </cell>
          <cell r="P1580">
            <v>11063.48</v>
          </cell>
          <cell r="Q1580">
            <v>11063.48</v>
          </cell>
          <cell r="R1580">
            <v>11063.48</v>
          </cell>
          <cell r="S1580">
            <v>11063.48</v>
          </cell>
          <cell r="T1580">
            <v>11063.48</v>
          </cell>
          <cell r="U1580">
            <v>11063.48</v>
          </cell>
          <cell r="V1580">
            <v>11063.48</v>
          </cell>
          <cell r="W1580">
            <v>11063.48</v>
          </cell>
          <cell r="X1580">
            <v>11063.48</v>
          </cell>
          <cell r="Y1580">
            <v>11063.48</v>
          </cell>
          <cell r="Z1580">
            <v>0</v>
          </cell>
          <cell r="AA1580">
            <v>0</v>
          </cell>
          <cell r="AB1580">
            <v>0</v>
          </cell>
          <cell r="AC1580">
            <v>0</v>
          </cell>
          <cell r="AD1580">
            <v>0</v>
          </cell>
          <cell r="AE1580">
            <v>0</v>
          </cell>
          <cell r="AF1580">
            <v>0</v>
          </cell>
          <cell r="AG1580">
            <v>10659.04</v>
          </cell>
          <cell r="AH1580">
            <v>10659.04</v>
          </cell>
          <cell r="AI1580">
            <v>11063.48</v>
          </cell>
          <cell r="AJ1580">
            <v>11063.48</v>
          </cell>
          <cell r="AK1580">
            <v>11063.48</v>
          </cell>
          <cell r="AL1580">
            <v>0</v>
          </cell>
          <cell r="AM1580">
            <v>1</v>
          </cell>
          <cell r="AN1580" t="str">
            <v/>
          </cell>
          <cell r="AO1580">
            <v>0</v>
          </cell>
          <cell r="AP1580">
            <v>0</v>
          </cell>
          <cell r="AQ1580">
            <v>0</v>
          </cell>
          <cell r="AR1580">
            <v>310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36</v>
          </cell>
          <cell r="BJ1580" t="str">
            <v/>
          </cell>
          <cell r="BK1580">
            <v>1700</v>
          </cell>
          <cell r="BL1580" t="str">
            <v>1</v>
          </cell>
          <cell r="BM1580" t="str">
            <v>1</v>
          </cell>
          <cell r="BN1580" t="str">
            <v/>
          </cell>
          <cell r="BO1580" t="str">
            <v/>
          </cell>
        </row>
        <row r="1581">
          <cell r="A1581">
            <v>1</v>
          </cell>
          <cell r="B1581">
            <v>4301052</v>
          </cell>
          <cell r="C1581" t="str">
            <v>FOURNITURES DE PROD.</v>
          </cell>
          <cell r="D1581" t="str">
            <v>EMBALLAGE - BOITE PLIANTE</v>
          </cell>
          <cell r="E1581" t="str">
            <v>O</v>
          </cell>
          <cell r="F1581">
            <v>0</v>
          </cell>
          <cell r="G1581">
            <v>0</v>
          </cell>
          <cell r="H1581">
            <v>-62.04</v>
          </cell>
          <cell r="I1581">
            <v>2624.46</v>
          </cell>
          <cell r="J1581">
            <v>2686.5</v>
          </cell>
          <cell r="K1581">
            <v>0</v>
          </cell>
          <cell r="L1581">
            <v>11683.08</v>
          </cell>
          <cell r="M1581">
            <v>0</v>
          </cell>
          <cell r="N1581">
            <v>-2686.5</v>
          </cell>
          <cell r="O1581">
            <v>-993.3</v>
          </cell>
          <cell r="P1581">
            <v>-993.3</v>
          </cell>
          <cell r="Q1581">
            <v>-993.3</v>
          </cell>
          <cell r="R1581">
            <v>-993.3</v>
          </cell>
          <cell r="S1581">
            <v>-993.3</v>
          </cell>
          <cell r="T1581">
            <v>-993.3</v>
          </cell>
          <cell r="U1581">
            <v>-993.3</v>
          </cell>
          <cell r="V1581">
            <v>-62.04</v>
          </cell>
          <cell r="W1581">
            <v>-62.04</v>
          </cell>
          <cell r="X1581">
            <v>-62.04</v>
          </cell>
          <cell r="Y1581">
            <v>11621.04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  <cell r="AF1581">
            <v>0</v>
          </cell>
          <cell r="AG1581">
            <v>4200</v>
          </cell>
          <cell r="AH1581">
            <v>3936.69</v>
          </cell>
          <cell r="AI1581">
            <v>3936.69</v>
          </cell>
          <cell r="AJ1581">
            <v>3936.69</v>
          </cell>
          <cell r="AK1581">
            <v>6623.19</v>
          </cell>
          <cell r="AL1581">
            <v>0</v>
          </cell>
          <cell r="AM1581">
            <v>2</v>
          </cell>
          <cell r="AN1581" t="str">
            <v/>
          </cell>
          <cell r="AO1581">
            <v>0</v>
          </cell>
          <cell r="AP1581">
            <v>0</v>
          </cell>
          <cell r="AQ1581">
            <v>0</v>
          </cell>
          <cell r="AR1581">
            <v>740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1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 t="str">
            <v/>
          </cell>
          <cell r="BK1581">
            <v>6300</v>
          </cell>
          <cell r="BL1581" t="str">
            <v>0</v>
          </cell>
          <cell r="BM1581" t="str">
            <v>1</v>
          </cell>
          <cell r="BN1581" t="str">
            <v/>
          </cell>
          <cell r="BO1581" t="str">
            <v/>
          </cell>
        </row>
        <row r="1582">
          <cell r="A1582">
            <v>1</v>
          </cell>
          <cell r="B1582">
            <v>4220041</v>
          </cell>
          <cell r="C1582" t="str">
            <v>MATIERE PREMIERE   ACHATS</v>
          </cell>
          <cell r="D1582" t="str">
            <v>BOXBOARD GRADE 04</v>
          </cell>
          <cell r="E1582" t="str">
            <v>O</v>
          </cell>
          <cell r="F1582">
            <v>0</v>
          </cell>
          <cell r="G1582">
            <v>0</v>
          </cell>
          <cell r="H1582">
            <v>466552.77</v>
          </cell>
          <cell r="I1582">
            <v>776043.76</v>
          </cell>
          <cell r="J1582">
            <v>309490.99</v>
          </cell>
          <cell r="K1582">
            <v>0</v>
          </cell>
          <cell r="L1582">
            <v>55655.71</v>
          </cell>
          <cell r="M1582">
            <v>22530.71</v>
          </cell>
          <cell r="N1582">
            <v>48188.55</v>
          </cell>
          <cell r="O1582">
            <v>85792.3</v>
          </cell>
          <cell r="P1582">
            <v>144975.96</v>
          </cell>
          <cell r="Q1582">
            <v>195394.49</v>
          </cell>
          <cell r="R1582">
            <v>247522.22</v>
          </cell>
          <cell r="S1582">
            <v>286994.98</v>
          </cell>
          <cell r="T1582">
            <v>338229.26</v>
          </cell>
          <cell r="U1582">
            <v>373577.52</v>
          </cell>
          <cell r="V1582">
            <v>394474.76</v>
          </cell>
          <cell r="W1582">
            <v>429948.41</v>
          </cell>
          <cell r="X1582">
            <v>466552.77</v>
          </cell>
          <cell r="Y1582">
            <v>499677.77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14190.4</v>
          </cell>
          <cell r="AI1582">
            <v>45186.95</v>
          </cell>
          <cell r="AJ1582">
            <v>49309.01</v>
          </cell>
          <cell r="AK1582">
            <v>80419.91</v>
          </cell>
          <cell r="AL1582">
            <v>0</v>
          </cell>
          <cell r="AM1582">
            <v>1</v>
          </cell>
          <cell r="AN1582" t="str">
            <v/>
          </cell>
          <cell r="AO1582">
            <v>0</v>
          </cell>
          <cell r="AP1582">
            <v>0</v>
          </cell>
          <cell r="AQ1582">
            <v>0</v>
          </cell>
          <cell r="AR1582">
            <v>660</v>
          </cell>
          <cell r="AS1582">
            <v>0</v>
          </cell>
          <cell r="AT1582" t="str">
            <v/>
          </cell>
          <cell r="AU1582">
            <v>41</v>
          </cell>
          <cell r="AV1582">
            <v>0</v>
          </cell>
          <cell r="AW1582">
            <v>604.46</v>
          </cell>
          <cell r="AX1582">
            <v>0</v>
          </cell>
          <cell r="AY1582">
            <v>0</v>
          </cell>
          <cell r="AZ1582">
            <v>663.44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 t="str">
            <v/>
          </cell>
          <cell r="BK1582">
            <v>5100</v>
          </cell>
          <cell r="BL1582" t="str">
            <v>0</v>
          </cell>
          <cell r="BM1582" t="str">
            <v>1</v>
          </cell>
          <cell r="BN1582" t="str">
            <v/>
          </cell>
          <cell r="BO1582" t="str">
            <v/>
          </cell>
        </row>
        <row r="1583">
          <cell r="A1583">
            <v>1</v>
          </cell>
          <cell r="B1583">
            <v>4220201</v>
          </cell>
          <cell r="C1583" t="str">
            <v>MATIERE PREMIERE   ACHATS</v>
          </cell>
          <cell r="D1583" t="str">
            <v>KRAFT BRUN</v>
          </cell>
          <cell r="E1583" t="str">
            <v>O</v>
          </cell>
          <cell r="F1583">
            <v>0</v>
          </cell>
          <cell r="G1583">
            <v>0</v>
          </cell>
          <cell r="H1583">
            <v>3310.64</v>
          </cell>
          <cell r="I1583">
            <v>3310.64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3310.64</v>
          </cell>
          <cell r="Y1583">
            <v>3310.64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  <cell r="AF1583">
            <v>0</v>
          </cell>
          <cell r="AG1583">
            <v>0</v>
          </cell>
          <cell r="AH1583">
            <v>4864.3599999999997</v>
          </cell>
          <cell r="AI1583">
            <v>18462.16</v>
          </cell>
          <cell r="AJ1583">
            <v>18462.16</v>
          </cell>
          <cell r="AK1583">
            <v>16842.16</v>
          </cell>
          <cell r="AL1583">
            <v>0</v>
          </cell>
          <cell r="AM1583">
            <v>1</v>
          </cell>
          <cell r="AN1583" t="str">
            <v/>
          </cell>
          <cell r="AO1583">
            <v>0</v>
          </cell>
          <cell r="AP1583">
            <v>0</v>
          </cell>
          <cell r="AQ1583">
            <v>0</v>
          </cell>
          <cell r="AR1583">
            <v>660</v>
          </cell>
          <cell r="AS1583">
            <v>0</v>
          </cell>
          <cell r="AT1583" t="str">
            <v/>
          </cell>
          <cell r="AU1583">
            <v>201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46.07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 t="str">
            <v/>
          </cell>
          <cell r="BK1583">
            <v>5100</v>
          </cell>
          <cell r="BL1583" t="str">
            <v>0</v>
          </cell>
          <cell r="BM1583" t="str">
            <v>1</v>
          </cell>
          <cell r="BN1583" t="str">
            <v/>
          </cell>
          <cell r="BO1583" t="str">
            <v/>
          </cell>
        </row>
        <row r="1584">
          <cell r="A1584">
            <v>1</v>
          </cell>
          <cell r="B1584">
            <v>4210041</v>
          </cell>
          <cell r="C1584" t="str">
            <v>INV MAT PREM</v>
          </cell>
          <cell r="D1584" t="str">
            <v>BOXBOARD       #GRADE 04</v>
          </cell>
          <cell r="E1584" t="str">
            <v>O</v>
          </cell>
          <cell r="F1584">
            <v>0</v>
          </cell>
          <cell r="G1584">
            <v>0</v>
          </cell>
          <cell r="H1584">
            <v>5226</v>
          </cell>
          <cell r="I1584">
            <v>163860.48000000001</v>
          </cell>
          <cell r="J1584">
            <v>169086.48</v>
          </cell>
          <cell r="K1584">
            <v>0</v>
          </cell>
          <cell r="L1584">
            <v>5226</v>
          </cell>
          <cell r="M1584">
            <v>0</v>
          </cell>
          <cell r="N1584">
            <v>4905.8100000000004</v>
          </cell>
          <cell r="O1584">
            <v>6179</v>
          </cell>
          <cell r="P1584">
            <v>11051.57</v>
          </cell>
          <cell r="Q1584">
            <v>7942.04</v>
          </cell>
          <cell r="R1584">
            <v>23179.62</v>
          </cell>
          <cell r="S1584">
            <v>14923.4</v>
          </cell>
          <cell r="T1584">
            <v>8706.26</v>
          </cell>
          <cell r="U1584">
            <v>4511.18</v>
          </cell>
          <cell r="V1584">
            <v>3815.93</v>
          </cell>
          <cell r="W1584">
            <v>4841</v>
          </cell>
          <cell r="X1584">
            <v>5226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29904.81</v>
          </cell>
          <cell r="AJ1584">
            <v>8033.06</v>
          </cell>
          <cell r="AK1584">
            <v>0</v>
          </cell>
          <cell r="AL1584">
            <v>0</v>
          </cell>
          <cell r="AM1584">
            <v>1</v>
          </cell>
          <cell r="AN1584" t="str">
            <v/>
          </cell>
          <cell r="AO1584">
            <v>0</v>
          </cell>
          <cell r="AP1584">
            <v>0</v>
          </cell>
          <cell r="AQ1584">
            <v>0</v>
          </cell>
          <cell r="AR1584">
            <v>650</v>
          </cell>
          <cell r="AS1584">
            <v>0</v>
          </cell>
          <cell r="AT1584" t="str">
            <v/>
          </cell>
          <cell r="AU1584">
            <v>0</v>
          </cell>
          <cell r="AV1584">
            <v>82.49</v>
          </cell>
          <cell r="AW1584">
            <v>0</v>
          </cell>
          <cell r="AX1584">
            <v>0</v>
          </cell>
          <cell r="AY1584">
            <v>0</v>
          </cell>
          <cell r="AZ1584">
            <v>-82.49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 t="str">
            <v/>
          </cell>
          <cell r="BK1584">
            <v>5100</v>
          </cell>
          <cell r="BL1584" t="str">
            <v>0</v>
          </cell>
          <cell r="BM1584" t="str">
            <v>1</v>
          </cell>
          <cell r="BN1584" t="str">
            <v/>
          </cell>
          <cell r="BO1584" t="str">
            <v/>
          </cell>
        </row>
        <row r="1585">
          <cell r="A1585">
            <v>1</v>
          </cell>
          <cell r="B1585">
            <v>4210201</v>
          </cell>
          <cell r="C1585" t="str">
            <v>INV MAT PREM</v>
          </cell>
          <cell r="D1585" t="str">
            <v>KRAFT BRUN   #GRADE 20</v>
          </cell>
          <cell r="E1585" t="str">
            <v>O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12030.83</v>
          </cell>
          <cell r="AJ1585">
            <v>0</v>
          </cell>
          <cell r="AK1585">
            <v>0</v>
          </cell>
          <cell r="AL1585">
            <v>0</v>
          </cell>
          <cell r="AM1585">
            <v>1</v>
          </cell>
          <cell r="AN1585" t="str">
            <v/>
          </cell>
          <cell r="AO1585">
            <v>0</v>
          </cell>
          <cell r="AP1585">
            <v>0</v>
          </cell>
          <cell r="AQ1585">
            <v>0</v>
          </cell>
          <cell r="AR1585">
            <v>650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 t="str">
            <v/>
          </cell>
          <cell r="BK1585">
            <v>5100</v>
          </cell>
          <cell r="BL1585" t="str">
            <v>0</v>
          </cell>
          <cell r="BM1585" t="str">
            <v>1</v>
          </cell>
          <cell r="BN1585" t="str">
            <v/>
          </cell>
          <cell r="BO1585" t="str">
            <v/>
          </cell>
        </row>
        <row r="1586">
          <cell r="A1586">
            <v>1</v>
          </cell>
          <cell r="B1586">
            <v>4821001</v>
          </cell>
          <cell r="C1586" t="str">
            <v>MARKETING</v>
          </cell>
          <cell r="D1586" t="str">
            <v>MARKETING SALAIRE</v>
          </cell>
          <cell r="E1586" t="str">
            <v>O</v>
          </cell>
          <cell r="F1586">
            <v>0</v>
          </cell>
          <cell r="G1586">
            <v>0</v>
          </cell>
          <cell r="H1586">
            <v>46524.54</v>
          </cell>
          <cell r="I1586">
            <v>51249.11</v>
          </cell>
          <cell r="J1586">
            <v>4724.57</v>
          </cell>
          <cell r="K1586">
            <v>0</v>
          </cell>
          <cell r="L1586">
            <v>7488.06</v>
          </cell>
          <cell r="M1586">
            <v>4170.63</v>
          </cell>
          <cell r="N1586">
            <v>4659.55</v>
          </cell>
          <cell r="O1586">
            <v>8673.56</v>
          </cell>
          <cell r="P1586">
            <v>13493.61</v>
          </cell>
          <cell r="Q1586">
            <v>17341.650000000001</v>
          </cell>
          <cell r="R1586">
            <v>21189.69</v>
          </cell>
          <cell r="S1586">
            <v>25999.74</v>
          </cell>
          <cell r="T1586">
            <v>29847.78</v>
          </cell>
          <cell r="U1586">
            <v>34657.83</v>
          </cell>
          <cell r="V1586">
            <v>38505.870000000003</v>
          </cell>
          <cell r="W1586">
            <v>42353.91</v>
          </cell>
          <cell r="X1586">
            <v>46524.54</v>
          </cell>
          <cell r="Y1586">
            <v>49841.97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3722.44</v>
          </cell>
          <cell r="AI1586">
            <v>7658.06</v>
          </cell>
          <cell r="AJ1586">
            <v>10949.7</v>
          </cell>
          <cell r="AK1586">
            <v>14397.62</v>
          </cell>
          <cell r="AL1586">
            <v>0</v>
          </cell>
          <cell r="AM1586">
            <v>1</v>
          </cell>
          <cell r="AN1586" t="str">
            <v/>
          </cell>
          <cell r="AO1586">
            <v>0</v>
          </cell>
          <cell r="AP1586">
            <v>0</v>
          </cell>
          <cell r="AQ1586">
            <v>0</v>
          </cell>
          <cell r="AR1586">
            <v>800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 t="str">
            <v/>
          </cell>
          <cell r="BK1586">
            <v>4100</v>
          </cell>
          <cell r="BL1586" t="str">
            <v>0</v>
          </cell>
          <cell r="BM1586" t="str">
            <v>1</v>
          </cell>
          <cell r="BN1586" t="str">
            <v/>
          </cell>
          <cell r="BO1586" t="str">
            <v/>
          </cell>
        </row>
        <row r="1587">
          <cell r="A1587">
            <v>1</v>
          </cell>
          <cell r="B1587">
            <v>4442021</v>
          </cell>
          <cell r="C1587" t="str">
            <v>CHAUDIERE</v>
          </cell>
          <cell r="D1587" t="str">
            <v>MAINTENANCE MAJEURE</v>
          </cell>
          <cell r="E1587" t="str">
            <v>O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0</v>
          </cell>
          <cell r="AK1587">
            <v>0</v>
          </cell>
          <cell r="AL1587">
            <v>0</v>
          </cell>
          <cell r="AM1587">
            <v>1</v>
          </cell>
          <cell r="AN1587" t="str">
            <v/>
          </cell>
          <cell r="AO1587">
            <v>0</v>
          </cell>
          <cell r="AP1587">
            <v>0</v>
          </cell>
          <cell r="AQ1587">
            <v>0</v>
          </cell>
          <cell r="AR1587">
            <v>720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 t="str">
            <v/>
          </cell>
          <cell r="BK1587">
            <v>7000</v>
          </cell>
          <cell r="BL1587" t="str">
            <v>0</v>
          </cell>
          <cell r="BM1587" t="str">
            <v>1</v>
          </cell>
          <cell r="BN1587" t="str">
            <v/>
          </cell>
          <cell r="BO1587" t="str">
            <v/>
          </cell>
        </row>
        <row r="1588">
          <cell r="A1588">
            <v>1</v>
          </cell>
          <cell r="B1588">
            <v>4809901</v>
          </cell>
          <cell r="C1588" t="str">
            <v>COMPTE DE TRANSFERT</v>
          </cell>
          <cell r="D1588" t="str">
            <v>TRANSFERT INTER-CO (BOX)</v>
          </cell>
          <cell r="E1588" t="str">
            <v>O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0</v>
          </cell>
          <cell r="AK1588">
            <v>0</v>
          </cell>
          <cell r="AL1588">
            <v>0</v>
          </cell>
          <cell r="AM1588">
            <v>1</v>
          </cell>
          <cell r="AN1588" t="str">
            <v/>
          </cell>
          <cell r="AO1588">
            <v>0</v>
          </cell>
          <cell r="AP1588">
            <v>0</v>
          </cell>
          <cell r="AQ1588">
            <v>0</v>
          </cell>
          <cell r="AR1588">
            <v>800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 t="str">
            <v/>
          </cell>
          <cell r="BK1588">
            <v>7100</v>
          </cell>
          <cell r="BL1588" t="str">
            <v>0</v>
          </cell>
          <cell r="BM1588" t="str">
            <v>1</v>
          </cell>
          <cell r="BN1588" t="str">
            <v/>
          </cell>
          <cell r="BO1588" t="str">
            <v/>
          </cell>
        </row>
        <row r="1589">
          <cell r="A1589">
            <v>1</v>
          </cell>
          <cell r="B1589">
            <v>5201049</v>
          </cell>
          <cell r="C1589" t="str">
            <v>AUTRES REVENUS</v>
          </cell>
          <cell r="D1589" t="str">
            <v>GOBELET ET COUVERT</v>
          </cell>
          <cell r="E1589" t="str">
            <v>O</v>
          </cell>
          <cell r="F1589">
            <v>0</v>
          </cell>
          <cell r="G1589">
            <v>0</v>
          </cell>
          <cell r="H1589">
            <v>10208.31</v>
          </cell>
          <cell r="I1589">
            <v>21.72</v>
          </cell>
          <cell r="J1589">
            <v>10230.030000000001</v>
          </cell>
          <cell r="K1589">
            <v>0</v>
          </cell>
          <cell r="L1589">
            <v>0</v>
          </cell>
          <cell r="M1589">
            <v>4087.74</v>
          </cell>
          <cell r="N1589">
            <v>5746.79</v>
          </cell>
          <cell r="O1589">
            <v>5725.07</v>
          </cell>
          <cell r="P1589">
            <v>6037.68</v>
          </cell>
          <cell r="Q1589">
            <v>6914.18</v>
          </cell>
          <cell r="R1589">
            <v>6914.18</v>
          </cell>
          <cell r="S1589">
            <v>7154.68</v>
          </cell>
          <cell r="T1589">
            <v>7154.68</v>
          </cell>
          <cell r="U1589">
            <v>7154.68</v>
          </cell>
          <cell r="V1589">
            <v>7322.95</v>
          </cell>
          <cell r="W1589">
            <v>7587.46</v>
          </cell>
          <cell r="X1589">
            <v>10208.31</v>
          </cell>
          <cell r="Y1589">
            <v>14296.05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942</v>
          </cell>
          <cell r="AL1589">
            <v>0</v>
          </cell>
          <cell r="AM1589">
            <v>9</v>
          </cell>
          <cell r="AN1589" t="str">
            <v/>
          </cell>
          <cell r="AO1589">
            <v>0</v>
          </cell>
          <cell r="AP1589">
            <v>0</v>
          </cell>
          <cell r="AQ1589">
            <v>0</v>
          </cell>
          <cell r="AR1589">
            <v>600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 t="str">
            <v/>
          </cell>
          <cell r="BK1589">
            <v>7300</v>
          </cell>
          <cell r="BL1589" t="str">
            <v>0</v>
          </cell>
          <cell r="BM1589" t="str">
            <v>1</v>
          </cell>
          <cell r="BN1589" t="str">
            <v/>
          </cell>
          <cell r="BO1589" t="str">
            <v/>
          </cell>
        </row>
        <row r="1590">
          <cell r="A1590">
            <v>1</v>
          </cell>
          <cell r="B1590">
            <v>1333230</v>
          </cell>
          <cell r="C1590" t="str">
            <v>SOUDEUSE</v>
          </cell>
          <cell r="D1590" t="str">
            <v/>
          </cell>
          <cell r="E1590" t="str">
            <v>O</v>
          </cell>
          <cell r="F1590">
            <v>0</v>
          </cell>
          <cell r="G1590">
            <v>0</v>
          </cell>
          <cell r="H1590">
            <v>2404.77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2404.77</v>
          </cell>
          <cell r="O1590">
            <v>2404.77</v>
          </cell>
          <cell r="P1590">
            <v>2404.77</v>
          </cell>
          <cell r="Q1590">
            <v>2404.77</v>
          </cell>
          <cell r="R1590">
            <v>2404.77</v>
          </cell>
          <cell r="S1590">
            <v>2404.77</v>
          </cell>
          <cell r="T1590">
            <v>2404.77</v>
          </cell>
          <cell r="U1590">
            <v>2404.77</v>
          </cell>
          <cell r="V1590">
            <v>2404.77</v>
          </cell>
          <cell r="W1590">
            <v>2404.77</v>
          </cell>
          <cell r="X1590">
            <v>2404.77</v>
          </cell>
          <cell r="Y1590">
            <v>2404.77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2408.5700000000002</v>
          </cell>
          <cell r="AJ1590">
            <v>2408.5700000000002</v>
          </cell>
          <cell r="AK1590">
            <v>2404.77</v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>
            <v>0</v>
          </cell>
          <cell r="AR1590">
            <v>290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240</v>
          </cell>
          <cell r="BJ1590" t="str">
            <v/>
          </cell>
          <cell r="BK1590">
            <v>1700</v>
          </cell>
          <cell r="BL1590" t="str">
            <v>1</v>
          </cell>
          <cell r="BM1590" t="str">
            <v>1</v>
          </cell>
          <cell r="BN1590" t="str">
            <v/>
          </cell>
          <cell r="BO1590" t="str">
            <v/>
          </cell>
        </row>
        <row r="1591">
          <cell r="A1591">
            <v>1</v>
          </cell>
          <cell r="B1591">
            <v>1333241</v>
          </cell>
          <cell r="C1591" t="str">
            <v>SHRINK WRAP</v>
          </cell>
          <cell r="D1591" t="str">
            <v/>
          </cell>
          <cell r="E1591" t="str">
            <v>O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0</v>
          </cell>
          <cell r="AK1591">
            <v>0</v>
          </cell>
          <cell r="AL1591">
            <v>0</v>
          </cell>
          <cell r="AM1591">
            <v>1</v>
          </cell>
          <cell r="AN1591" t="str">
            <v/>
          </cell>
          <cell r="AO1591">
            <v>0</v>
          </cell>
          <cell r="AP1591">
            <v>0</v>
          </cell>
          <cell r="AQ1591">
            <v>0</v>
          </cell>
          <cell r="AR1591">
            <v>290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240</v>
          </cell>
          <cell r="BJ1591" t="str">
            <v/>
          </cell>
          <cell r="BK1591">
            <v>1700</v>
          </cell>
          <cell r="BL1591" t="str">
            <v>1</v>
          </cell>
          <cell r="BM1591" t="str">
            <v>1</v>
          </cell>
          <cell r="BN1591" t="str">
            <v/>
          </cell>
          <cell r="BO1591" t="str">
            <v/>
          </cell>
        </row>
        <row r="1592">
          <cell r="A1592">
            <v>1</v>
          </cell>
          <cell r="B1592">
            <v>1333221</v>
          </cell>
          <cell r="C1592" t="str">
            <v>SOFT START PULPER#2</v>
          </cell>
          <cell r="D1592" t="str">
            <v/>
          </cell>
          <cell r="E1592" t="str">
            <v>O</v>
          </cell>
          <cell r="F1592">
            <v>0</v>
          </cell>
          <cell r="G1592">
            <v>0</v>
          </cell>
          <cell r="H1592">
            <v>13076.4</v>
          </cell>
          <cell r="I1592">
            <v>64852.800000000003</v>
          </cell>
          <cell r="J1592">
            <v>51776.4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12900</v>
          </cell>
          <cell r="P1592">
            <v>12981</v>
          </cell>
          <cell r="Q1592">
            <v>12981</v>
          </cell>
          <cell r="R1592">
            <v>26071.8</v>
          </cell>
          <cell r="S1592">
            <v>13076.4</v>
          </cell>
          <cell r="T1592">
            <v>13076.4</v>
          </cell>
          <cell r="U1592">
            <v>13076.4</v>
          </cell>
          <cell r="V1592">
            <v>13076.4</v>
          </cell>
          <cell r="W1592">
            <v>13076.4</v>
          </cell>
          <cell r="X1592">
            <v>13076.4</v>
          </cell>
          <cell r="Y1592">
            <v>13076.4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>
            <v>0</v>
          </cell>
          <cell r="AL1592">
            <v>0</v>
          </cell>
          <cell r="AM1592">
            <v>1</v>
          </cell>
          <cell r="AN1592" t="str">
            <v/>
          </cell>
          <cell r="AO1592">
            <v>0</v>
          </cell>
          <cell r="AP1592">
            <v>0</v>
          </cell>
          <cell r="AQ1592">
            <v>0</v>
          </cell>
          <cell r="AR1592">
            <v>290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240</v>
          </cell>
          <cell r="BJ1592" t="str">
            <v/>
          </cell>
          <cell r="BK1592">
            <v>1700</v>
          </cell>
          <cell r="BL1592" t="str">
            <v>1</v>
          </cell>
          <cell r="BM1592" t="str">
            <v>1</v>
          </cell>
          <cell r="BN1592" t="str">
            <v/>
          </cell>
          <cell r="BO1592" t="str">
            <v/>
          </cell>
        </row>
        <row r="1593">
          <cell r="A1593">
            <v>1</v>
          </cell>
          <cell r="B1593">
            <v>1333252</v>
          </cell>
          <cell r="C1593" t="str">
            <v>MACHINE A CHEMIN DE CLE</v>
          </cell>
          <cell r="D1593" t="str">
            <v/>
          </cell>
          <cell r="E1593" t="str">
            <v>O</v>
          </cell>
          <cell r="F1593">
            <v>0</v>
          </cell>
          <cell r="G1593">
            <v>0</v>
          </cell>
          <cell r="H1593">
            <v>2772.54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2772.54</v>
          </cell>
          <cell r="O1593">
            <v>2772.54</v>
          </cell>
          <cell r="P1593">
            <v>2772.54</v>
          </cell>
          <cell r="Q1593">
            <v>2772.54</v>
          </cell>
          <cell r="R1593">
            <v>2772.54</v>
          </cell>
          <cell r="S1593">
            <v>2772.54</v>
          </cell>
          <cell r="T1593">
            <v>2772.54</v>
          </cell>
          <cell r="U1593">
            <v>2772.54</v>
          </cell>
          <cell r="V1593">
            <v>2772.54</v>
          </cell>
          <cell r="W1593">
            <v>2772.54</v>
          </cell>
          <cell r="X1593">
            <v>2772.54</v>
          </cell>
          <cell r="Y1593">
            <v>2772.54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2772.54</v>
          </cell>
          <cell r="AJ1593">
            <v>2772.54</v>
          </cell>
          <cell r="AK1593">
            <v>2772.54</v>
          </cell>
          <cell r="AL1593">
            <v>0</v>
          </cell>
          <cell r="AM1593">
            <v>2</v>
          </cell>
          <cell r="AN1593" t="str">
            <v/>
          </cell>
          <cell r="AO1593">
            <v>0</v>
          </cell>
          <cell r="AP1593">
            <v>0</v>
          </cell>
          <cell r="AQ1593">
            <v>0</v>
          </cell>
          <cell r="AR1593">
            <v>290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240</v>
          </cell>
          <cell r="BJ1593" t="str">
            <v/>
          </cell>
          <cell r="BK1593">
            <v>1700</v>
          </cell>
          <cell r="BL1593" t="str">
            <v>1</v>
          </cell>
          <cell r="BM1593" t="str">
            <v>1</v>
          </cell>
          <cell r="BN1593" t="str">
            <v/>
          </cell>
          <cell r="BO1593" t="str">
            <v/>
          </cell>
        </row>
        <row r="1594">
          <cell r="A1594">
            <v>1</v>
          </cell>
          <cell r="B1594">
            <v>4149012</v>
          </cell>
          <cell r="C1594" t="str">
            <v>TRANSPORT ET DOUANE</v>
          </cell>
          <cell r="D1594" t="str">
            <v>JOHN V CARR    BENNET</v>
          </cell>
          <cell r="E1594" t="str">
            <v>O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0</v>
          </cell>
          <cell r="AK1594">
            <v>8.84</v>
          </cell>
          <cell r="AL1594">
            <v>0</v>
          </cell>
          <cell r="AM1594">
            <v>2</v>
          </cell>
          <cell r="AN1594" t="str">
            <v/>
          </cell>
          <cell r="AO1594">
            <v>0</v>
          </cell>
          <cell r="AP1594">
            <v>0</v>
          </cell>
          <cell r="AQ1594">
            <v>0</v>
          </cell>
          <cell r="AR1594">
            <v>610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 t="str">
            <v/>
          </cell>
          <cell r="BK1594">
            <v>4200</v>
          </cell>
          <cell r="BL1594" t="str">
            <v>0</v>
          </cell>
          <cell r="BM1594" t="str">
            <v>1</v>
          </cell>
          <cell r="BN1594" t="str">
            <v/>
          </cell>
          <cell r="BO1594" t="str">
            <v/>
          </cell>
        </row>
        <row r="1595">
          <cell r="A1595">
            <v>1</v>
          </cell>
          <cell r="B1595">
            <v>4149022</v>
          </cell>
          <cell r="C1595" t="str">
            <v>TRANSPORT</v>
          </cell>
          <cell r="D1595" t="str">
            <v>FRAIS TRANSPORT/ ENTREPOT</v>
          </cell>
          <cell r="E1595" t="str">
            <v>O</v>
          </cell>
          <cell r="F1595">
            <v>0</v>
          </cell>
          <cell r="G1595">
            <v>0</v>
          </cell>
          <cell r="H1595">
            <v>3113.08</v>
          </cell>
          <cell r="I1595">
            <v>3758.37</v>
          </cell>
          <cell r="J1595">
            <v>645.29</v>
          </cell>
          <cell r="K1595">
            <v>0</v>
          </cell>
          <cell r="L1595">
            <v>256.93</v>
          </cell>
          <cell r="M1595">
            <v>18.32</v>
          </cell>
          <cell r="N1595">
            <v>0</v>
          </cell>
          <cell r="O1595">
            <v>163.81</v>
          </cell>
          <cell r="P1595">
            <v>207.28</v>
          </cell>
          <cell r="Q1595">
            <v>338.19</v>
          </cell>
          <cell r="R1595">
            <v>568.27</v>
          </cell>
          <cell r="S1595">
            <v>1347.08</v>
          </cell>
          <cell r="T1595">
            <v>1706.95</v>
          </cell>
          <cell r="U1595">
            <v>1867.31</v>
          </cell>
          <cell r="V1595">
            <v>2231.23</v>
          </cell>
          <cell r="W1595">
            <v>2904.08</v>
          </cell>
          <cell r="X1595">
            <v>3113.08</v>
          </cell>
          <cell r="Y1595">
            <v>3351.69</v>
          </cell>
          <cell r="Z1595">
            <v>0</v>
          </cell>
          <cell r="AA1595">
            <v>0</v>
          </cell>
          <cell r="AB1595">
            <v>0</v>
          </cell>
          <cell r="AC1595">
            <v>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132.44999999999999</v>
          </cell>
          <cell r="AK1595">
            <v>132.44999999999999</v>
          </cell>
          <cell r="AL1595">
            <v>0</v>
          </cell>
          <cell r="AM1595">
            <v>2</v>
          </cell>
          <cell r="AN1595" t="str">
            <v/>
          </cell>
          <cell r="AO1595">
            <v>0</v>
          </cell>
          <cell r="AP1595">
            <v>0</v>
          </cell>
          <cell r="AQ1595">
            <v>0</v>
          </cell>
          <cell r="AR1595">
            <v>610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 t="str">
            <v/>
          </cell>
          <cell r="BK1595">
            <v>4200</v>
          </cell>
          <cell r="BL1595" t="str">
            <v>0</v>
          </cell>
          <cell r="BM1595" t="str">
            <v>1</v>
          </cell>
          <cell r="BN1595" t="str">
            <v/>
          </cell>
          <cell r="BO1595" t="str">
            <v/>
          </cell>
        </row>
        <row r="1596">
          <cell r="A1596">
            <v>1</v>
          </cell>
          <cell r="B1596">
            <v>1333262</v>
          </cell>
          <cell r="C1596" t="str">
            <v>REGULATEUR A COLLE</v>
          </cell>
          <cell r="D1596" t="str">
            <v/>
          </cell>
          <cell r="E1596" t="str">
            <v>O</v>
          </cell>
          <cell r="F1596">
            <v>0</v>
          </cell>
          <cell r="G1596">
            <v>0</v>
          </cell>
          <cell r="H1596">
            <v>45.15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45.15</v>
          </cell>
          <cell r="O1596">
            <v>45.15</v>
          </cell>
          <cell r="P1596">
            <v>45.15</v>
          </cell>
          <cell r="Q1596">
            <v>45.15</v>
          </cell>
          <cell r="R1596">
            <v>45.15</v>
          </cell>
          <cell r="S1596">
            <v>45.15</v>
          </cell>
          <cell r="T1596">
            <v>45.15</v>
          </cell>
          <cell r="U1596">
            <v>45.15</v>
          </cell>
          <cell r="V1596">
            <v>45.15</v>
          </cell>
          <cell r="W1596">
            <v>45.15</v>
          </cell>
          <cell r="X1596">
            <v>45.15</v>
          </cell>
          <cell r="Y1596">
            <v>45.15</v>
          </cell>
          <cell r="Z1596">
            <v>0</v>
          </cell>
          <cell r="AA1596">
            <v>0</v>
          </cell>
          <cell r="AB1596">
            <v>0</v>
          </cell>
          <cell r="AC1596">
            <v>0</v>
          </cell>
          <cell r="AD1596">
            <v>0</v>
          </cell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73.16</v>
          </cell>
          <cell r="AJ1596">
            <v>73.16</v>
          </cell>
          <cell r="AK1596">
            <v>45.15</v>
          </cell>
          <cell r="AL1596">
            <v>0</v>
          </cell>
          <cell r="AM1596">
            <v>2</v>
          </cell>
          <cell r="AN1596" t="str">
            <v/>
          </cell>
          <cell r="AO1596">
            <v>0</v>
          </cell>
          <cell r="AP1596">
            <v>0</v>
          </cell>
          <cell r="AQ1596">
            <v>0</v>
          </cell>
          <cell r="AR1596">
            <v>290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>
            <v>0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240</v>
          </cell>
          <cell r="BJ1596" t="str">
            <v/>
          </cell>
          <cell r="BK1596">
            <v>1700</v>
          </cell>
          <cell r="BL1596" t="str">
            <v>1</v>
          </cell>
          <cell r="BM1596" t="str">
            <v>1</v>
          </cell>
          <cell r="BN1596" t="str">
            <v/>
          </cell>
          <cell r="BO1596" t="str">
            <v/>
          </cell>
        </row>
        <row r="1597">
          <cell r="A1597">
            <v>1</v>
          </cell>
          <cell r="B1597">
            <v>1165070</v>
          </cell>
          <cell r="C1597" t="str">
            <v>INVENTAIRE BOITES CARTONS</v>
          </cell>
          <cell r="D1597" t="str">
            <v>PROD 101316 101308</v>
          </cell>
          <cell r="E1597" t="str">
            <v>O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0</v>
          </cell>
          <cell r="AD1597">
            <v>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>
            <v>0</v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>
            <v>0</v>
          </cell>
          <cell r="AR1597">
            <v>100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 t="str">
            <v/>
          </cell>
          <cell r="BK1597">
            <v>1600</v>
          </cell>
          <cell r="BL1597" t="str">
            <v>0</v>
          </cell>
          <cell r="BM1597" t="str">
            <v>1</v>
          </cell>
          <cell r="BN1597" t="str">
            <v/>
          </cell>
          <cell r="BO1597" t="str">
            <v/>
          </cell>
        </row>
        <row r="1598">
          <cell r="A1598">
            <v>1</v>
          </cell>
          <cell r="B1598">
            <v>5211049</v>
          </cell>
          <cell r="C1598" t="str">
            <v>AUTRE DEPENSE</v>
          </cell>
          <cell r="D1598" t="str">
            <v>ACHATS GOBELET ET COUVERT</v>
          </cell>
          <cell r="E1598" t="str">
            <v>O</v>
          </cell>
          <cell r="F1598">
            <v>0</v>
          </cell>
          <cell r="G1598">
            <v>0</v>
          </cell>
          <cell r="H1598">
            <v>6724</v>
          </cell>
          <cell r="I1598">
            <v>247123.05</v>
          </cell>
          <cell r="J1598">
            <v>240399.05</v>
          </cell>
          <cell r="K1598">
            <v>0</v>
          </cell>
          <cell r="L1598">
            <v>17156</v>
          </cell>
          <cell r="M1598">
            <v>13660</v>
          </cell>
          <cell r="N1598">
            <v>3420</v>
          </cell>
          <cell r="O1598">
            <v>3120</v>
          </cell>
          <cell r="P1598">
            <v>2797</v>
          </cell>
          <cell r="Q1598">
            <v>4330</v>
          </cell>
          <cell r="R1598">
            <v>4040</v>
          </cell>
          <cell r="S1598">
            <v>3122</v>
          </cell>
          <cell r="T1598">
            <v>3817</v>
          </cell>
          <cell r="U1598">
            <v>4240</v>
          </cell>
          <cell r="V1598">
            <v>2588</v>
          </cell>
          <cell r="W1598">
            <v>3572.95</v>
          </cell>
          <cell r="X1598">
            <v>6724</v>
          </cell>
          <cell r="Y1598">
            <v>10220</v>
          </cell>
          <cell r="Z1598">
            <v>0</v>
          </cell>
          <cell r="AA1598">
            <v>0</v>
          </cell>
          <cell r="AB1598">
            <v>0</v>
          </cell>
          <cell r="AC1598">
            <v>0</v>
          </cell>
          <cell r="AD1598">
            <v>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11400</v>
          </cell>
          <cell r="AK1598">
            <v>8120</v>
          </cell>
          <cell r="AL1598">
            <v>0</v>
          </cell>
          <cell r="AM1598">
            <v>9</v>
          </cell>
          <cell r="AN1598" t="str">
            <v/>
          </cell>
          <cell r="AO1598">
            <v>0</v>
          </cell>
          <cell r="AP1598">
            <v>0</v>
          </cell>
          <cell r="AQ1598">
            <v>0</v>
          </cell>
          <cell r="AR1598">
            <v>600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 t="str">
            <v/>
          </cell>
          <cell r="BK1598">
            <v>8000</v>
          </cell>
          <cell r="BL1598" t="str">
            <v>0</v>
          </cell>
          <cell r="BM1598" t="str">
            <v>1</v>
          </cell>
          <cell r="BN1598" t="str">
            <v/>
          </cell>
          <cell r="BO1598" t="str">
            <v/>
          </cell>
        </row>
        <row r="1599">
          <cell r="A1599">
            <v>1</v>
          </cell>
          <cell r="B1599">
            <v>5201059</v>
          </cell>
          <cell r="C1599" t="str">
            <v>AUTRES REVENUS</v>
          </cell>
          <cell r="D1599" t="str">
            <v>REAULEAUX POUR FEEDER</v>
          </cell>
          <cell r="E1599" t="str">
            <v>O</v>
          </cell>
          <cell r="F1599">
            <v>0</v>
          </cell>
          <cell r="G1599">
            <v>0</v>
          </cell>
          <cell r="H1599">
            <v>34917.660000000003</v>
          </cell>
          <cell r="I1599">
            <v>0</v>
          </cell>
          <cell r="J1599">
            <v>34917.660000000003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2886.24</v>
          </cell>
          <cell r="P1599">
            <v>2886.24</v>
          </cell>
          <cell r="Q1599">
            <v>3821.16</v>
          </cell>
          <cell r="R1599">
            <v>9005.36</v>
          </cell>
          <cell r="S1599">
            <v>12189.56</v>
          </cell>
          <cell r="T1599">
            <v>18440.259999999998</v>
          </cell>
          <cell r="U1599">
            <v>18440.259999999998</v>
          </cell>
          <cell r="V1599">
            <v>27667.06</v>
          </cell>
          <cell r="W1599">
            <v>33321.61</v>
          </cell>
          <cell r="X1599">
            <v>34917.660000000003</v>
          </cell>
          <cell r="Y1599">
            <v>34917.660000000003</v>
          </cell>
          <cell r="Z1599">
            <v>0</v>
          </cell>
          <cell r="AA1599">
            <v>0</v>
          </cell>
          <cell r="AB1599">
            <v>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3039.12</v>
          </cell>
          <cell r="AJ1599">
            <v>6721.4</v>
          </cell>
          <cell r="AK1599">
            <v>8902.8799999999992</v>
          </cell>
          <cell r="AL1599">
            <v>0</v>
          </cell>
          <cell r="AM1599">
            <v>9</v>
          </cell>
          <cell r="AN1599" t="str">
            <v/>
          </cell>
          <cell r="AO1599">
            <v>0</v>
          </cell>
          <cell r="AP1599">
            <v>0</v>
          </cell>
          <cell r="AQ1599">
            <v>0</v>
          </cell>
          <cell r="AR1599">
            <v>600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 t="str">
            <v/>
          </cell>
          <cell r="BK1599">
            <v>7300</v>
          </cell>
          <cell r="BL1599" t="str">
            <v>0</v>
          </cell>
          <cell r="BM1599" t="str">
            <v>1</v>
          </cell>
          <cell r="BN1599" t="str">
            <v/>
          </cell>
          <cell r="BO1599" t="str">
            <v/>
          </cell>
        </row>
        <row r="1600">
          <cell r="A1600">
            <v>3</v>
          </cell>
          <cell r="B1600">
            <v>5210159</v>
          </cell>
          <cell r="C1600" t="str">
            <v>AUTRE DEPENSE</v>
          </cell>
          <cell r="D1600" t="str">
            <v>ACHATS ROULEAUX FEEDER</v>
          </cell>
          <cell r="E1600" t="str">
            <v>O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>
            <v>0</v>
          </cell>
          <cell r="AL1600">
            <v>0</v>
          </cell>
          <cell r="AM1600">
            <v>9</v>
          </cell>
          <cell r="AN1600" t="str">
            <v/>
          </cell>
          <cell r="AO1600">
            <v>0</v>
          </cell>
          <cell r="AP1600">
            <v>0</v>
          </cell>
          <cell r="AQ1600">
            <v>0</v>
          </cell>
          <cell r="AR1600">
            <v>600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 t="str">
            <v/>
          </cell>
          <cell r="BK1600">
            <v>8000</v>
          </cell>
          <cell r="BL1600" t="str">
            <v>0</v>
          </cell>
          <cell r="BM1600" t="str">
            <v>1</v>
          </cell>
          <cell r="BN1600" t="str">
            <v/>
          </cell>
          <cell r="BO1600" t="str">
            <v/>
          </cell>
        </row>
        <row r="1601">
          <cell r="A1601">
            <v>1</v>
          </cell>
          <cell r="B1601">
            <v>5211059</v>
          </cell>
          <cell r="C1601" t="str">
            <v>AUTRE DEPENSE</v>
          </cell>
          <cell r="D1601" t="str">
            <v>ACHATS ROULEAUX FEEDER</v>
          </cell>
          <cell r="E1601" t="str">
            <v>O</v>
          </cell>
          <cell r="F1601">
            <v>0</v>
          </cell>
          <cell r="G1601">
            <v>0</v>
          </cell>
          <cell r="H1601">
            <v>8886.67</v>
          </cell>
          <cell r="I1601">
            <v>41249.01</v>
          </cell>
          <cell r="J1601">
            <v>32362.34</v>
          </cell>
          <cell r="K1601">
            <v>0</v>
          </cell>
          <cell r="L1601">
            <v>11595.67</v>
          </cell>
          <cell r="M1601">
            <v>0</v>
          </cell>
          <cell r="N1601">
            <v>1938.75</v>
          </cell>
          <cell r="O1601">
            <v>2077.98</v>
          </cell>
          <cell r="P1601">
            <v>2018.68</v>
          </cell>
          <cell r="Q1601">
            <v>2701.68</v>
          </cell>
          <cell r="R1601">
            <v>5312.28</v>
          </cell>
          <cell r="S1601">
            <v>7789.78</v>
          </cell>
          <cell r="T1601">
            <v>10915.39</v>
          </cell>
          <cell r="U1601">
            <v>11005.94</v>
          </cell>
          <cell r="V1601">
            <v>17921.84</v>
          </cell>
          <cell r="W1601">
            <v>8365.2199999999993</v>
          </cell>
          <cell r="X1601">
            <v>8886.67</v>
          </cell>
          <cell r="Y1601">
            <v>20482.34</v>
          </cell>
          <cell r="Z1601">
            <v>0</v>
          </cell>
          <cell r="AA1601">
            <v>0</v>
          </cell>
          <cell r="AB1601">
            <v>0</v>
          </cell>
          <cell r="AC1601">
            <v>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2337.64</v>
          </cell>
          <cell r="AJ1601">
            <v>5971.9</v>
          </cell>
          <cell r="AK1601">
            <v>5971.9</v>
          </cell>
          <cell r="AL1601">
            <v>0</v>
          </cell>
          <cell r="AM1601">
            <v>9</v>
          </cell>
          <cell r="AN1601" t="str">
            <v/>
          </cell>
          <cell r="AO1601">
            <v>0</v>
          </cell>
          <cell r="AP1601">
            <v>0</v>
          </cell>
          <cell r="AQ1601">
            <v>0</v>
          </cell>
          <cell r="AR1601">
            <v>600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 t="str">
            <v/>
          </cell>
          <cell r="BK1601">
            <v>8000</v>
          </cell>
          <cell r="BL1601" t="str">
            <v>0</v>
          </cell>
          <cell r="BM1601" t="str">
            <v>1</v>
          </cell>
          <cell r="BN1601" t="str">
            <v/>
          </cell>
          <cell r="BO1601" t="str">
            <v/>
          </cell>
        </row>
        <row r="1602">
          <cell r="A1602">
            <v>1</v>
          </cell>
          <cell r="B1602">
            <v>4802071</v>
          </cell>
          <cell r="C1602" t="str">
            <v>EXPEDITIONS</v>
          </cell>
          <cell r="D1602" t="str">
            <v>RÉPARATION SHRINK MC 55</v>
          </cell>
          <cell r="E1602" t="str">
            <v>O</v>
          </cell>
          <cell r="F1602">
            <v>0</v>
          </cell>
          <cell r="G1602">
            <v>0</v>
          </cell>
          <cell r="H1602">
            <v>2871.67</v>
          </cell>
          <cell r="I1602">
            <v>3574.71</v>
          </cell>
          <cell r="J1602">
            <v>703.04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1075.67</v>
          </cell>
          <cell r="P1602">
            <v>1089.02</v>
          </cell>
          <cell r="Q1602">
            <v>1089.02</v>
          </cell>
          <cell r="R1602">
            <v>1447.52</v>
          </cell>
          <cell r="S1602">
            <v>1713.1</v>
          </cell>
          <cell r="T1602">
            <v>2005.6</v>
          </cell>
          <cell r="U1602">
            <v>2005.6</v>
          </cell>
          <cell r="V1602">
            <v>2364.4</v>
          </cell>
          <cell r="W1602">
            <v>2871.67</v>
          </cell>
          <cell r="X1602">
            <v>2871.67</v>
          </cell>
          <cell r="Y1602">
            <v>2871.67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534.04999999999995</v>
          </cell>
          <cell r="AJ1602">
            <v>659.05</v>
          </cell>
          <cell r="AK1602">
            <v>1526.91</v>
          </cell>
          <cell r="AL1602">
            <v>0</v>
          </cell>
          <cell r="AM1602">
            <v>1</v>
          </cell>
          <cell r="AN1602" t="str">
            <v/>
          </cell>
          <cell r="AO1602">
            <v>0</v>
          </cell>
          <cell r="AP1602">
            <v>0</v>
          </cell>
          <cell r="AQ1602">
            <v>0</v>
          </cell>
          <cell r="AR1602">
            <v>800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 t="str">
            <v/>
          </cell>
          <cell r="BK1602">
            <v>7100</v>
          </cell>
          <cell r="BL1602" t="str">
            <v>0</v>
          </cell>
          <cell r="BM1602" t="str">
            <v>1</v>
          </cell>
          <cell r="BN1602" t="str">
            <v/>
          </cell>
          <cell r="BO1602" t="str">
            <v/>
          </cell>
        </row>
        <row r="1603">
          <cell r="A1603">
            <v>1</v>
          </cell>
          <cell r="B1603">
            <v>5006501</v>
          </cell>
          <cell r="C1603" t="str">
            <v>SALAIRE ADM</v>
          </cell>
          <cell r="D1603" t="str">
            <v>ACTIVITES-PARTY NOEL 00</v>
          </cell>
          <cell r="E1603" t="str">
            <v>O</v>
          </cell>
          <cell r="F1603">
            <v>0</v>
          </cell>
          <cell r="G1603">
            <v>0</v>
          </cell>
          <cell r="H1603">
            <v>-2904.76</v>
          </cell>
          <cell r="I1603">
            <v>1150</v>
          </cell>
          <cell r="J1603">
            <v>4054.76</v>
          </cell>
          <cell r="K1603">
            <v>0</v>
          </cell>
          <cell r="L1603">
            <v>15718.39</v>
          </cell>
          <cell r="M1603">
            <v>3693.83</v>
          </cell>
          <cell r="N1603">
            <v>0</v>
          </cell>
          <cell r="O1603">
            <v>-4054.76</v>
          </cell>
          <cell r="P1603">
            <v>-4054.76</v>
          </cell>
          <cell r="Q1603">
            <v>-4054.76</v>
          </cell>
          <cell r="R1603">
            <v>-4054.76</v>
          </cell>
          <cell r="S1603">
            <v>-4054.76</v>
          </cell>
          <cell r="T1603">
            <v>-4054.76</v>
          </cell>
          <cell r="U1603">
            <v>-4054.76</v>
          </cell>
          <cell r="V1603">
            <v>-2904.76</v>
          </cell>
          <cell r="W1603">
            <v>-2904.76</v>
          </cell>
          <cell r="X1603">
            <v>-2904.76</v>
          </cell>
          <cell r="Y1603">
            <v>9119.7999999999993</v>
          </cell>
          <cell r="Z1603">
            <v>0</v>
          </cell>
          <cell r="AA1603">
            <v>0</v>
          </cell>
          <cell r="AB1603">
            <v>0</v>
          </cell>
          <cell r="AC1603">
            <v>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1257.55</v>
          </cell>
          <cell r="AJ1603">
            <v>10760.03</v>
          </cell>
          <cell r="AK1603">
            <v>10760.03</v>
          </cell>
          <cell r="AL1603">
            <v>0</v>
          </cell>
          <cell r="AM1603">
            <v>1</v>
          </cell>
          <cell r="AN1603" t="str">
            <v/>
          </cell>
          <cell r="AO1603">
            <v>0</v>
          </cell>
          <cell r="AP1603">
            <v>0</v>
          </cell>
          <cell r="AQ1603">
            <v>0</v>
          </cell>
          <cell r="AR1603">
            <v>810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 t="str">
            <v/>
          </cell>
          <cell r="BK1603">
            <v>7200</v>
          </cell>
          <cell r="BL1603" t="str">
            <v>0</v>
          </cell>
          <cell r="BM1603" t="str">
            <v>1</v>
          </cell>
          <cell r="BN1603" t="str">
            <v/>
          </cell>
          <cell r="BO1603" t="str">
            <v/>
          </cell>
        </row>
        <row r="1604">
          <cell r="A1604">
            <v>1</v>
          </cell>
          <cell r="B1604">
            <v>1263270</v>
          </cell>
          <cell r="C1604" t="str">
            <v>MISE A JR LOG. IN TOUCH</v>
          </cell>
          <cell r="D1604" t="str">
            <v/>
          </cell>
          <cell r="E1604" t="str">
            <v>O</v>
          </cell>
          <cell r="F1604">
            <v>0</v>
          </cell>
          <cell r="G1604">
            <v>0</v>
          </cell>
          <cell r="H1604">
            <v>3333.33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3333.33</v>
          </cell>
          <cell r="O1604">
            <v>3333.33</v>
          </cell>
          <cell r="P1604">
            <v>3333.33</v>
          </cell>
          <cell r="Q1604">
            <v>3333.33</v>
          </cell>
          <cell r="R1604">
            <v>3333.33</v>
          </cell>
          <cell r="S1604">
            <v>3333.33</v>
          </cell>
          <cell r="T1604">
            <v>3333.33</v>
          </cell>
          <cell r="U1604">
            <v>3333.33</v>
          </cell>
          <cell r="V1604">
            <v>3333.33</v>
          </cell>
          <cell r="W1604">
            <v>3333.33</v>
          </cell>
          <cell r="X1604">
            <v>3333.33</v>
          </cell>
          <cell r="Y1604">
            <v>3333.33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3333.33</v>
          </cell>
          <cell r="AJ1604">
            <v>3333.33</v>
          </cell>
          <cell r="AK1604">
            <v>3333.33</v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>
            <v>0</v>
          </cell>
          <cell r="AR1604">
            <v>290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240</v>
          </cell>
          <cell r="BJ1604" t="str">
            <v/>
          </cell>
          <cell r="BK1604">
            <v>1700</v>
          </cell>
          <cell r="BL1604" t="str">
            <v>1</v>
          </cell>
          <cell r="BM1604" t="str">
            <v>1</v>
          </cell>
          <cell r="BN1604" t="str">
            <v/>
          </cell>
          <cell r="BO1604" t="str">
            <v/>
          </cell>
        </row>
        <row r="1605">
          <cell r="A1605">
            <v>1</v>
          </cell>
          <cell r="B1605">
            <v>4147502</v>
          </cell>
          <cell r="C1605" t="str">
            <v>TRANSPORT</v>
          </cell>
          <cell r="D1605" t="str">
            <v>DECOR NATUREL P/S 4M</v>
          </cell>
          <cell r="E1605" t="str">
            <v>O</v>
          </cell>
          <cell r="F1605">
            <v>0</v>
          </cell>
          <cell r="G1605">
            <v>0</v>
          </cell>
          <cell r="H1605">
            <v>488413.16</v>
          </cell>
          <cell r="I1605">
            <v>561488.5</v>
          </cell>
          <cell r="J1605">
            <v>73075.34</v>
          </cell>
          <cell r="K1605">
            <v>0</v>
          </cell>
          <cell r="L1605">
            <v>69191.92</v>
          </cell>
          <cell r="M1605">
            <v>2089.94</v>
          </cell>
          <cell r="N1605">
            <v>23171.93</v>
          </cell>
          <cell r="O1605">
            <v>77847.33</v>
          </cell>
          <cell r="P1605">
            <v>81620.81</v>
          </cell>
          <cell r="Q1605">
            <v>83732.05</v>
          </cell>
          <cell r="R1605">
            <v>131613.04999999999</v>
          </cell>
          <cell r="S1605">
            <v>189007.77</v>
          </cell>
          <cell r="T1605">
            <v>242049.72</v>
          </cell>
          <cell r="U1605">
            <v>307457.34000000003</v>
          </cell>
          <cell r="V1605">
            <v>370692.85</v>
          </cell>
          <cell r="W1605">
            <v>422958.38</v>
          </cell>
          <cell r="X1605">
            <v>488413.16</v>
          </cell>
          <cell r="Y1605">
            <v>555515.14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4791.63</v>
          </cell>
          <cell r="AJ1605">
            <v>8322.39</v>
          </cell>
          <cell r="AK1605">
            <v>8322.39</v>
          </cell>
          <cell r="AL1605">
            <v>0</v>
          </cell>
          <cell r="AM1605">
            <v>2</v>
          </cell>
          <cell r="AN1605" t="str">
            <v/>
          </cell>
          <cell r="AO1605">
            <v>0</v>
          </cell>
          <cell r="AP1605">
            <v>0</v>
          </cell>
          <cell r="AQ1605">
            <v>0</v>
          </cell>
          <cell r="AR1605">
            <v>610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20750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 t="str">
            <v/>
          </cell>
          <cell r="BK1605">
            <v>4200</v>
          </cell>
          <cell r="BL1605" t="str">
            <v>0</v>
          </cell>
          <cell r="BM1605" t="str">
            <v>1</v>
          </cell>
          <cell r="BN1605" t="str">
            <v/>
          </cell>
          <cell r="BO1605" t="str">
            <v/>
          </cell>
        </row>
        <row r="1606">
          <cell r="A1606">
            <v>1</v>
          </cell>
          <cell r="B1606">
            <v>4147512</v>
          </cell>
          <cell r="C1606" t="str">
            <v>TRANSPORT</v>
          </cell>
          <cell r="D1606" t="str">
            <v>DECOR P/M NATUREL 4M</v>
          </cell>
          <cell r="E1606" t="str">
            <v>O</v>
          </cell>
          <cell r="F1606">
            <v>0</v>
          </cell>
          <cell r="G1606">
            <v>0</v>
          </cell>
          <cell r="H1606">
            <v>458765.65</v>
          </cell>
          <cell r="I1606">
            <v>509273.11</v>
          </cell>
          <cell r="J1606">
            <v>50507.46</v>
          </cell>
          <cell r="K1606">
            <v>0</v>
          </cell>
          <cell r="L1606">
            <v>34870.85</v>
          </cell>
          <cell r="M1606">
            <v>3819.94</v>
          </cell>
          <cell r="N1606">
            <v>18460.46</v>
          </cell>
          <cell r="O1606">
            <v>57404.82</v>
          </cell>
          <cell r="P1606">
            <v>65383.53</v>
          </cell>
          <cell r="Q1606">
            <v>68300.86</v>
          </cell>
          <cell r="R1606">
            <v>114161.29</v>
          </cell>
          <cell r="S1606">
            <v>162774.62</v>
          </cell>
          <cell r="T1606">
            <v>218533.73</v>
          </cell>
          <cell r="U1606">
            <v>274031.38</v>
          </cell>
          <cell r="V1606">
            <v>335683.79</v>
          </cell>
          <cell r="W1606">
            <v>391501.08</v>
          </cell>
          <cell r="X1606">
            <v>458765.65</v>
          </cell>
          <cell r="Y1606">
            <v>489816.56</v>
          </cell>
          <cell r="Z1606">
            <v>0</v>
          </cell>
          <cell r="AA1606">
            <v>0</v>
          </cell>
          <cell r="AB1606">
            <v>0</v>
          </cell>
          <cell r="AC1606">
            <v>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2030.55</v>
          </cell>
          <cell r="AJ1606">
            <v>8788.7999999999993</v>
          </cell>
          <cell r="AK1606">
            <v>16583.68</v>
          </cell>
          <cell r="AL1606">
            <v>0</v>
          </cell>
          <cell r="AM1606">
            <v>2</v>
          </cell>
          <cell r="AN1606" t="str">
            <v/>
          </cell>
          <cell r="AO1606">
            <v>0</v>
          </cell>
          <cell r="AP1606">
            <v>0</v>
          </cell>
          <cell r="AQ1606">
            <v>0</v>
          </cell>
          <cell r="AR1606">
            <v>610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20751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 t="str">
            <v/>
          </cell>
          <cell r="BK1606">
            <v>4200</v>
          </cell>
          <cell r="BL1606" t="str">
            <v>0</v>
          </cell>
          <cell r="BM1606" t="str">
            <v>1</v>
          </cell>
          <cell r="BN1606" t="str">
            <v/>
          </cell>
          <cell r="BO1606" t="str">
            <v/>
          </cell>
        </row>
        <row r="1607">
          <cell r="A1607">
            <v>1</v>
          </cell>
          <cell r="B1607">
            <v>4147522</v>
          </cell>
          <cell r="C1607" t="str">
            <v>TRANSPORT</v>
          </cell>
          <cell r="D1607" t="str">
            <v>DECOR P/S NATUREL</v>
          </cell>
          <cell r="E1607" t="str">
            <v>O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0</v>
          </cell>
          <cell r="AK1607">
            <v>0</v>
          </cell>
          <cell r="AL1607">
            <v>0</v>
          </cell>
          <cell r="AM1607">
            <v>2</v>
          </cell>
          <cell r="AN1607" t="str">
            <v/>
          </cell>
          <cell r="AO1607">
            <v>0</v>
          </cell>
          <cell r="AP1607">
            <v>0</v>
          </cell>
          <cell r="AQ1607">
            <v>0</v>
          </cell>
          <cell r="AR1607">
            <v>610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 t="str">
            <v/>
          </cell>
          <cell r="BK1607">
            <v>4200</v>
          </cell>
          <cell r="BL1607" t="str">
            <v>0</v>
          </cell>
          <cell r="BM1607" t="str">
            <v>1</v>
          </cell>
          <cell r="BN1607" t="str">
            <v/>
          </cell>
          <cell r="BO1607" t="str">
            <v/>
          </cell>
        </row>
        <row r="1608">
          <cell r="A1608">
            <v>1</v>
          </cell>
          <cell r="B1608">
            <v>4147532</v>
          </cell>
          <cell r="C1608" t="str">
            <v>TRANSPORT</v>
          </cell>
          <cell r="D1608" t="str">
            <v>DECOR P/M NATUREL</v>
          </cell>
          <cell r="E1608" t="str">
            <v>O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>
            <v>0</v>
          </cell>
          <cell r="AL1608">
            <v>0</v>
          </cell>
          <cell r="AM1608">
            <v>2</v>
          </cell>
          <cell r="AN1608" t="str">
            <v/>
          </cell>
          <cell r="AO1608">
            <v>0</v>
          </cell>
          <cell r="AP1608">
            <v>0</v>
          </cell>
          <cell r="AQ1608">
            <v>0</v>
          </cell>
          <cell r="AR1608">
            <v>610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 t="str">
            <v/>
          </cell>
          <cell r="BK1608">
            <v>4200</v>
          </cell>
          <cell r="BL1608" t="str">
            <v>0</v>
          </cell>
          <cell r="BM1608" t="str">
            <v>1</v>
          </cell>
          <cell r="BN1608" t="str">
            <v/>
          </cell>
          <cell r="BO1608" t="str">
            <v/>
          </cell>
        </row>
        <row r="1609">
          <cell r="A1609">
            <v>1</v>
          </cell>
          <cell r="B1609">
            <v>4147542</v>
          </cell>
          <cell r="C1609" t="str">
            <v>TRANSPORT</v>
          </cell>
          <cell r="D1609" t="str">
            <v>DECOR PLI EN</v>
          </cell>
          <cell r="E1609" t="str">
            <v>O</v>
          </cell>
          <cell r="F1609">
            <v>0</v>
          </cell>
          <cell r="G1609">
            <v>0</v>
          </cell>
          <cell r="H1609">
            <v>44338.09</v>
          </cell>
          <cell r="I1609">
            <v>46525.47</v>
          </cell>
          <cell r="J1609">
            <v>2187.38</v>
          </cell>
          <cell r="K1609">
            <v>0</v>
          </cell>
          <cell r="L1609">
            <v>2434.4699999999998</v>
          </cell>
          <cell r="M1609">
            <v>0</v>
          </cell>
          <cell r="N1609">
            <v>767.33</v>
          </cell>
          <cell r="O1609">
            <v>2959.81</v>
          </cell>
          <cell r="P1609">
            <v>3792.95</v>
          </cell>
          <cell r="Q1609">
            <v>4854.09</v>
          </cell>
          <cell r="R1609">
            <v>5548.09</v>
          </cell>
          <cell r="S1609">
            <v>9140.09</v>
          </cell>
          <cell r="T1609">
            <v>14701.66</v>
          </cell>
          <cell r="U1609">
            <v>18445.66</v>
          </cell>
          <cell r="V1609">
            <v>23106.67</v>
          </cell>
          <cell r="W1609">
            <v>39697.67</v>
          </cell>
          <cell r="X1609">
            <v>44338.09</v>
          </cell>
          <cell r="Y1609">
            <v>46772.56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238.19</v>
          </cell>
          <cell r="AK1609">
            <v>377.04</v>
          </cell>
          <cell r="AL1609">
            <v>0</v>
          </cell>
          <cell r="AM1609">
            <v>2</v>
          </cell>
          <cell r="AN1609" t="str">
            <v/>
          </cell>
          <cell r="AO1609">
            <v>0</v>
          </cell>
          <cell r="AP1609">
            <v>0</v>
          </cell>
          <cell r="AQ1609">
            <v>0</v>
          </cell>
          <cell r="AR1609">
            <v>610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20754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 t="str">
            <v/>
          </cell>
          <cell r="BK1609">
            <v>4200</v>
          </cell>
          <cell r="BL1609" t="str">
            <v>0</v>
          </cell>
          <cell r="BM1609" t="str">
            <v>1</v>
          </cell>
          <cell r="BN1609" t="str">
            <v/>
          </cell>
          <cell r="BO1609" t="str">
            <v/>
          </cell>
        </row>
        <row r="1610">
          <cell r="A1610">
            <v>1</v>
          </cell>
          <cell r="B1610">
            <v>4147562</v>
          </cell>
          <cell r="C1610" t="str">
            <v>TRANSPORT</v>
          </cell>
          <cell r="D1610" t="str">
            <v>DECOR 8</v>
          </cell>
          <cell r="E1610" t="str">
            <v>O</v>
          </cell>
          <cell r="F1610">
            <v>0</v>
          </cell>
          <cell r="G1610">
            <v>0</v>
          </cell>
          <cell r="H1610">
            <v>218898.32</v>
          </cell>
          <cell r="I1610">
            <v>246168.91</v>
          </cell>
          <cell r="J1610">
            <v>27270.59</v>
          </cell>
          <cell r="K1610">
            <v>0</v>
          </cell>
          <cell r="L1610">
            <v>27551.18</v>
          </cell>
          <cell r="M1610">
            <v>0</v>
          </cell>
          <cell r="N1610">
            <v>7110.59</v>
          </cell>
          <cell r="O1610">
            <v>27230.799999999999</v>
          </cell>
          <cell r="P1610">
            <v>27230.799999999999</v>
          </cell>
          <cell r="Q1610">
            <v>27230.799999999999</v>
          </cell>
          <cell r="R1610">
            <v>47390.8</v>
          </cell>
          <cell r="S1610">
            <v>70086.8</v>
          </cell>
          <cell r="T1610">
            <v>96528.57</v>
          </cell>
          <cell r="U1610">
            <v>124472.57</v>
          </cell>
          <cell r="V1610">
            <v>150308.22</v>
          </cell>
          <cell r="W1610">
            <v>183102.13</v>
          </cell>
          <cell r="X1610">
            <v>218898.32</v>
          </cell>
          <cell r="Y1610">
            <v>246449.5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0</v>
          </cell>
          <cell r="AK1610">
            <v>0</v>
          </cell>
          <cell r="AL1610">
            <v>0</v>
          </cell>
          <cell r="AM1610">
            <v>2</v>
          </cell>
          <cell r="AN1610" t="str">
            <v/>
          </cell>
          <cell r="AO1610">
            <v>0</v>
          </cell>
          <cell r="AP1610">
            <v>0</v>
          </cell>
          <cell r="AQ1610">
            <v>0</v>
          </cell>
          <cell r="AR1610">
            <v>610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20756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 t="str">
            <v/>
          </cell>
          <cell r="BK1610">
            <v>4200</v>
          </cell>
          <cell r="BL1610" t="str">
            <v>0</v>
          </cell>
          <cell r="BM1610" t="str">
            <v>1</v>
          </cell>
          <cell r="BN1610" t="str">
            <v/>
          </cell>
          <cell r="BO1610" t="str">
            <v/>
          </cell>
        </row>
        <row r="1611">
          <cell r="A1611">
            <v>1</v>
          </cell>
          <cell r="B1611">
            <v>4147572</v>
          </cell>
          <cell r="C1611" t="str">
            <v>TRANSPORT</v>
          </cell>
          <cell r="D1611" t="str">
            <v>DECOR</v>
          </cell>
          <cell r="E1611" t="str">
            <v>O</v>
          </cell>
          <cell r="F1611">
            <v>0</v>
          </cell>
          <cell r="G1611">
            <v>0</v>
          </cell>
          <cell r="H1611">
            <v>71281.350000000006</v>
          </cell>
          <cell r="I1611">
            <v>78041.89</v>
          </cell>
          <cell r="J1611">
            <v>6760.54</v>
          </cell>
          <cell r="K1611">
            <v>0</v>
          </cell>
          <cell r="L1611">
            <v>7522.69</v>
          </cell>
          <cell r="M1611">
            <v>0</v>
          </cell>
          <cell r="N1611">
            <v>1705.54</v>
          </cell>
          <cell r="O1611">
            <v>6913.43</v>
          </cell>
          <cell r="P1611">
            <v>6913.43</v>
          </cell>
          <cell r="Q1611">
            <v>7137.68</v>
          </cell>
          <cell r="R1611">
            <v>12192.68</v>
          </cell>
          <cell r="S1611">
            <v>20528.68</v>
          </cell>
          <cell r="T1611">
            <v>32238.46</v>
          </cell>
          <cell r="U1611">
            <v>42508.37</v>
          </cell>
          <cell r="V1611">
            <v>52019.74</v>
          </cell>
          <cell r="W1611">
            <v>62895.66</v>
          </cell>
          <cell r="X1611">
            <v>71281.350000000006</v>
          </cell>
          <cell r="Y1611">
            <v>78804.039999999994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146.99</v>
          </cell>
          <cell r="AJ1611">
            <v>391.89</v>
          </cell>
          <cell r="AK1611">
            <v>391.89</v>
          </cell>
          <cell r="AL1611">
            <v>0</v>
          </cell>
          <cell r="AM1611">
            <v>2</v>
          </cell>
          <cell r="AN1611" t="str">
            <v/>
          </cell>
          <cell r="AO1611">
            <v>0</v>
          </cell>
          <cell r="AP1611">
            <v>0</v>
          </cell>
          <cell r="AQ1611">
            <v>0</v>
          </cell>
          <cell r="AR1611">
            <v>610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20757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 t="str">
            <v/>
          </cell>
          <cell r="BK1611">
            <v>4200</v>
          </cell>
          <cell r="BL1611" t="str">
            <v>0</v>
          </cell>
          <cell r="BM1611" t="str">
            <v>1</v>
          </cell>
          <cell r="BN1611" t="str">
            <v/>
          </cell>
          <cell r="BO1611" t="str">
            <v/>
          </cell>
        </row>
        <row r="1612">
          <cell r="A1612">
            <v>1</v>
          </cell>
          <cell r="B1612">
            <v>4147592</v>
          </cell>
          <cell r="C1612" t="str">
            <v>TRANSPORT</v>
          </cell>
          <cell r="D1612" t="str">
            <v>DECOR P/M BLANC</v>
          </cell>
          <cell r="E1612" t="str">
            <v>O</v>
          </cell>
          <cell r="F1612">
            <v>0</v>
          </cell>
          <cell r="G1612">
            <v>0</v>
          </cell>
          <cell r="H1612">
            <v>142804.09</v>
          </cell>
          <cell r="I1612">
            <v>167632.25</v>
          </cell>
          <cell r="J1612">
            <v>24828.16</v>
          </cell>
          <cell r="K1612">
            <v>0</v>
          </cell>
          <cell r="L1612">
            <v>10951.12</v>
          </cell>
          <cell r="M1612">
            <v>507.03</v>
          </cell>
          <cell r="N1612">
            <v>6703.14</v>
          </cell>
          <cell r="O1612">
            <v>21585.439999999999</v>
          </cell>
          <cell r="P1612">
            <v>22354.47</v>
          </cell>
          <cell r="Q1612">
            <v>28159.13</v>
          </cell>
          <cell r="R1612">
            <v>41849.06</v>
          </cell>
          <cell r="S1612">
            <v>60717.64</v>
          </cell>
          <cell r="T1612">
            <v>75478.87</v>
          </cell>
          <cell r="U1612">
            <v>89586.83</v>
          </cell>
          <cell r="V1612">
            <v>105165.44</v>
          </cell>
          <cell r="W1612">
            <v>122141.95</v>
          </cell>
          <cell r="X1612">
            <v>142804.09</v>
          </cell>
          <cell r="Y1612">
            <v>153248.18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275.60000000000002</v>
          </cell>
          <cell r="AJ1612">
            <v>2040.23</v>
          </cell>
          <cell r="AK1612">
            <v>4060.44</v>
          </cell>
          <cell r="AL1612">
            <v>0</v>
          </cell>
          <cell r="AM1612">
            <v>2</v>
          </cell>
          <cell r="AN1612" t="str">
            <v/>
          </cell>
          <cell r="AO1612">
            <v>0</v>
          </cell>
          <cell r="AP1612">
            <v>0</v>
          </cell>
          <cell r="AQ1612">
            <v>0</v>
          </cell>
          <cell r="AR1612">
            <v>610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20759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 t="str">
            <v/>
          </cell>
          <cell r="BK1612">
            <v>4200</v>
          </cell>
          <cell r="BL1612" t="str">
            <v>0</v>
          </cell>
          <cell r="BM1612" t="str">
            <v>1</v>
          </cell>
          <cell r="BN1612" t="str">
            <v/>
          </cell>
          <cell r="BO1612" t="str">
            <v/>
          </cell>
        </row>
        <row r="1613">
          <cell r="A1613">
            <v>1</v>
          </cell>
          <cell r="B1613">
            <v>4147602</v>
          </cell>
          <cell r="C1613" t="str">
            <v>TRANSPORT</v>
          </cell>
          <cell r="D1613" t="str">
            <v>DECOR P/S BLANC</v>
          </cell>
          <cell r="E1613" t="str">
            <v>O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>
            <v>0</v>
          </cell>
          <cell r="AL1613">
            <v>0</v>
          </cell>
          <cell r="AM1613">
            <v>2</v>
          </cell>
          <cell r="AN1613" t="str">
            <v/>
          </cell>
          <cell r="AO1613">
            <v>0</v>
          </cell>
          <cell r="AP1613">
            <v>0</v>
          </cell>
          <cell r="AQ1613">
            <v>0</v>
          </cell>
          <cell r="AR1613">
            <v>610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 t="str">
            <v/>
          </cell>
          <cell r="BK1613">
            <v>4200</v>
          </cell>
          <cell r="BL1613" t="str">
            <v>0</v>
          </cell>
          <cell r="BM1613" t="str">
            <v>1</v>
          </cell>
          <cell r="BN1613" t="str">
            <v/>
          </cell>
          <cell r="BO1613" t="str">
            <v/>
          </cell>
        </row>
        <row r="1614">
          <cell r="A1614">
            <v>1</v>
          </cell>
          <cell r="B1614">
            <v>4147612</v>
          </cell>
          <cell r="C1614" t="str">
            <v>TRANSPORT</v>
          </cell>
          <cell r="D1614" t="str">
            <v>DECOR 8</v>
          </cell>
          <cell r="E1614" t="str">
            <v>O</v>
          </cell>
          <cell r="F1614">
            <v>0</v>
          </cell>
          <cell r="G1614">
            <v>0</v>
          </cell>
          <cell r="H1614">
            <v>40579.800000000003</v>
          </cell>
          <cell r="I1614">
            <v>46762.65</v>
          </cell>
          <cell r="J1614">
            <v>6182.85</v>
          </cell>
          <cell r="K1614">
            <v>0</v>
          </cell>
          <cell r="L1614">
            <v>5772.68</v>
          </cell>
          <cell r="M1614">
            <v>0</v>
          </cell>
          <cell r="N1614">
            <v>1889.85</v>
          </cell>
          <cell r="O1614">
            <v>6974.98</v>
          </cell>
          <cell r="P1614">
            <v>6974.98</v>
          </cell>
          <cell r="Q1614">
            <v>6974.98</v>
          </cell>
          <cell r="R1614">
            <v>11267.98</v>
          </cell>
          <cell r="S1614">
            <v>16937.98</v>
          </cell>
          <cell r="T1614">
            <v>22124.560000000001</v>
          </cell>
          <cell r="U1614">
            <v>28149.56</v>
          </cell>
          <cell r="V1614">
            <v>33417.440000000002</v>
          </cell>
          <cell r="W1614">
            <v>33417.440000000002</v>
          </cell>
          <cell r="X1614">
            <v>40579.800000000003</v>
          </cell>
          <cell r="Y1614">
            <v>46352.480000000003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>
            <v>668.11</v>
          </cell>
          <cell r="AL1614">
            <v>0</v>
          </cell>
          <cell r="AM1614">
            <v>2</v>
          </cell>
          <cell r="AN1614" t="str">
            <v/>
          </cell>
          <cell r="AO1614">
            <v>0</v>
          </cell>
          <cell r="AP1614">
            <v>0</v>
          </cell>
          <cell r="AQ1614">
            <v>0</v>
          </cell>
          <cell r="AR1614">
            <v>610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20761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 t="str">
            <v/>
          </cell>
          <cell r="BK1614">
            <v>4200</v>
          </cell>
          <cell r="BL1614" t="str">
            <v>0</v>
          </cell>
          <cell r="BM1614" t="str">
            <v>1</v>
          </cell>
          <cell r="BN1614" t="str">
            <v/>
          </cell>
          <cell r="BO1614" t="str">
            <v/>
          </cell>
        </row>
        <row r="1615">
          <cell r="A1615">
            <v>1</v>
          </cell>
          <cell r="B1615">
            <v>4147622</v>
          </cell>
          <cell r="C1615" t="str">
            <v>TRANSPORT</v>
          </cell>
          <cell r="D1615" t="str">
            <v>DECOR M/F NATURAL 4M ENG.</v>
          </cell>
          <cell r="E1615" t="str">
            <v>O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2</v>
          </cell>
          <cell r="AN1615" t="str">
            <v/>
          </cell>
          <cell r="AO1615">
            <v>0</v>
          </cell>
          <cell r="AP1615">
            <v>0</v>
          </cell>
          <cell r="AQ1615">
            <v>0</v>
          </cell>
          <cell r="AR1615">
            <v>610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 t="str">
            <v/>
          </cell>
          <cell r="BK1615">
            <v>4200</v>
          </cell>
          <cell r="BL1615" t="str">
            <v>0</v>
          </cell>
          <cell r="BM1615" t="str">
            <v>1</v>
          </cell>
          <cell r="BN1615" t="str">
            <v/>
          </cell>
          <cell r="BO1615" t="str">
            <v/>
          </cell>
        </row>
        <row r="1616">
          <cell r="A1616">
            <v>1</v>
          </cell>
          <cell r="B1616">
            <v>4147632</v>
          </cell>
          <cell r="C1616" t="str">
            <v>TRANSPORT</v>
          </cell>
          <cell r="D1616" t="str">
            <v>DECOR NATUREL S/F 4M ENG.</v>
          </cell>
          <cell r="E1616" t="str">
            <v>O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0</v>
          </cell>
          <cell r="AK1616">
            <v>0</v>
          </cell>
          <cell r="AL1616">
            <v>0</v>
          </cell>
          <cell r="AM1616">
            <v>2</v>
          </cell>
          <cell r="AN1616" t="str">
            <v/>
          </cell>
          <cell r="AO1616">
            <v>0</v>
          </cell>
          <cell r="AP1616">
            <v>0</v>
          </cell>
          <cell r="AQ1616">
            <v>0</v>
          </cell>
          <cell r="AR1616">
            <v>610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 t="str">
            <v/>
          </cell>
          <cell r="BK1616">
            <v>4200</v>
          </cell>
          <cell r="BL1616" t="str">
            <v>0</v>
          </cell>
          <cell r="BM1616" t="str">
            <v>1</v>
          </cell>
          <cell r="BN1616" t="str">
            <v/>
          </cell>
          <cell r="BO1616" t="str">
            <v/>
          </cell>
        </row>
        <row r="1617">
          <cell r="A1617">
            <v>1</v>
          </cell>
          <cell r="B1617">
            <v>4147642</v>
          </cell>
          <cell r="C1617" t="str">
            <v>TRANSPORT</v>
          </cell>
          <cell r="D1617" t="str">
            <v>DECOR PLI EN</v>
          </cell>
          <cell r="E1617" t="str">
            <v>O</v>
          </cell>
          <cell r="F1617">
            <v>0</v>
          </cell>
          <cell r="G1617">
            <v>0</v>
          </cell>
          <cell r="H1617">
            <v>143585.37</v>
          </cell>
          <cell r="I1617">
            <v>169468.56</v>
          </cell>
          <cell r="J1617">
            <v>25883.19</v>
          </cell>
          <cell r="K1617">
            <v>0</v>
          </cell>
          <cell r="L1617">
            <v>16674.240000000002</v>
          </cell>
          <cell r="M1617">
            <v>0</v>
          </cell>
          <cell r="N1617">
            <v>11188.52</v>
          </cell>
          <cell r="O1617">
            <v>28810.62</v>
          </cell>
          <cell r="P1617">
            <v>30527.31</v>
          </cell>
          <cell r="Q1617">
            <v>30527.31</v>
          </cell>
          <cell r="R1617">
            <v>46283.74</v>
          </cell>
          <cell r="S1617">
            <v>65211.16</v>
          </cell>
          <cell r="T1617">
            <v>84092.55</v>
          </cell>
          <cell r="U1617">
            <v>104971.55</v>
          </cell>
          <cell r="V1617">
            <v>122573.11</v>
          </cell>
          <cell r="W1617">
            <v>123491.42</v>
          </cell>
          <cell r="X1617">
            <v>143585.37</v>
          </cell>
          <cell r="Y1617">
            <v>160259.60999999999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303.24</v>
          </cell>
          <cell r="AK1617">
            <v>928.05</v>
          </cell>
          <cell r="AL1617">
            <v>0</v>
          </cell>
          <cell r="AM1617">
            <v>2</v>
          </cell>
          <cell r="AN1617" t="str">
            <v/>
          </cell>
          <cell r="AO1617">
            <v>0</v>
          </cell>
          <cell r="AP1617">
            <v>0</v>
          </cell>
          <cell r="AQ1617">
            <v>0</v>
          </cell>
          <cell r="AR1617">
            <v>610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20764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 t="str">
            <v/>
          </cell>
          <cell r="BK1617">
            <v>4200</v>
          </cell>
          <cell r="BL1617" t="str">
            <v>0</v>
          </cell>
          <cell r="BM1617" t="str">
            <v>1</v>
          </cell>
          <cell r="BN1617" t="str">
            <v/>
          </cell>
          <cell r="BO1617" t="str">
            <v/>
          </cell>
        </row>
        <row r="1618">
          <cell r="A1618">
            <v>1</v>
          </cell>
          <cell r="B1618">
            <v>4147652</v>
          </cell>
          <cell r="C1618" t="str">
            <v>TRANSPORT</v>
          </cell>
          <cell r="D1618" t="str">
            <v>DECOR 8</v>
          </cell>
          <cell r="E1618" t="str">
            <v>O</v>
          </cell>
          <cell r="F1618">
            <v>0</v>
          </cell>
          <cell r="G1618">
            <v>0</v>
          </cell>
          <cell r="H1618">
            <v>20997.22</v>
          </cell>
          <cell r="I1618">
            <v>23797.41</v>
          </cell>
          <cell r="J1618">
            <v>2800.19</v>
          </cell>
          <cell r="K1618">
            <v>0</v>
          </cell>
          <cell r="L1618">
            <v>1760.37</v>
          </cell>
          <cell r="M1618">
            <v>0</v>
          </cell>
          <cell r="N1618">
            <v>1473.64</v>
          </cell>
          <cell r="O1618">
            <v>3811.34</v>
          </cell>
          <cell r="P1618">
            <v>3811.34</v>
          </cell>
          <cell r="Q1618">
            <v>3811.34</v>
          </cell>
          <cell r="R1618">
            <v>5080.34</v>
          </cell>
          <cell r="S1618">
            <v>7839.89</v>
          </cell>
          <cell r="T1618">
            <v>9989.84</v>
          </cell>
          <cell r="U1618">
            <v>13004.84</v>
          </cell>
          <cell r="V1618">
            <v>15756.82</v>
          </cell>
          <cell r="W1618">
            <v>18609.87</v>
          </cell>
          <cell r="X1618">
            <v>20997.22</v>
          </cell>
          <cell r="Y1618">
            <v>22757.59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0</v>
          </cell>
          <cell r="AK1618">
            <v>0</v>
          </cell>
          <cell r="AL1618">
            <v>0</v>
          </cell>
          <cell r="AM1618">
            <v>2</v>
          </cell>
          <cell r="AN1618" t="str">
            <v/>
          </cell>
          <cell r="AO1618">
            <v>0</v>
          </cell>
          <cell r="AP1618">
            <v>0</v>
          </cell>
          <cell r="AQ1618">
            <v>0</v>
          </cell>
          <cell r="AR1618">
            <v>610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20765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 t="str">
            <v/>
          </cell>
          <cell r="BK1618">
            <v>4200</v>
          </cell>
          <cell r="BL1618" t="str">
            <v>0</v>
          </cell>
          <cell r="BM1618" t="str">
            <v>1</v>
          </cell>
          <cell r="BN1618" t="str">
            <v/>
          </cell>
          <cell r="BO1618" t="str">
            <v/>
          </cell>
        </row>
        <row r="1619">
          <cell r="A1619">
            <v>1</v>
          </cell>
          <cell r="B1619">
            <v>4147662</v>
          </cell>
          <cell r="C1619" t="str">
            <v>TRANSPORT</v>
          </cell>
          <cell r="D1619" t="str">
            <v>DECOR P/S BLANC 4M</v>
          </cell>
          <cell r="E1619" t="str">
            <v>O</v>
          </cell>
          <cell r="F1619">
            <v>0</v>
          </cell>
          <cell r="G1619">
            <v>0</v>
          </cell>
          <cell r="H1619">
            <v>74062.899999999994</v>
          </cell>
          <cell r="I1619">
            <v>83251.31</v>
          </cell>
          <cell r="J1619">
            <v>9188.41</v>
          </cell>
          <cell r="K1619">
            <v>0</v>
          </cell>
          <cell r="L1619">
            <v>8560.2999999999993</v>
          </cell>
          <cell r="M1619">
            <v>132.16999999999999</v>
          </cell>
          <cell r="N1619">
            <v>3196.01</v>
          </cell>
          <cell r="O1619">
            <v>10544.76</v>
          </cell>
          <cell r="P1619">
            <v>10959.12</v>
          </cell>
          <cell r="Q1619">
            <v>10959.12</v>
          </cell>
          <cell r="R1619">
            <v>18124.12</v>
          </cell>
          <cell r="S1619">
            <v>27050.73</v>
          </cell>
          <cell r="T1619">
            <v>38008.660000000003</v>
          </cell>
          <cell r="U1619">
            <v>44538.66</v>
          </cell>
          <cell r="V1619">
            <v>52941.56</v>
          </cell>
          <cell r="W1619">
            <v>61331.44</v>
          </cell>
          <cell r="X1619">
            <v>74062.899999999994</v>
          </cell>
          <cell r="Y1619">
            <v>82491.03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214.04</v>
          </cell>
          <cell r="AJ1619">
            <v>1167.7</v>
          </cell>
          <cell r="AK1619">
            <v>1167.7</v>
          </cell>
          <cell r="AL1619">
            <v>0</v>
          </cell>
          <cell r="AM1619">
            <v>2</v>
          </cell>
          <cell r="AN1619" t="str">
            <v/>
          </cell>
          <cell r="AO1619">
            <v>0</v>
          </cell>
          <cell r="AP1619">
            <v>0</v>
          </cell>
          <cell r="AQ1619">
            <v>0</v>
          </cell>
          <cell r="AR1619">
            <v>610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20766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 t="str">
            <v/>
          </cell>
          <cell r="BK1619">
            <v>4200</v>
          </cell>
          <cell r="BL1619" t="str">
            <v>0</v>
          </cell>
          <cell r="BM1619" t="str">
            <v>1</v>
          </cell>
          <cell r="BN1619" t="str">
            <v/>
          </cell>
          <cell r="BO1619" t="str">
            <v/>
          </cell>
        </row>
        <row r="1620">
          <cell r="A1620">
            <v>1</v>
          </cell>
          <cell r="B1620">
            <v>4147672</v>
          </cell>
          <cell r="C1620" t="str">
            <v>TRANSPORT</v>
          </cell>
          <cell r="D1620" t="str">
            <v>ECONO 8</v>
          </cell>
          <cell r="E1620" t="str">
            <v>O</v>
          </cell>
          <cell r="F1620">
            <v>0</v>
          </cell>
          <cell r="G1620">
            <v>0</v>
          </cell>
          <cell r="H1620">
            <v>107732.59</v>
          </cell>
          <cell r="I1620">
            <v>123423.33</v>
          </cell>
          <cell r="J1620">
            <v>15690.74</v>
          </cell>
          <cell r="K1620">
            <v>0</v>
          </cell>
          <cell r="L1620">
            <v>15873.15</v>
          </cell>
          <cell r="M1620">
            <v>0</v>
          </cell>
          <cell r="N1620">
            <v>4591.74</v>
          </cell>
          <cell r="O1620">
            <v>8911.4599999999991</v>
          </cell>
          <cell r="P1620">
            <v>8911.4599999999991</v>
          </cell>
          <cell r="Q1620">
            <v>8911.4599999999991</v>
          </cell>
          <cell r="R1620">
            <v>20010.46</v>
          </cell>
          <cell r="S1620">
            <v>33430.46</v>
          </cell>
          <cell r="T1620">
            <v>46445.9</v>
          </cell>
          <cell r="U1620">
            <v>60136.9</v>
          </cell>
          <cell r="V1620">
            <v>73431.5</v>
          </cell>
          <cell r="W1620">
            <v>86475.9</v>
          </cell>
          <cell r="X1620">
            <v>107732.59</v>
          </cell>
          <cell r="Y1620">
            <v>123605.74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102.56</v>
          </cell>
          <cell r="AJ1620">
            <v>146.51</v>
          </cell>
          <cell r="AK1620">
            <v>146.51</v>
          </cell>
          <cell r="AL1620">
            <v>0</v>
          </cell>
          <cell r="AM1620">
            <v>2</v>
          </cell>
          <cell r="AN1620" t="str">
            <v/>
          </cell>
          <cell r="AO1620">
            <v>0</v>
          </cell>
          <cell r="AP1620">
            <v>0</v>
          </cell>
          <cell r="AQ1620">
            <v>0</v>
          </cell>
          <cell r="AR1620">
            <v>610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20767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 t="str">
            <v/>
          </cell>
          <cell r="BK1620">
            <v>4200</v>
          </cell>
          <cell r="BL1620" t="str">
            <v>0</v>
          </cell>
          <cell r="BM1620" t="str">
            <v>1</v>
          </cell>
          <cell r="BN1620" t="str">
            <v/>
          </cell>
          <cell r="BO1620" t="str">
            <v/>
          </cell>
        </row>
        <row r="1621">
          <cell r="A1621">
            <v>1</v>
          </cell>
          <cell r="B1621">
            <v>4147682</v>
          </cell>
          <cell r="C1621" t="str">
            <v>TRANSPORT</v>
          </cell>
          <cell r="D1621" t="str">
            <v>DECOR 8</v>
          </cell>
          <cell r="E1621" t="str">
            <v>O</v>
          </cell>
          <cell r="F1621">
            <v>0</v>
          </cell>
          <cell r="G1621">
            <v>0</v>
          </cell>
          <cell r="H1621">
            <v>49199.87</v>
          </cell>
          <cell r="I1621">
            <v>55833.4</v>
          </cell>
          <cell r="J1621">
            <v>6633.53</v>
          </cell>
          <cell r="K1621">
            <v>0</v>
          </cell>
          <cell r="L1621">
            <v>4459.76</v>
          </cell>
          <cell r="M1621">
            <v>0</v>
          </cell>
          <cell r="N1621">
            <v>1124.53</v>
          </cell>
          <cell r="O1621">
            <v>6106.79</v>
          </cell>
          <cell r="P1621">
            <v>6106.79</v>
          </cell>
          <cell r="Q1621">
            <v>6106.79</v>
          </cell>
          <cell r="R1621">
            <v>11615.79</v>
          </cell>
          <cell r="S1621">
            <v>16735.79</v>
          </cell>
          <cell r="T1621">
            <v>23703.63</v>
          </cell>
          <cell r="U1621">
            <v>29188.63</v>
          </cell>
          <cell r="V1621">
            <v>33773.47</v>
          </cell>
          <cell r="W1621">
            <v>41569.18</v>
          </cell>
          <cell r="X1621">
            <v>49199.87</v>
          </cell>
          <cell r="Y1621">
            <v>53659.63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0</v>
          </cell>
          <cell r="AK1621">
            <v>0</v>
          </cell>
          <cell r="AL1621">
            <v>0</v>
          </cell>
          <cell r="AM1621">
            <v>2</v>
          </cell>
          <cell r="AN1621" t="str">
            <v/>
          </cell>
          <cell r="AO1621">
            <v>0</v>
          </cell>
          <cell r="AP1621">
            <v>0</v>
          </cell>
          <cell r="AQ1621">
            <v>0</v>
          </cell>
          <cell r="AR1621">
            <v>610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20768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 t="str">
            <v/>
          </cell>
          <cell r="BK1621">
            <v>4200</v>
          </cell>
          <cell r="BL1621" t="str">
            <v>0</v>
          </cell>
          <cell r="BM1621" t="str">
            <v>1</v>
          </cell>
          <cell r="BN1621" t="str">
            <v/>
          </cell>
          <cell r="BO1621" t="str">
            <v/>
          </cell>
        </row>
        <row r="1622">
          <cell r="A1622">
            <v>1</v>
          </cell>
          <cell r="B1622">
            <v>4147702</v>
          </cell>
          <cell r="C1622" t="str">
            <v>TRANSPORT</v>
          </cell>
          <cell r="D1622" t="str">
            <v>DECOR 8</v>
          </cell>
          <cell r="E1622" t="str">
            <v>O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0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0</v>
          </cell>
          <cell r="AK1622">
            <v>0</v>
          </cell>
          <cell r="AL1622">
            <v>0</v>
          </cell>
          <cell r="AM1622">
            <v>2</v>
          </cell>
          <cell r="AN1622" t="str">
            <v/>
          </cell>
          <cell r="AO1622">
            <v>0</v>
          </cell>
          <cell r="AP1622">
            <v>0</v>
          </cell>
          <cell r="AQ1622">
            <v>0</v>
          </cell>
          <cell r="AR1622">
            <v>610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 t="str">
            <v/>
          </cell>
          <cell r="BK1622">
            <v>4200</v>
          </cell>
          <cell r="BL1622" t="str">
            <v>0</v>
          </cell>
          <cell r="BM1622" t="str">
            <v>1</v>
          </cell>
          <cell r="BN1622" t="str">
            <v/>
          </cell>
          <cell r="BO1622" t="str">
            <v/>
          </cell>
        </row>
        <row r="1623">
          <cell r="A1623">
            <v>1</v>
          </cell>
          <cell r="B1623">
            <v>4147712</v>
          </cell>
          <cell r="C1623" t="str">
            <v>TRANSPORT</v>
          </cell>
          <cell r="D1623" t="str">
            <v>DECOR 10</v>
          </cell>
          <cell r="E1623" t="str">
            <v>O</v>
          </cell>
          <cell r="F1623">
            <v>0</v>
          </cell>
          <cell r="G1623">
            <v>0</v>
          </cell>
          <cell r="H1623">
            <v>10083.51</v>
          </cell>
          <cell r="I1623">
            <v>11208.17</v>
          </cell>
          <cell r="J1623">
            <v>1124.6600000000001</v>
          </cell>
          <cell r="K1623">
            <v>0</v>
          </cell>
          <cell r="L1623">
            <v>1281.9100000000001</v>
          </cell>
          <cell r="M1623">
            <v>0</v>
          </cell>
          <cell r="N1623">
            <v>159.66</v>
          </cell>
          <cell r="O1623">
            <v>1509.47</v>
          </cell>
          <cell r="P1623">
            <v>1509.47</v>
          </cell>
          <cell r="Q1623">
            <v>1509.47</v>
          </cell>
          <cell r="R1623">
            <v>2474.4699999999998</v>
          </cell>
          <cell r="S1623">
            <v>3333.47</v>
          </cell>
          <cell r="T1623">
            <v>4576.03</v>
          </cell>
          <cell r="U1623">
            <v>5535.03</v>
          </cell>
          <cell r="V1623">
            <v>8565.5400000000009</v>
          </cell>
          <cell r="W1623">
            <v>8565.5400000000009</v>
          </cell>
          <cell r="X1623">
            <v>10083.51</v>
          </cell>
          <cell r="Y1623">
            <v>11365.42</v>
          </cell>
          <cell r="Z1623">
            <v>0</v>
          </cell>
          <cell r="AA1623">
            <v>0</v>
          </cell>
          <cell r="AB1623">
            <v>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0</v>
          </cell>
          <cell r="AK1623">
            <v>0</v>
          </cell>
          <cell r="AL1623">
            <v>0</v>
          </cell>
          <cell r="AM1623">
            <v>2</v>
          </cell>
          <cell r="AN1623" t="str">
            <v/>
          </cell>
          <cell r="AO1623">
            <v>0</v>
          </cell>
          <cell r="AP1623">
            <v>0</v>
          </cell>
          <cell r="AQ1623">
            <v>0</v>
          </cell>
          <cell r="AR1623">
            <v>610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20771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 t="str">
            <v/>
          </cell>
          <cell r="BK1623">
            <v>4200</v>
          </cell>
          <cell r="BL1623" t="str">
            <v>0</v>
          </cell>
          <cell r="BM1623" t="str">
            <v>1</v>
          </cell>
          <cell r="BN1623" t="str">
            <v/>
          </cell>
          <cell r="BO1623" t="str">
            <v/>
          </cell>
        </row>
        <row r="1624">
          <cell r="A1624">
            <v>1</v>
          </cell>
          <cell r="B1624">
            <v>4461951</v>
          </cell>
          <cell r="C1624" t="str">
            <v>MECANICIENS &amp; ELECTRICIEN</v>
          </cell>
          <cell r="D1624" t="str">
            <v>MOI LUNETTES SECURITE</v>
          </cell>
          <cell r="E1624" t="str">
            <v>O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156.80000000000001</v>
          </cell>
          <cell r="AJ1624">
            <v>156.80000000000001</v>
          </cell>
          <cell r="AK1624">
            <v>156.80000000000001</v>
          </cell>
          <cell r="AL1624">
            <v>0</v>
          </cell>
          <cell r="AM1624">
            <v>1</v>
          </cell>
          <cell r="AN1624" t="str">
            <v/>
          </cell>
          <cell r="AO1624">
            <v>0</v>
          </cell>
          <cell r="AP1624">
            <v>0</v>
          </cell>
          <cell r="AQ1624">
            <v>0</v>
          </cell>
          <cell r="AR1624">
            <v>700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 t="str">
            <v/>
          </cell>
          <cell r="BK1624">
            <v>7000</v>
          </cell>
          <cell r="BL1624" t="str">
            <v>0</v>
          </cell>
          <cell r="BM1624" t="str">
            <v>1</v>
          </cell>
          <cell r="BN1624" t="str">
            <v/>
          </cell>
          <cell r="BO1624" t="str">
            <v/>
          </cell>
        </row>
        <row r="1625">
          <cell r="A1625">
            <v>1</v>
          </cell>
          <cell r="B1625">
            <v>4802032</v>
          </cell>
          <cell r="C1625" t="str">
            <v>VENTE     SUR PLATEAUX</v>
          </cell>
          <cell r="D1625" t="str">
            <v>RETOURNABLE</v>
          </cell>
          <cell r="E1625" t="str">
            <v>O</v>
          </cell>
          <cell r="F1625">
            <v>0</v>
          </cell>
          <cell r="G1625">
            <v>0</v>
          </cell>
          <cell r="H1625">
            <v>-120327.35</v>
          </cell>
          <cell r="I1625">
            <v>0</v>
          </cell>
          <cell r="J1625">
            <v>120327.35</v>
          </cell>
          <cell r="K1625">
            <v>0</v>
          </cell>
          <cell r="L1625">
            <v>0</v>
          </cell>
          <cell r="M1625">
            <v>9947.4699999999993</v>
          </cell>
          <cell r="N1625">
            <v>-13964.66</v>
          </cell>
          <cell r="O1625">
            <v>-24060.6</v>
          </cell>
          <cell r="P1625">
            <v>-34164.660000000003</v>
          </cell>
          <cell r="Q1625">
            <v>-43188.74</v>
          </cell>
          <cell r="R1625">
            <v>-55216.72</v>
          </cell>
          <cell r="S1625">
            <v>-65256.58</v>
          </cell>
          <cell r="T1625">
            <v>-74829.14</v>
          </cell>
          <cell r="U1625">
            <v>-87477.03</v>
          </cell>
          <cell r="V1625">
            <v>-99619.02</v>
          </cell>
          <cell r="W1625">
            <v>-107861.2</v>
          </cell>
          <cell r="X1625">
            <v>-120327.35</v>
          </cell>
          <cell r="Y1625">
            <v>-130274.82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-13342.06</v>
          </cell>
          <cell r="AK1625">
            <v>-23978.1</v>
          </cell>
          <cell r="AL1625">
            <v>0</v>
          </cell>
          <cell r="AM1625">
            <v>2</v>
          </cell>
          <cell r="AN1625" t="str">
            <v/>
          </cell>
          <cell r="AO1625">
            <v>0</v>
          </cell>
          <cell r="AP1625">
            <v>0</v>
          </cell>
          <cell r="AQ1625">
            <v>0</v>
          </cell>
          <cell r="AR1625">
            <v>800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 t="str">
            <v/>
          </cell>
          <cell r="BK1625">
            <v>4100</v>
          </cell>
          <cell r="BL1625" t="str">
            <v>0</v>
          </cell>
          <cell r="BM1625" t="str">
            <v>1</v>
          </cell>
          <cell r="BN1625" t="str">
            <v/>
          </cell>
          <cell r="BO1625" t="str">
            <v/>
          </cell>
        </row>
        <row r="1626">
          <cell r="A1626">
            <v>1</v>
          </cell>
          <cell r="B1626">
            <v>4802042</v>
          </cell>
          <cell r="C1626" t="str">
            <v>VENTE DE SERVICE</v>
          </cell>
          <cell r="D1626" t="str">
            <v>ENREPOSAGE ET MANUTENTION</v>
          </cell>
          <cell r="E1626" t="str">
            <v>O</v>
          </cell>
          <cell r="F1626">
            <v>0</v>
          </cell>
          <cell r="G1626">
            <v>0</v>
          </cell>
          <cell r="H1626">
            <v>-377235</v>
          </cell>
          <cell r="I1626">
            <v>0</v>
          </cell>
          <cell r="J1626">
            <v>377235</v>
          </cell>
          <cell r="K1626">
            <v>0</v>
          </cell>
          <cell r="L1626">
            <v>0</v>
          </cell>
          <cell r="M1626">
            <v>23535.96</v>
          </cell>
          <cell r="N1626">
            <v>-37836.6</v>
          </cell>
          <cell r="O1626">
            <v>-79480.960000000006</v>
          </cell>
          <cell r="P1626">
            <v>-114444.52</v>
          </cell>
          <cell r="Q1626">
            <v>-143858.76</v>
          </cell>
          <cell r="R1626">
            <v>-178386.84</v>
          </cell>
          <cell r="S1626">
            <v>-212660.76</v>
          </cell>
          <cell r="T1626">
            <v>-247842.2</v>
          </cell>
          <cell r="U1626">
            <v>-285969.28000000003</v>
          </cell>
          <cell r="V1626">
            <v>-319904.96000000002</v>
          </cell>
          <cell r="W1626">
            <v>-348146.08</v>
          </cell>
          <cell r="X1626">
            <v>-377235</v>
          </cell>
          <cell r="Y1626">
            <v>-400770.96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-38304.559999999998</v>
          </cell>
          <cell r="AJ1626">
            <v>-78347.320000000007</v>
          </cell>
          <cell r="AK1626">
            <v>-111947.32</v>
          </cell>
          <cell r="AL1626">
            <v>0</v>
          </cell>
          <cell r="AM1626">
            <v>2</v>
          </cell>
          <cell r="AN1626" t="str">
            <v/>
          </cell>
          <cell r="AO1626">
            <v>0</v>
          </cell>
          <cell r="AP1626">
            <v>0</v>
          </cell>
          <cell r="AQ1626">
            <v>0</v>
          </cell>
          <cell r="AR1626">
            <v>800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 t="str">
            <v/>
          </cell>
          <cell r="BK1626">
            <v>4100</v>
          </cell>
          <cell r="BL1626" t="str">
            <v>0</v>
          </cell>
          <cell r="BM1626" t="str">
            <v>1</v>
          </cell>
          <cell r="BN1626" t="str">
            <v/>
          </cell>
          <cell r="BO1626" t="str">
            <v/>
          </cell>
        </row>
        <row r="1627">
          <cell r="A1627">
            <v>1</v>
          </cell>
          <cell r="B1627">
            <v>4802043</v>
          </cell>
          <cell r="C1627" t="str">
            <v>VENTE DE SERVICE</v>
          </cell>
          <cell r="D1627" t="str">
            <v>ENREPOSAGE ET MANUTENTION</v>
          </cell>
          <cell r="E1627" t="str">
            <v>O</v>
          </cell>
          <cell r="F1627">
            <v>0</v>
          </cell>
          <cell r="G1627">
            <v>0</v>
          </cell>
          <cell r="H1627">
            <v>-94308.75</v>
          </cell>
          <cell r="I1627">
            <v>0</v>
          </cell>
          <cell r="J1627">
            <v>94308.75</v>
          </cell>
          <cell r="K1627">
            <v>0</v>
          </cell>
          <cell r="L1627">
            <v>0</v>
          </cell>
          <cell r="M1627">
            <v>5883.99</v>
          </cell>
          <cell r="N1627">
            <v>-9459.15</v>
          </cell>
          <cell r="O1627">
            <v>-19870.240000000002</v>
          </cell>
          <cell r="P1627">
            <v>-28611.13</v>
          </cell>
          <cell r="Q1627">
            <v>-35964.69</v>
          </cell>
          <cell r="R1627">
            <v>-44596.71</v>
          </cell>
          <cell r="S1627">
            <v>-53165.19</v>
          </cell>
          <cell r="T1627">
            <v>-61960.55</v>
          </cell>
          <cell r="U1627">
            <v>-71492.320000000007</v>
          </cell>
          <cell r="V1627">
            <v>-79976.240000000005</v>
          </cell>
          <cell r="W1627">
            <v>-87036.52</v>
          </cell>
          <cell r="X1627">
            <v>-94308.75</v>
          </cell>
          <cell r="Y1627">
            <v>-100192.74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-9576.14</v>
          </cell>
          <cell r="AJ1627">
            <v>-19586.830000000002</v>
          </cell>
          <cell r="AK1627">
            <v>-27986.83</v>
          </cell>
          <cell r="AL1627">
            <v>0</v>
          </cell>
          <cell r="AM1627">
            <v>3</v>
          </cell>
          <cell r="AN1627" t="str">
            <v/>
          </cell>
          <cell r="AO1627">
            <v>0</v>
          </cell>
          <cell r="AP1627">
            <v>0</v>
          </cell>
          <cell r="AQ1627">
            <v>0</v>
          </cell>
          <cell r="AR1627">
            <v>800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 t="str">
            <v/>
          </cell>
          <cell r="BK1627">
            <v>4100</v>
          </cell>
          <cell r="BL1627" t="str">
            <v>0</v>
          </cell>
          <cell r="BM1627" t="str">
            <v>1</v>
          </cell>
          <cell r="BN1627" t="str">
            <v/>
          </cell>
          <cell r="BO1627" t="str">
            <v/>
          </cell>
        </row>
        <row r="1628">
          <cell r="A1628">
            <v>1</v>
          </cell>
          <cell r="B1628">
            <v>4591021</v>
          </cell>
          <cell r="C1628" t="str">
            <v>ENTRETIEN BATIMENT</v>
          </cell>
          <cell r="D1628" t="str">
            <v>FRAIS DE GESTION MAGASIN</v>
          </cell>
          <cell r="E1628" t="str">
            <v>N</v>
          </cell>
          <cell r="F1628">
            <v>0</v>
          </cell>
          <cell r="G1628">
            <v>0</v>
          </cell>
          <cell r="H1628">
            <v>-17840.75</v>
          </cell>
          <cell r="I1628">
            <v>19524.68</v>
          </cell>
          <cell r="J1628">
            <v>37365.43</v>
          </cell>
          <cell r="K1628">
            <v>0</v>
          </cell>
          <cell r="L1628">
            <v>1031.52</v>
          </cell>
          <cell r="M1628">
            <v>1665.34</v>
          </cell>
          <cell r="N1628">
            <v>-3098.83</v>
          </cell>
          <cell r="O1628">
            <v>-4516.47</v>
          </cell>
          <cell r="P1628">
            <v>-7680.81</v>
          </cell>
          <cell r="Q1628">
            <v>-8645.2900000000009</v>
          </cell>
          <cell r="R1628">
            <v>-10332.84</v>
          </cell>
          <cell r="S1628">
            <v>-11261.93</v>
          </cell>
          <cell r="T1628">
            <v>-13089.57</v>
          </cell>
          <cell r="U1628">
            <v>-14466.06</v>
          </cell>
          <cell r="V1628">
            <v>-15708.54</v>
          </cell>
          <cell r="W1628">
            <v>-16809.23</v>
          </cell>
          <cell r="X1628">
            <v>-17840.75</v>
          </cell>
          <cell r="Y1628">
            <v>-18474.57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-1970.05</v>
          </cell>
          <cell r="AJ1628">
            <v>-7119.67</v>
          </cell>
          <cell r="AK1628">
            <v>-9835.1200000000008</v>
          </cell>
          <cell r="AL1628">
            <v>0</v>
          </cell>
          <cell r="AM1628">
            <v>1</v>
          </cell>
          <cell r="AN1628" t="str">
            <v/>
          </cell>
          <cell r="AO1628">
            <v>0</v>
          </cell>
          <cell r="AP1628">
            <v>0</v>
          </cell>
          <cell r="AQ1628">
            <v>0</v>
          </cell>
          <cell r="AR1628">
            <v>700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 t="str">
            <v/>
          </cell>
          <cell r="BK1628">
            <v>7000</v>
          </cell>
          <cell r="BL1628" t="str">
            <v>0</v>
          </cell>
          <cell r="BM1628" t="str">
            <v>1</v>
          </cell>
          <cell r="BN1628" t="str">
            <v/>
          </cell>
          <cell r="BO1628" t="str">
            <v/>
          </cell>
        </row>
        <row r="1629">
          <cell r="A1629">
            <v>1</v>
          </cell>
          <cell r="B1629">
            <v>5001021</v>
          </cell>
          <cell r="C1629" t="str">
            <v>SALAIRE ADM</v>
          </cell>
          <cell r="D1629" t="str">
            <v>FRAIS ADMINISTRATION</v>
          </cell>
          <cell r="E1629" t="str">
            <v>O</v>
          </cell>
          <cell r="F1629">
            <v>0</v>
          </cell>
          <cell r="G1629">
            <v>0</v>
          </cell>
          <cell r="H1629">
            <v>-40162.92</v>
          </cell>
          <cell r="I1629">
            <v>38191.440000000002</v>
          </cell>
          <cell r="J1629">
            <v>78354.36</v>
          </cell>
          <cell r="K1629">
            <v>0</v>
          </cell>
          <cell r="L1629">
            <v>6894.9</v>
          </cell>
          <cell r="M1629">
            <v>5004.08</v>
          </cell>
          <cell r="N1629">
            <v>-7967.14</v>
          </cell>
          <cell r="O1629">
            <v>-14068.17</v>
          </cell>
          <cell r="P1629">
            <v>-20579.61</v>
          </cell>
          <cell r="Q1629">
            <v>-27278.87</v>
          </cell>
          <cell r="R1629">
            <v>-27401.33</v>
          </cell>
          <cell r="S1629">
            <v>-27500.09</v>
          </cell>
          <cell r="T1629">
            <v>-30169.16</v>
          </cell>
          <cell r="U1629">
            <v>-32671.63</v>
          </cell>
          <cell r="V1629">
            <v>-35187</v>
          </cell>
          <cell r="W1629">
            <v>-37661.760000000002</v>
          </cell>
          <cell r="X1629">
            <v>-40162.92</v>
          </cell>
          <cell r="Y1629">
            <v>-38272.1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-1262.3399999999999</v>
          </cell>
          <cell r="AJ1629">
            <v>-2345.11</v>
          </cell>
          <cell r="AK1629">
            <v>-2884.69</v>
          </cell>
          <cell r="AL1629">
            <v>0</v>
          </cell>
          <cell r="AM1629">
            <v>1</v>
          </cell>
          <cell r="AN1629" t="str">
            <v/>
          </cell>
          <cell r="AO1629">
            <v>0</v>
          </cell>
          <cell r="AP1629">
            <v>0</v>
          </cell>
          <cell r="AQ1629">
            <v>0</v>
          </cell>
          <cell r="AR1629">
            <v>810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 t="str">
            <v/>
          </cell>
          <cell r="BK1629">
            <v>7200</v>
          </cell>
          <cell r="BL1629" t="str">
            <v>0</v>
          </cell>
          <cell r="BM1629" t="str">
            <v>1</v>
          </cell>
          <cell r="BN1629" t="str">
            <v/>
          </cell>
          <cell r="BO1629" t="str">
            <v/>
          </cell>
        </row>
        <row r="1630">
          <cell r="A1630">
            <v>1</v>
          </cell>
          <cell r="B1630">
            <v>1313290</v>
          </cell>
          <cell r="C1630" t="str">
            <v>AMENAGEMENT</v>
          </cell>
          <cell r="D1630" t="str">
            <v>BUREAUX EXPEDITION</v>
          </cell>
          <cell r="E1630" t="str">
            <v>N</v>
          </cell>
          <cell r="F1630">
            <v>0</v>
          </cell>
          <cell r="G1630">
            <v>0</v>
          </cell>
          <cell r="H1630">
            <v>26794</v>
          </cell>
          <cell r="I1630">
            <v>36695.79</v>
          </cell>
          <cell r="J1630">
            <v>47417.64</v>
          </cell>
          <cell r="K1630">
            <v>0</v>
          </cell>
          <cell r="L1630">
            <v>0</v>
          </cell>
          <cell r="M1630">
            <v>0</v>
          </cell>
          <cell r="N1630">
            <v>37967.120000000003</v>
          </cell>
          <cell r="O1630">
            <v>26023.13</v>
          </cell>
          <cell r="P1630">
            <v>26794</v>
          </cell>
          <cell r="Q1630">
            <v>26794</v>
          </cell>
          <cell r="R1630">
            <v>26794</v>
          </cell>
          <cell r="S1630">
            <v>26794</v>
          </cell>
          <cell r="T1630">
            <v>26794</v>
          </cell>
          <cell r="U1630">
            <v>26794</v>
          </cell>
          <cell r="V1630">
            <v>26794</v>
          </cell>
          <cell r="W1630">
            <v>26794</v>
          </cell>
          <cell r="X1630">
            <v>26794</v>
          </cell>
          <cell r="Y1630">
            <v>26794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>
            <v>37515.85</v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>
            <v>0</v>
          </cell>
          <cell r="AR1630">
            <v>280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396</v>
          </cell>
          <cell r="BJ1630" t="str">
            <v/>
          </cell>
          <cell r="BK1630">
            <v>1700</v>
          </cell>
          <cell r="BL1630" t="str">
            <v>1</v>
          </cell>
          <cell r="BM1630" t="str">
            <v>1</v>
          </cell>
          <cell r="BN1630" t="str">
            <v/>
          </cell>
          <cell r="BO1630" t="str">
            <v/>
          </cell>
        </row>
        <row r="1631">
          <cell r="A1631">
            <v>1</v>
          </cell>
          <cell r="B1631">
            <v>1333372</v>
          </cell>
          <cell r="C1631" t="str">
            <v>ROULEAU EMBOSSEUR MACH#13</v>
          </cell>
          <cell r="D1631" t="str">
            <v/>
          </cell>
          <cell r="E1631" t="str">
            <v>O</v>
          </cell>
          <cell r="F1631">
            <v>0</v>
          </cell>
          <cell r="G1631">
            <v>0</v>
          </cell>
          <cell r="H1631">
            <v>6399</v>
          </cell>
          <cell r="I1631">
            <v>6399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6399</v>
          </cell>
          <cell r="O1631">
            <v>6399</v>
          </cell>
          <cell r="P1631">
            <v>6399</v>
          </cell>
          <cell r="Q1631">
            <v>6399</v>
          </cell>
          <cell r="R1631">
            <v>6399</v>
          </cell>
          <cell r="S1631">
            <v>6399</v>
          </cell>
          <cell r="T1631">
            <v>6399</v>
          </cell>
          <cell r="U1631">
            <v>6399</v>
          </cell>
          <cell r="V1631">
            <v>6399</v>
          </cell>
          <cell r="W1631">
            <v>6399</v>
          </cell>
          <cell r="X1631">
            <v>6399</v>
          </cell>
          <cell r="Y1631">
            <v>6399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0</v>
          </cell>
          <cell r="AK1631">
            <v>0</v>
          </cell>
          <cell r="AL1631">
            <v>0</v>
          </cell>
          <cell r="AM1631">
            <v>2</v>
          </cell>
          <cell r="AN1631" t="str">
            <v/>
          </cell>
          <cell r="AO1631">
            <v>0</v>
          </cell>
          <cell r="AP1631">
            <v>0</v>
          </cell>
          <cell r="AQ1631">
            <v>0</v>
          </cell>
          <cell r="AR1631">
            <v>290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240</v>
          </cell>
          <cell r="BJ1631" t="str">
            <v/>
          </cell>
          <cell r="BK1631">
            <v>1700</v>
          </cell>
          <cell r="BL1631" t="str">
            <v>1</v>
          </cell>
          <cell r="BM1631" t="str">
            <v>1</v>
          </cell>
          <cell r="BN1631" t="str">
            <v/>
          </cell>
          <cell r="BO1631" t="str">
            <v/>
          </cell>
        </row>
        <row r="1632">
          <cell r="A1632">
            <v>1</v>
          </cell>
          <cell r="B1632">
            <v>1333301</v>
          </cell>
          <cell r="C1632" t="str">
            <v>PROTECTEUR POUR PATE</v>
          </cell>
          <cell r="D1632" t="str">
            <v>TRITURATEUR #2</v>
          </cell>
          <cell r="E1632" t="str">
            <v>O</v>
          </cell>
          <cell r="F1632">
            <v>0</v>
          </cell>
          <cell r="G1632">
            <v>0</v>
          </cell>
          <cell r="H1632">
            <v>2845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2845</v>
          </cell>
          <cell r="O1632">
            <v>2845</v>
          </cell>
          <cell r="P1632">
            <v>2845</v>
          </cell>
          <cell r="Q1632">
            <v>2845</v>
          </cell>
          <cell r="R1632">
            <v>2845</v>
          </cell>
          <cell r="S1632">
            <v>2845</v>
          </cell>
          <cell r="T1632">
            <v>2845</v>
          </cell>
          <cell r="U1632">
            <v>2845</v>
          </cell>
          <cell r="V1632">
            <v>2845</v>
          </cell>
          <cell r="W1632">
            <v>2845</v>
          </cell>
          <cell r="X1632">
            <v>2845</v>
          </cell>
          <cell r="Y1632">
            <v>2845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5003.5</v>
          </cell>
          <cell r="AK1632">
            <v>2845</v>
          </cell>
          <cell r="AL1632">
            <v>0</v>
          </cell>
          <cell r="AM1632">
            <v>1</v>
          </cell>
          <cell r="AN1632" t="str">
            <v/>
          </cell>
          <cell r="AO1632">
            <v>0</v>
          </cell>
          <cell r="AP1632">
            <v>0</v>
          </cell>
          <cell r="AQ1632">
            <v>0</v>
          </cell>
          <cell r="AR1632">
            <v>290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240</v>
          </cell>
          <cell r="BJ1632" t="str">
            <v/>
          </cell>
          <cell r="BK1632">
            <v>1700</v>
          </cell>
          <cell r="BL1632" t="str">
            <v>1</v>
          </cell>
          <cell r="BM1632" t="str">
            <v>1</v>
          </cell>
          <cell r="BN1632" t="str">
            <v/>
          </cell>
          <cell r="BO1632" t="str">
            <v/>
          </cell>
        </row>
        <row r="1633">
          <cell r="A1633">
            <v>1</v>
          </cell>
          <cell r="B1633">
            <v>1333311</v>
          </cell>
          <cell r="C1633" t="str">
            <v>RECUPERATEUR DE PATE</v>
          </cell>
          <cell r="D1633" t="str">
            <v/>
          </cell>
          <cell r="E1633" t="str">
            <v>O</v>
          </cell>
          <cell r="F1633">
            <v>0</v>
          </cell>
          <cell r="G1633">
            <v>0</v>
          </cell>
          <cell r="H1633">
            <v>7079.4</v>
          </cell>
          <cell r="I1633">
            <v>1617</v>
          </cell>
          <cell r="J1633">
            <v>1500</v>
          </cell>
          <cell r="K1633">
            <v>0</v>
          </cell>
          <cell r="L1633">
            <v>0</v>
          </cell>
          <cell r="M1633">
            <v>0</v>
          </cell>
          <cell r="N1633">
            <v>6719.4</v>
          </cell>
          <cell r="O1633">
            <v>7079.4</v>
          </cell>
          <cell r="P1633">
            <v>7079.4</v>
          </cell>
          <cell r="Q1633">
            <v>7079.4</v>
          </cell>
          <cell r="R1633">
            <v>7079.4</v>
          </cell>
          <cell r="S1633">
            <v>7079.4</v>
          </cell>
          <cell r="T1633">
            <v>7079.4</v>
          </cell>
          <cell r="U1633">
            <v>7079.4</v>
          </cell>
          <cell r="V1633">
            <v>7079.4</v>
          </cell>
          <cell r="W1633">
            <v>7079.4</v>
          </cell>
          <cell r="X1633">
            <v>7079.4</v>
          </cell>
          <cell r="Y1633">
            <v>7079.4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2752</v>
          </cell>
          <cell r="AK1633">
            <v>6962.4</v>
          </cell>
          <cell r="AL1633">
            <v>0</v>
          </cell>
          <cell r="AM1633">
            <v>1</v>
          </cell>
          <cell r="AN1633" t="str">
            <v/>
          </cell>
          <cell r="AO1633">
            <v>0</v>
          </cell>
          <cell r="AP1633">
            <v>0</v>
          </cell>
          <cell r="AQ1633">
            <v>0</v>
          </cell>
          <cell r="AR1633">
            <v>290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240</v>
          </cell>
          <cell r="BJ1633" t="str">
            <v/>
          </cell>
          <cell r="BK1633">
            <v>1700</v>
          </cell>
          <cell r="BL1633" t="str">
            <v>1</v>
          </cell>
          <cell r="BM1633" t="str">
            <v>1</v>
          </cell>
          <cell r="BN1633" t="str">
            <v/>
          </cell>
          <cell r="BO1633" t="str">
            <v/>
          </cell>
        </row>
        <row r="1634">
          <cell r="A1634">
            <v>1</v>
          </cell>
          <cell r="B1634">
            <v>1333320</v>
          </cell>
          <cell r="C1634" t="str">
            <v>LIGNE CHAUFFAGE A VAPEUR</v>
          </cell>
          <cell r="D1634" t="str">
            <v/>
          </cell>
          <cell r="E1634" t="str">
            <v>O</v>
          </cell>
          <cell r="F1634">
            <v>0</v>
          </cell>
          <cell r="G1634">
            <v>0</v>
          </cell>
          <cell r="H1634">
            <v>6516.62</v>
          </cell>
          <cell r="I1634">
            <v>6730.62</v>
          </cell>
          <cell r="J1634">
            <v>214</v>
          </cell>
          <cell r="K1634">
            <v>0</v>
          </cell>
          <cell r="L1634">
            <v>0</v>
          </cell>
          <cell r="M1634">
            <v>0</v>
          </cell>
          <cell r="N1634">
            <v>682.62</v>
          </cell>
          <cell r="O1634">
            <v>696.62</v>
          </cell>
          <cell r="P1634">
            <v>1816.62</v>
          </cell>
          <cell r="Q1634">
            <v>6516.62</v>
          </cell>
          <cell r="R1634">
            <v>6516.62</v>
          </cell>
          <cell r="S1634">
            <v>6516.62</v>
          </cell>
          <cell r="T1634">
            <v>6516.62</v>
          </cell>
          <cell r="U1634">
            <v>6516.62</v>
          </cell>
          <cell r="V1634">
            <v>6516.62</v>
          </cell>
          <cell r="W1634">
            <v>6516.62</v>
          </cell>
          <cell r="X1634">
            <v>6516.62</v>
          </cell>
          <cell r="Y1634">
            <v>6516.62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0</v>
          </cell>
          <cell r="AK1634">
            <v>0</v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>
            <v>0</v>
          </cell>
          <cell r="AR1634">
            <v>290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240</v>
          </cell>
          <cell r="BJ1634" t="str">
            <v/>
          </cell>
          <cell r="BK1634">
            <v>1700</v>
          </cell>
          <cell r="BL1634" t="str">
            <v>1</v>
          </cell>
          <cell r="BM1634" t="str">
            <v>1</v>
          </cell>
          <cell r="BN1634" t="str">
            <v/>
          </cell>
          <cell r="BO1634" t="str">
            <v/>
          </cell>
        </row>
        <row r="1635">
          <cell r="A1635">
            <v>1</v>
          </cell>
          <cell r="B1635">
            <v>1333331</v>
          </cell>
          <cell r="C1635" t="str">
            <v>RACK POUR TOILE ET FEUTRE</v>
          </cell>
          <cell r="D1635" t="str">
            <v/>
          </cell>
          <cell r="E1635" t="str">
            <v>O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>
            <v>0</v>
          </cell>
          <cell r="AL1635">
            <v>0</v>
          </cell>
          <cell r="AM1635">
            <v>1</v>
          </cell>
          <cell r="AN1635" t="str">
            <v/>
          </cell>
          <cell r="AO1635">
            <v>0</v>
          </cell>
          <cell r="AP1635">
            <v>0</v>
          </cell>
          <cell r="AQ1635">
            <v>0</v>
          </cell>
          <cell r="AR1635">
            <v>290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240</v>
          </cell>
          <cell r="BJ1635" t="str">
            <v/>
          </cell>
          <cell r="BK1635">
            <v>1700</v>
          </cell>
          <cell r="BL1635" t="str">
            <v>1</v>
          </cell>
          <cell r="BM1635" t="str">
            <v>1</v>
          </cell>
          <cell r="BN1635" t="str">
            <v/>
          </cell>
          <cell r="BO1635" t="str">
            <v/>
          </cell>
        </row>
        <row r="1636">
          <cell r="A1636">
            <v>1</v>
          </cell>
          <cell r="B1636">
            <v>1333350</v>
          </cell>
          <cell r="C1636" t="str">
            <v>ROBOT PALLETISEUR</v>
          </cell>
          <cell r="D1636" t="str">
            <v/>
          </cell>
          <cell r="E1636" t="str">
            <v>O</v>
          </cell>
          <cell r="F1636">
            <v>0</v>
          </cell>
          <cell r="G1636">
            <v>750000</v>
          </cell>
          <cell r="H1636">
            <v>810541.55</v>
          </cell>
          <cell r="I1636">
            <v>724040.8</v>
          </cell>
          <cell r="J1636">
            <v>50099.25</v>
          </cell>
          <cell r="K1636">
            <v>0</v>
          </cell>
          <cell r="L1636">
            <v>80409.06</v>
          </cell>
          <cell r="M1636">
            <v>63125.75</v>
          </cell>
          <cell r="N1636">
            <v>136600</v>
          </cell>
          <cell r="O1636">
            <v>247332.48000000001</v>
          </cell>
          <cell r="P1636">
            <v>370932.47999999998</v>
          </cell>
          <cell r="Q1636">
            <v>371308.11</v>
          </cell>
          <cell r="R1636">
            <v>375959.8</v>
          </cell>
          <cell r="S1636">
            <v>411570.03</v>
          </cell>
          <cell r="T1636">
            <v>435713.95</v>
          </cell>
          <cell r="U1636">
            <v>486014.56</v>
          </cell>
          <cell r="V1636">
            <v>714098.69</v>
          </cell>
          <cell r="W1636">
            <v>740884.06</v>
          </cell>
          <cell r="X1636">
            <v>810541.55</v>
          </cell>
          <cell r="Y1636">
            <v>827824.86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136600</v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>
            <v>0</v>
          </cell>
          <cell r="AR1636">
            <v>290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240</v>
          </cell>
          <cell r="BJ1636" t="str">
            <v/>
          </cell>
          <cell r="BK1636">
            <v>1700</v>
          </cell>
          <cell r="BL1636" t="str">
            <v>1</v>
          </cell>
          <cell r="BM1636" t="str">
            <v>1</v>
          </cell>
          <cell r="BN1636" t="str">
            <v/>
          </cell>
          <cell r="BO1636" t="str">
            <v/>
          </cell>
        </row>
        <row r="1637">
          <cell r="A1637">
            <v>1</v>
          </cell>
          <cell r="B1637">
            <v>1333340</v>
          </cell>
          <cell r="C1637" t="str">
            <v>STRETCH WRAP</v>
          </cell>
          <cell r="D1637" t="str">
            <v/>
          </cell>
          <cell r="E1637" t="str">
            <v>O</v>
          </cell>
          <cell r="F1637">
            <v>0</v>
          </cell>
          <cell r="G1637">
            <v>0</v>
          </cell>
          <cell r="H1637">
            <v>25000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25000</v>
          </cell>
          <cell r="O1637">
            <v>25000</v>
          </cell>
          <cell r="P1637">
            <v>25000</v>
          </cell>
          <cell r="Q1637">
            <v>25000</v>
          </cell>
          <cell r="R1637">
            <v>25000</v>
          </cell>
          <cell r="S1637">
            <v>25000</v>
          </cell>
          <cell r="T1637">
            <v>25000</v>
          </cell>
          <cell r="U1637">
            <v>25000</v>
          </cell>
          <cell r="V1637">
            <v>25000</v>
          </cell>
          <cell r="W1637">
            <v>25000</v>
          </cell>
          <cell r="X1637">
            <v>25000</v>
          </cell>
          <cell r="Y1637">
            <v>25000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>
            <v>25000</v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>
            <v>0</v>
          </cell>
          <cell r="AR1637">
            <v>290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240</v>
          </cell>
          <cell r="BJ1637" t="str">
            <v/>
          </cell>
          <cell r="BK1637">
            <v>1700</v>
          </cell>
          <cell r="BL1637" t="str">
            <v>1</v>
          </cell>
          <cell r="BM1637" t="str">
            <v>1</v>
          </cell>
          <cell r="BN1637" t="str">
            <v/>
          </cell>
          <cell r="BO1637" t="str">
            <v/>
          </cell>
        </row>
        <row r="1638">
          <cell r="A1638">
            <v>1</v>
          </cell>
          <cell r="B1638">
            <v>1263360</v>
          </cell>
          <cell r="C1638" t="str">
            <v>SYSTEME DE CAMERASS</v>
          </cell>
          <cell r="D1638" t="str">
            <v>SÉCURITÉ</v>
          </cell>
          <cell r="E1638" t="str">
            <v>O</v>
          </cell>
          <cell r="F1638">
            <v>0</v>
          </cell>
          <cell r="G1638">
            <v>0</v>
          </cell>
          <cell r="H1638">
            <v>31790</v>
          </cell>
          <cell r="I1638">
            <v>190740</v>
          </cell>
          <cell r="J1638">
            <v>190950</v>
          </cell>
          <cell r="K1638">
            <v>0</v>
          </cell>
          <cell r="L1638">
            <v>0</v>
          </cell>
          <cell r="M1638">
            <v>0</v>
          </cell>
          <cell r="N1638">
            <v>31790</v>
          </cell>
          <cell r="O1638">
            <v>31790</v>
          </cell>
          <cell r="P1638">
            <v>31790</v>
          </cell>
          <cell r="Q1638">
            <v>31790</v>
          </cell>
          <cell r="R1638">
            <v>31790</v>
          </cell>
          <cell r="S1638">
            <v>31790</v>
          </cell>
          <cell r="T1638">
            <v>31790</v>
          </cell>
          <cell r="U1638">
            <v>31790</v>
          </cell>
          <cell r="V1638">
            <v>31790</v>
          </cell>
          <cell r="W1638">
            <v>31790</v>
          </cell>
          <cell r="X1638">
            <v>31790</v>
          </cell>
          <cell r="Y1638">
            <v>31790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32000</v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>
            <v>0</v>
          </cell>
          <cell r="AR1638">
            <v>290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240</v>
          </cell>
          <cell r="BJ1638" t="str">
            <v/>
          </cell>
          <cell r="BK1638">
            <v>1700</v>
          </cell>
          <cell r="BL1638" t="str">
            <v>1</v>
          </cell>
          <cell r="BM1638" t="str">
            <v>1</v>
          </cell>
          <cell r="BN1638" t="str">
            <v/>
          </cell>
          <cell r="BO1638" t="str">
            <v/>
          </cell>
        </row>
        <row r="1639">
          <cell r="A1639">
            <v>1</v>
          </cell>
          <cell r="B1639">
            <v>1333380</v>
          </cell>
          <cell r="C1639" t="str">
            <v>AMENAGEMENT CHAMBRE HUILE</v>
          </cell>
          <cell r="D1639" t="str">
            <v/>
          </cell>
          <cell r="E1639" t="str">
            <v>O</v>
          </cell>
          <cell r="F1639">
            <v>0</v>
          </cell>
          <cell r="G1639">
            <v>0</v>
          </cell>
          <cell r="H1639">
            <v>33476.28</v>
          </cell>
          <cell r="I1639">
            <v>46294.23</v>
          </cell>
          <cell r="J1639">
            <v>12817.95</v>
          </cell>
          <cell r="K1639">
            <v>0</v>
          </cell>
          <cell r="L1639">
            <v>0</v>
          </cell>
          <cell r="M1639">
            <v>0</v>
          </cell>
          <cell r="N1639">
            <v>267.25</v>
          </cell>
          <cell r="O1639">
            <v>12760.03</v>
          </cell>
          <cell r="P1639">
            <v>28646.28</v>
          </cell>
          <cell r="Q1639">
            <v>28646.28</v>
          </cell>
          <cell r="R1639">
            <v>28646.28</v>
          </cell>
          <cell r="S1639">
            <v>33476.28</v>
          </cell>
          <cell r="T1639">
            <v>33476.28</v>
          </cell>
          <cell r="U1639">
            <v>33476.28</v>
          </cell>
          <cell r="V1639">
            <v>33476.28</v>
          </cell>
          <cell r="W1639">
            <v>33476.28</v>
          </cell>
          <cell r="X1639">
            <v>33476.28</v>
          </cell>
          <cell r="Y1639">
            <v>33476.28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>
            <v>0</v>
          </cell>
          <cell r="AR1639">
            <v>290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240</v>
          </cell>
          <cell r="BJ1639" t="str">
            <v/>
          </cell>
          <cell r="BK1639">
            <v>1700</v>
          </cell>
          <cell r="BL1639" t="str">
            <v>1</v>
          </cell>
          <cell r="BM1639" t="str">
            <v>1</v>
          </cell>
          <cell r="BN1639" t="str">
            <v/>
          </cell>
          <cell r="BO1639" t="str">
            <v/>
          </cell>
        </row>
        <row r="1640">
          <cell r="A1640">
            <v>1</v>
          </cell>
          <cell r="B1640">
            <v>1111001</v>
          </cell>
          <cell r="C1640" t="str">
            <v>ENCAISSE</v>
          </cell>
          <cell r="D1640" t="str">
            <v>PETITE CAISSE USD</v>
          </cell>
          <cell r="E1640" t="str">
            <v>N</v>
          </cell>
          <cell r="F1640">
            <v>0</v>
          </cell>
          <cell r="G1640">
            <v>0</v>
          </cell>
          <cell r="H1640">
            <v>466.33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466.33</v>
          </cell>
          <cell r="O1640">
            <v>466.33</v>
          </cell>
          <cell r="P1640">
            <v>466.33</v>
          </cell>
          <cell r="Q1640">
            <v>466.33</v>
          </cell>
          <cell r="R1640">
            <v>466.33</v>
          </cell>
          <cell r="S1640">
            <v>466.33</v>
          </cell>
          <cell r="T1640">
            <v>466.33</v>
          </cell>
          <cell r="U1640">
            <v>466.33</v>
          </cell>
          <cell r="V1640">
            <v>466.33</v>
          </cell>
          <cell r="W1640">
            <v>466.33</v>
          </cell>
          <cell r="X1640">
            <v>466.33</v>
          </cell>
          <cell r="Y1640">
            <v>466.33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0</v>
          </cell>
          <cell r="AK1640">
            <v>466.33</v>
          </cell>
          <cell r="AL1640">
            <v>0</v>
          </cell>
          <cell r="AM1640">
            <v>1</v>
          </cell>
          <cell r="AN1640" t="str">
            <v/>
          </cell>
          <cell r="AO1640">
            <v>0</v>
          </cell>
          <cell r="AP1640">
            <v>0</v>
          </cell>
          <cell r="AQ1640">
            <v>0</v>
          </cell>
          <cell r="AR1640">
            <v>10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 t="str">
            <v/>
          </cell>
          <cell r="BK1640">
            <v>1000</v>
          </cell>
          <cell r="BL1640" t="str">
            <v>0</v>
          </cell>
          <cell r="BM1640" t="str">
            <v>1</v>
          </cell>
          <cell r="BN1640" t="str">
            <v/>
          </cell>
          <cell r="BO1640" t="str">
            <v/>
          </cell>
        </row>
        <row r="1641">
          <cell r="A1641">
            <v>1</v>
          </cell>
          <cell r="B1641">
            <v>5205021</v>
          </cell>
          <cell r="C1641" t="str">
            <v>R&amp;D CANADA</v>
          </cell>
          <cell r="D1641" t="str">
            <v/>
          </cell>
          <cell r="E1641" t="str">
            <v>O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50409</v>
          </cell>
          <cell r="AL1641">
            <v>0</v>
          </cell>
          <cell r="AM1641">
            <v>1</v>
          </cell>
          <cell r="AN1641" t="str">
            <v/>
          </cell>
          <cell r="AO1641">
            <v>0</v>
          </cell>
          <cell r="AP1641">
            <v>0</v>
          </cell>
          <cell r="AQ1641">
            <v>0</v>
          </cell>
          <cell r="AR1641">
            <v>810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 t="str">
            <v/>
          </cell>
          <cell r="BK1641">
            <v>7300</v>
          </cell>
          <cell r="BL1641" t="str">
            <v>0</v>
          </cell>
          <cell r="BM1641" t="str">
            <v>1</v>
          </cell>
          <cell r="BN1641" t="str">
            <v/>
          </cell>
          <cell r="BO1641" t="str">
            <v/>
          </cell>
        </row>
        <row r="1642">
          <cell r="A1642">
            <v>1</v>
          </cell>
          <cell r="B1642">
            <v>5206021</v>
          </cell>
          <cell r="C1642" t="str">
            <v>R&amp;D QUÉBEC</v>
          </cell>
          <cell r="D1642" t="str">
            <v/>
          </cell>
          <cell r="E1642" t="str">
            <v>O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0</v>
          </cell>
          <cell r="AK1642">
            <v>47400</v>
          </cell>
          <cell r="AL1642">
            <v>0</v>
          </cell>
          <cell r="AM1642">
            <v>1</v>
          </cell>
          <cell r="AN1642" t="str">
            <v/>
          </cell>
          <cell r="AO1642">
            <v>0</v>
          </cell>
          <cell r="AP1642">
            <v>0</v>
          </cell>
          <cell r="AQ1642">
            <v>0</v>
          </cell>
          <cell r="AR1642">
            <v>810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 t="str">
            <v/>
          </cell>
          <cell r="BK1642">
            <v>7300</v>
          </cell>
          <cell r="BL1642" t="str">
            <v>0</v>
          </cell>
          <cell r="BM1642" t="str">
            <v>1</v>
          </cell>
          <cell r="BN1642" t="str">
            <v/>
          </cell>
          <cell r="BO1642" t="str">
            <v/>
          </cell>
        </row>
        <row r="1643">
          <cell r="A1643">
            <v>1</v>
          </cell>
          <cell r="B1643">
            <v>1333390</v>
          </cell>
          <cell r="C1643" t="str">
            <v>REAMENAGEMENT B/P</v>
          </cell>
          <cell r="D1643" t="str">
            <v/>
          </cell>
          <cell r="E1643" t="str">
            <v>O</v>
          </cell>
          <cell r="F1643">
            <v>0</v>
          </cell>
          <cell r="G1643">
            <v>0</v>
          </cell>
          <cell r="H1643">
            <v>1038</v>
          </cell>
          <cell r="I1643">
            <v>1296</v>
          </cell>
          <cell r="J1643">
            <v>1038</v>
          </cell>
          <cell r="K1643">
            <v>0</v>
          </cell>
          <cell r="L1643">
            <v>0</v>
          </cell>
          <cell r="M1643">
            <v>0</v>
          </cell>
          <cell r="N1643">
            <v>780</v>
          </cell>
          <cell r="O1643">
            <v>1038</v>
          </cell>
          <cell r="P1643">
            <v>1038</v>
          </cell>
          <cell r="Q1643">
            <v>1038</v>
          </cell>
          <cell r="R1643">
            <v>1038</v>
          </cell>
          <cell r="S1643">
            <v>1038</v>
          </cell>
          <cell r="T1643">
            <v>1038</v>
          </cell>
          <cell r="U1643">
            <v>1038</v>
          </cell>
          <cell r="V1643">
            <v>1038</v>
          </cell>
          <cell r="W1643">
            <v>1038</v>
          </cell>
          <cell r="X1643">
            <v>1038</v>
          </cell>
          <cell r="Y1643">
            <v>1038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0</v>
          </cell>
          <cell r="AK1643">
            <v>780</v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>
            <v>0</v>
          </cell>
          <cell r="AR1643">
            <v>290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240</v>
          </cell>
          <cell r="BJ1643" t="str">
            <v/>
          </cell>
          <cell r="BK1643">
            <v>1700</v>
          </cell>
          <cell r="BL1643" t="str">
            <v>1</v>
          </cell>
          <cell r="BM1643" t="str">
            <v>1</v>
          </cell>
          <cell r="BN1643" t="str">
            <v/>
          </cell>
          <cell r="BO1643" t="str">
            <v/>
          </cell>
        </row>
        <row r="1644">
          <cell r="A1644">
            <v>1</v>
          </cell>
          <cell r="B1644">
            <v>1313320</v>
          </cell>
          <cell r="C1644" t="str">
            <v>LIGNE CHAUFFAGE A VAPEUR</v>
          </cell>
          <cell r="D1644" t="str">
            <v/>
          </cell>
          <cell r="E1644" t="str">
            <v>O</v>
          </cell>
          <cell r="F1644">
            <v>0</v>
          </cell>
          <cell r="G1644">
            <v>0</v>
          </cell>
          <cell r="H1644">
            <v>8762.65</v>
          </cell>
          <cell r="I1644">
            <v>5000</v>
          </cell>
          <cell r="J1644">
            <v>10000</v>
          </cell>
          <cell r="K1644">
            <v>0</v>
          </cell>
          <cell r="L1644">
            <v>0</v>
          </cell>
          <cell r="M1644">
            <v>0</v>
          </cell>
          <cell r="N1644">
            <v>13762.65</v>
          </cell>
          <cell r="O1644">
            <v>8762.65</v>
          </cell>
          <cell r="P1644">
            <v>8762.65</v>
          </cell>
          <cell r="Q1644">
            <v>8762.65</v>
          </cell>
          <cell r="R1644">
            <v>8762.65</v>
          </cell>
          <cell r="S1644">
            <v>8762.65</v>
          </cell>
          <cell r="T1644">
            <v>8762.65</v>
          </cell>
          <cell r="U1644">
            <v>8762.65</v>
          </cell>
          <cell r="V1644">
            <v>8762.65</v>
          </cell>
          <cell r="W1644">
            <v>8762.65</v>
          </cell>
          <cell r="X1644">
            <v>8762.65</v>
          </cell>
          <cell r="Y1644">
            <v>8762.65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>
            <v>13762.65</v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>
            <v>0</v>
          </cell>
          <cell r="AR1644">
            <v>290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240</v>
          </cell>
          <cell r="BJ1644" t="str">
            <v/>
          </cell>
          <cell r="BK1644">
            <v>1700</v>
          </cell>
          <cell r="BL1644" t="str">
            <v>1</v>
          </cell>
          <cell r="BM1644" t="str">
            <v>1</v>
          </cell>
          <cell r="BN1644" t="str">
            <v/>
          </cell>
          <cell r="BO1644" t="str">
            <v/>
          </cell>
        </row>
        <row r="1645">
          <cell r="A1645">
            <v>1</v>
          </cell>
          <cell r="B1645">
            <v>1333401</v>
          </cell>
          <cell r="C1645" t="str">
            <v>TRAITEMENT SEC.WONDERWARE</v>
          </cell>
          <cell r="D1645" t="str">
            <v/>
          </cell>
          <cell r="E1645" t="str">
            <v>O</v>
          </cell>
          <cell r="F1645">
            <v>0</v>
          </cell>
          <cell r="G1645">
            <v>25000</v>
          </cell>
          <cell r="H1645">
            <v>30323.67</v>
          </cell>
          <cell r="I1645">
            <v>50208.87</v>
          </cell>
          <cell r="J1645">
            <v>19885.2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5159</v>
          </cell>
          <cell r="Q1645">
            <v>19874.400000000001</v>
          </cell>
          <cell r="R1645">
            <v>27338.79</v>
          </cell>
          <cell r="S1645">
            <v>28128.85</v>
          </cell>
          <cell r="T1645">
            <v>28269.599999999999</v>
          </cell>
          <cell r="U1645">
            <v>29881.67</v>
          </cell>
          <cell r="V1645">
            <v>29881.67</v>
          </cell>
          <cell r="W1645">
            <v>30323.67</v>
          </cell>
          <cell r="X1645">
            <v>30323.67</v>
          </cell>
          <cell r="Y1645">
            <v>30323.67</v>
          </cell>
          <cell r="Z1645">
            <v>0</v>
          </cell>
          <cell r="AA1645">
            <v>0</v>
          </cell>
          <cell r="AB1645">
            <v>0</v>
          </cell>
          <cell r="AC1645">
            <v>0</v>
          </cell>
          <cell r="AD1645">
            <v>0</v>
          </cell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>
            <v>0</v>
          </cell>
          <cell r="AL1645">
            <v>0</v>
          </cell>
          <cell r="AM1645">
            <v>1</v>
          </cell>
          <cell r="AN1645" t="str">
            <v/>
          </cell>
          <cell r="AO1645">
            <v>0</v>
          </cell>
          <cell r="AP1645">
            <v>0</v>
          </cell>
          <cell r="AQ1645">
            <v>0</v>
          </cell>
          <cell r="AR1645">
            <v>290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240</v>
          </cell>
          <cell r="BJ1645" t="str">
            <v/>
          </cell>
          <cell r="BK1645">
            <v>1700</v>
          </cell>
          <cell r="BL1645" t="str">
            <v>1</v>
          </cell>
          <cell r="BM1645" t="str">
            <v>1</v>
          </cell>
          <cell r="BN1645" t="str">
            <v/>
          </cell>
          <cell r="BO1645" t="str">
            <v/>
          </cell>
        </row>
        <row r="1646">
          <cell r="A1646">
            <v>1</v>
          </cell>
          <cell r="B1646">
            <v>1333411</v>
          </cell>
          <cell r="C1646" t="str">
            <v>DOUCHE A BROSSE 1</v>
          </cell>
          <cell r="D1646" t="str">
            <v/>
          </cell>
          <cell r="E1646" t="str">
            <v>O</v>
          </cell>
          <cell r="F1646">
            <v>0</v>
          </cell>
          <cell r="G1646">
            <v>5000</v>
          </cell>
          <cell r="H1646">
            <v>5416.4</v>
          </cell>
          <cell r="I1646">
            <v>5416.4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5416.4</v>
          </cell>
          <cell r="P1646">
            <v>5416.4</v>
          </cell>
          <cell r="Q1646">
            <v>5416.4</v>
          </cell>
          <cell r="R1646">
            <v>5416.4</v>
          </cell>
          <cell r="S1646">
            <v>5416.4</v>
          </cell>
          <cell r="T1646">
            <v>5416.4</v>
          </cell>
          <cell r="U1646">
            <v>5416.4</v>
          </cell>
          <cell r="V1646">
            <v>5416.4</v>
          </cell>
          <cell r="W1646">
            <v>5416.4</v>
          </cell>
          <cell r="X1646">
            <v>5416.4</v>
          </cell>
          <cell r="Y1646">
            <v>5416.4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1</v>
          </cell>
          <cell r="AN1646" t="str">
            <v/>
          </cell>
          <cell r="AO1646">
            <v>0</v>
          </cell>
          <cell r="AP1646">
            <v>0</v>
          </cell>
          <cell r="AQ1646">
            <v>0</v>
          </cell>
          <cell r="AR1646">
            <v>290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240</v>
          </cell>
          <cell r="BJ1646" t="str">
            <v/>
          </cell>
          <cell r="BK1646">
            <v>1700</v>
          </cell>
          <cell r="BL1646" t="str">
            <v>1</v>
          </cell>
          <cell r="BM1646" t="str">
            <v>1</v>
          </cell>
          <cell r="BN1646" t="str">
            <v/>
          </cell>
          <cell r="BO1646" t="str">
            <v/>
          </cell>
        </row>
        <row r="1647">
          <cell r="A1647">
            <v>1</v>
          </cell>
          <cell r="B1647">
            <v>1333421</v>
          </cell>
          <cell r="C1647" t="str">
            <v>DOUCHE A BROSSE 2</v>
          </cell>
          <cell r="D1647" t="str">
            <v/>
          </cell>
          <cell r="E1647" t="str">
            <v>O</v>
          </cell>
          <cell r="F1647">
            <v>0</v>
          </cell>
          <cell r="G1647">
            <v>5000</v>
          </cell>
          <cell r="H1647">
            <v>5151</v>
          </cell>
          <cell r="I1647">
            <v>5151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5151</v>
          </cell>
          <cell r="P1647">
            <v>5151</v>
          </cell>
          <cell r="Q1647">
            <v>5151</v>
          </cell>
          <cell r="R1647">
            <v>5151</v>
          </cell>
          <cell r="S1647">
            <v>5151</v>
          </cell>
          <cell r="T1647">
            <v>5151</v>
          </cell>
          <cell r="U1647">
            <v>5151</v>
          </cell>
          <cell r="V1647">
            <v>5151</v>
          </cell>
          <cell r="W1647">
            <v>5151</v>
          </cell>
          <cell r="X1647">
            <v>5151</v>
          </cell>
          <cell r="Y1647">
            <v>5151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>
            <v>0</v>
          </cell>
          <cell r="AL1647">
            <v>0</v>
          </cell>
          <cell r="AM1647">
            <v>1</v>
          </cell>
          <cell r="AN1647" t="str">
            <v/>
          </cell>
          <cell r="AO1647">
            <v>0</v>
          </cell>
          <cell r="AP1647">
            <v>0</v>
          </cell>
          <cell r="AQ1647">
            <v>0</v>
          </cell>
          <cell r="AR1647">
            <v>290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240</v>
          </cell>
          <cell r="BJ1647" t="str">
            <v/>
          </cell>
          <cell r="BK1647">
            <v>1700</v>
          </cell>
          <cell r="BL1647" t="str">
            <v>1</v>
          </cell>
          <cell r="BM1647" t="str">
            <v>1</v>
          </cell>
          <cell r="BN1647" t="str">
            <v/>
          </cell>
          <cell r="BO1647" t="str">
            <v/>
          </cell>
        </row>
        <row r="1648">
          <cell r="A1648">
            <v>1</v>
          </cell>
          <cell r="B1648">
            <v>1333431</v>
          </cell>
          <cell r="C1648" t="str">
            <v>HOUSING BEARING PRESSE SE</v>
          </cell>
          <cell r="D1648" t="str">
            <v/>
          </cell>
          <cell r="E1648" t="str">
            <v>O</v>
          </cell>
          <cell r="F1648">
            <v>0</v>
          </cell>
          <cell r="G1648">
            <v>29000</v>
          </cell>
          <cell r="H1648">
            <v>15594.69</v>
          </cell>
          <cell r="I1648">
            <v>15594.69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15368</v>
          </cell>
          <cell r="V1648">
            <v>15594.69</v>
          </cell>
          <cell r="W1648">
            <v>15594.69</v>
          </cell>
          <cell r="X1648">
            <v>15594.69</v>
          </cell>
          <cell r="Y1648">
            <v>15594.69</v>
          </cell>
          <cell r="Z1648">
            <v>0</v>
          </cell>
          <cell r="AA1648">
            <v>0</v>
          </cell>
          <cell r="AB1648">
            <v>0</v>
          </cell>
          <cell r="AC1648">
            <v>0</v>
          </cell>
          <cell r="AD1648">
            <v>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0</v>
          </cell>
          <cell r="AK1648">
            <v>0</v>
          </cell>
          <cell r="AL1648">
            <v>0</v>
          </cell>
          <cell r="AM1648">
            <v>1</v>
          </cell>
          <cell r="AN1648" t="str">
            <v/>
          </cell>
          <cell r="AO1648">
            <v>0</v>
          </cell>
          <cell r="AP1648">
            <v>0</v>
          </cell>
          <cell r="AQ1648">
            <v>0</v>
          </cell>
          <cell r="AR1648">
            <v>290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240</v>
          </cell>
          <cell r="BJ1648" t="str">
            <v/>
          </cell>
          <cell r="BK1648">
            <v>1700</v>
          </cell>
          <cell r="BL1648" t="str">
            <v>1</v>
          </cell>
          <cell r="BM1648" t="str">
            <v>1</v>
          </cell>
          <cell r="BN1648" t="str">
            <v/>
          </cell>
          <cell r="BO1648" t="str">
            <v/>
          </cell>
        </row>
        <row r="1649">
          <cell r="A1649">
            <v>1</v>
          </cell>
          <cell r="B1649">
            <v>4220061</v>
          </cell>
          <cell r="C1649" t="str">
            <v>MATIERE PREMIERE   ACHATS</v>
          </cell>
          <cell r="D1649" t="str">
            <v>NEWS     GRADE 06</v>
          </cell>
          <cell r="E1649" t="str">
            <v>O</v>
          </cell>
          <cell r="F1649">
            <v>0</v>
          </cell>
          <cell r="G1649">
            <v>0</v>
          </cell>
          <cell r="H1649">
            <v>189387.97</v>
          </cell>
          <cell r="I1649">
            <v>320753.31</v>
          </cell>
          <cell r="J1649">
            <v>131365.34</v>
          </cell>
          <cell r="K1649">
            <v>0</v>
          </cell>
          <cell r="L1649">
            <v>527.64</v>
          </cell>
          <cell r="M1649">
            <v>527.64</v>
          </cell>
          <cell r="N1649">
            <v>2727.86</v>
          </cell>
          <cell r="O1649">
            <v>26580.65</v>
          </cell>
          <cell r="P1649">
            <v>41311.85</v>
          </cell>
          <cell r="Q1649">
            <v>59798.83</v>
          </cell>
          <cell r="R1649">
            <v>92655.58</v>
          </cell>
          <cell r="S1649">
            <v>135541.07999999999</v>
          </cell>
          <cell r="T1649">
            <v>152337.66</v>
          </cell>
          <cell r="U1649">
            <v>160690.31</v>
          </cell>
          <cell r="V1649">
            <v>164033.5</v>
          </cell>
          <cell r="W1649">
            <v>182071.85</v>
          </cell>
          <cell r="X1649">
            <v>189387.97</v>
          </cell>
          <cell r="Y1649">
            <v>189387.97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0</v>
          </cell>
          <cell r="AK1649">
            <v>0</v>
          </cell>
          <cell r="AL1649">
            <v>0</v>
          </cell>
          <cell r="AM1649">
            <v>1</v>
          </cell>
          <cell r="AN1649" t="str">
            <v/>
          </cell>
          <cell r="AO1649">
            <v>0</v>
          </cell>
          <cell r="AP1649">
            <v>0</v>
          </cell>
          <cell r="AQ1649">
            <v>0</v>
          </cell>
          <cell r="AR1649">
            <v>660</v>
          </cell>
          <cell r="AS1649">
            <v>0</v>
          </cell>
          <cell r="AT1649" t="str">
            <v/>
          </cell>
          <cell r="AU1649">
            <v>61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101.17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 t="str">
            <v/>
          </cell>
          <cell r="BK1649">
            <v>5100</v>
          </cell>
          <cell r="BL1649" t="str">
            <v>0</v>
          </cell>
          <cell r="BM1649" t="str">
            <v>1</v>
          </cell>
          <cell r="BN1649" t="str">
            <v/>
          </cell>
          <cell r="BO1649" t="str">
            <v/>
          </cell>
        </row>
        <row r="1650">
          <cell r="A1650">
            <v>1</v>
          </cell>
          <cell r="B1650">
            <v>4210061</v>
          </cell>
          <cell r="C1650" t="str">
            <v>INV MAT PREM</v>
          </cell>
          <cell r="D1650" t="str">
            <v>NEWS           #GRADE 06</v>
          </cell>
          <cell r="E1650" t="str">
            <v>O</v>
          </cell>
          <cell r="F1650">
            <v>0</v>
          </cell>
          <cell r="G1650">
            <v>0</v>
          </cell>
          <cell r="H1650">
            <v>2762</v>
          </cell>
          <cell r="I1650">
            <v>39853.089999999997</v>
          </cell>
          <cell r="J1650">
            <v>42615.09</v>
          </cell>
          <cell r="K1650">
            <v>0</v>
          </cell>
          <cell r="L1650">
            <v>2762</v>
          </cell>
          <cell r="M1650">
            <v>0</v>
          </cell>
          <cell r="N1650">
            <v>1610.05</v>
          </cell>
          <cell r="O1650">
            <v>1610</v>
          </cell>
          <cell r="P1650">
            <v>2048.94</v>
          </cell>
          <cell r="Q1650">
            <v>7840.55</v>
          </cell>
          <cell r="R1650">
            <v>1943.98</v>
          </cell>
          <cell r="S1650">
            <v>8779.5499999999993</v>
          </cell>
          <cell r="T1650">
            <v>3231.6</v>
          </cell>
          <cell r="U1650">
            <v>0</v>
          </cell>
          <cell r="V1650">
            <v>0</v>
          </cell>
          <cell r="W1650">
            <v>5321</v>
          </cell>
          <cell r="X1650">
            <v>2762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0</v>
          </cell>
          <cell r="AK1650">
            <v>0</v>
          </cell>
          <cell r="AL1650">
            <v>0</v>
          </cell>
          <cell r="AM1650">
            <v>1</v>
          </cell>
          <cell r="AN1650" t="str">
            <v/>
          </cell>
          <cell r="AO1650">
            <v>0</v>
          </cell>
          <cell r="AP1650">
            <v>0</v>
          </cell>
          <cell r="AQ1650">
            <v>0</v>
          </cell>
          <cell r="AR1650">
            <v>650</v>
          </cell>
          <cell r="AS1650">
            <v>0</v>
          </cell>
          <cell r="AT1650" t="str">
            <v/>
          </cell>
          <cell r="AU1650">
            <v>0</v>
          </cell>
          <cell r="AV1650">
            <v>28.77</v>
          </cell>
          <cell r="AW1650">
            <v>0</v>
          </cell>
          <cell r="AX1650">
            <v>0</v>
          </cell>
          <cell r="AY1650">
            <v>0</v>
          </cell>
          <cell r="AZ1650">
            <v>-28.77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 t="str">
            <v/>
          </cell>
          <cell r="BK1650">
            <v>5100</v>
          </cell>
          <cell r="BL1650" t="str">
            <v>0</v>
          </cell>
          <cell r="BM1650" t="str">
            <v>1</v>
          </cell>
          <cell r="BN1650" t="str">
            <v/>
          </cell>
          <cell r="BO1650" t="str">
            <v/>
          </cell>
        </row>
        <row r="1651">
          <cell r="A1651">
            <v>2</v>
          </cell>
          <cell r="B1651">
            <v>1333440</v>
          </cell>
          <cell r="C1651" t="str">
            <v>RESEAU COLLECTE DE DONNES</v>
          </cell>
          <cell r="D1651" t="str">
            <v/>
          </cell>
          <cell r="E1651" t="str">
            <v>O</v>
          </cell>
          <cell r="F1651">
            <v>0</v>
          </cell>
          <cell r="G1651">
            <v>29000</v>
          </cell>
          <cell r="H1651">
            <v>0</v>
          </cell>
          <cell r="I1651">
            <v>5922.72</v>
          </cell>
          <cell r="J1651">
            <v>5922.72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2884.62</v>
          </cell>
          <cell r="T1651">
            <v>2884.62</v>
          </cell>
          <cell r="U1651">
            <v>2884.62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0</v>
          </cell>
          <cell r="AK1651">
            <v>0</v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>
            <v>0</v>
          </cell>
          <cell r="AR1651">
            <v>290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240</v>
          </cell>
          <cell r="BJ1651" t="str">
            <v/>
          </cell>
          <cell r="BK1651">
            <v>1700</v>
          </cell>
          <cell r="BL1651" t="str">
            <v>1</v>
          </cell>
          <cell r="BM1651" t="str">
            <v>1</v>
          </cell>
          <cell r="BN1651" t="str">
            <v/>
          </cell>
          <cell r="BO1651" t="str">
            <v/>
          </cell>
        </row>
        <row r="1652">
          <cell r="A1652">
            <v>1</v>
          </cell>
          <cell r="B1652">
            <v>4803002</v>
          </cell>
          <cell r="C1652" t="str">
            <v>PALETTES RETOURNABLES</v>
          </cell>
          <cell r="D1652" t="str">
            <v>ACHATS-CPC</v>
          </cell>
          <cell r="E1652" t="str">
            <v>O</v>
          </cell>
          <cell r="F1652">
            <v>0</v>
          </cell>
          <cell r="G1652">
            <v>0</v>
          </cell>
          <cell r="H1652">
            <v>98359.2</v>
          </cell>
          <cell r="I1652">
            <v>106595.2</v>
          </cell>
          <cell r="J1652">
            <v>8236</v>
          </cell>
          <cell r="K1652">
            <v>0</v>
          </cell>
          <cell r="L1652">
            <v>176</v>
          </cell>
          <cell r="M1652">
            <v>176</v>
          </cell>
          <cell r="N1652">
            <v>0</v>
          </cell>
          <cell r="O1652">
            <v>34322.199999999997</v>
          </cell>
          <cell r="P1652">
            <v>47085</v>
          </cell>
          <cell r="Q1652">
            <v>54367.1</v>
          </cell>
          <cell r="R1652">
            <v>64045.2</v>
          </cell>
          <cell r="S1652">
            <v>74689.2</v>
          </cell>
          <cell r="T1652">
            <v>92109.2</v>
          </cell>
          <cell r="U1652">
            <v>92205.2</v>
          </cell>
          <cell r="V1652">
            <v>92397.2</v>
          </cell>
          <cell r="W1652">
            <v>98183.2</v>
          </cell>
          <cell r="X1652">
            <v>98359.2</v>
          </cell>
          <cell r="Y1652">
            <v>98359.2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>
            <v>0</v>
          </cell>
          <cell r="AL1652">
            <v>0</v>
          </cell>
          <cell r="AM1652">
            <v>2</v>
          </cell>
          <cell r="AN1652" t="str">
            <v/>
          </cell>
          <cell r="AO1652">
            <v>0</v>
          </cell>
          <cell r="AP1652">
            <v>0</v>
          </cell>
          <cell r="AQ1652">
            <v>0</v>
          </cell>
          <cell r="AR1652">
            <v>800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 t="str">
            <v/>
          </cell>
          <cell r="BK1652">
            <v>4100</v>
          </cell>
          <cell r="BL1652" t="str">
            <v>0</v>
          </cell>
          <cell r="BM1652" t="str">
            <v>1</v>
          </cell>
          <cell r="BN1652" t="str">
            <v/>
          </cell>
          <cell r="BO1652" t="str">
            <v/>
          </cell>
        </row>
        <row r="1653">
          <cell r="A1653">
            <v>1</v>
          </cell>
          <cell r="B1653">
            <v>4803012</v>
          </cell>
          <cell r="C1653" t="str">
            <v>PALETTES RETOURNABLES</v>
          </cell>
          <cell r="D1653" t="str">
            <v>LOCATIONS</v>
          </cell>
          <cell r="E1653" t="str">
            <v>O</v>
          </cell>
          <cell r="F1653">
            <v>0</v>
          </cell>
          <cell r="G1653">
            <v>0</v>
          </cell>
          <cell r="H1653">
            <v>99214.46</v>
          </cell>
          <cell r="I1653">
            <v>115967.38</v>
          </cell>
          <cell r="J1653">
            <v>16752.919999999998</v>
          </cell>
          <cell r="K1653">
            <v>0</v>
          </cell>
          <cell r="L1653">
            <v>16384.04</v>
          </cell>
          <cell r="M1653">
            <v>8377.7999999999993</v>
          </cell>
          <cell r="N1653">
            <v>0</v>
          </cell>
          <cell r="O1653">
            <v>30539.599999999999</v>
          </cell>
          <cell r="P1653">
            <v>30539.599999999999</v>
          </cell>
          <cell r="Q1653">
            <v>30539.599999999999</v>
          </cell>
          <cell r="R1653">
            <v>48355.64</v>
          </cell>
          <cell r="S1653">
            <v>57948.74</v>
          </cell>
          <cell r="T1653">
            <v>66314.399999999994</v>
          </cell>
          <cell r="U1653">
            <v>66253.600000000006</v>
          </cell>
          <cell r="V1653">
            <v>82262.16</v>
          </cell>
          <cell r="W1653">
            <v>90675.38</v>
          </cell>
          <cell r="X1653">
            <v>99214.46</v>
          </cell>
          <cell r="Y1653">
            <v>107220.7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0</v>
          </cell>
          <cell r="AK1653">
            <v>0</v>
          </cell>
          <cell r="AL1653">
            <v>0</v>
          </cell>
          <cell r="AM1653">
            <v>2</v>
          </cell>
          <cell r="AN1653" t="str">
            <v/>
          </cell>
          <cell r="AO1653">
            <v>0</v>
          </cell>
          <cell r="AP1653">
            <v>0</v>
          </cell>
          <cell r="AQ1653">
            <v>0</v>
          </cell>
          <cell r="AR1653">
            <v>800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 t="str">
            <v/>
          </cell>
          <cell r="BK1653">
            <v>4100</v>
          </cell>
          <cell r="BL1653" t="str">
            <v>0</v>
          </cell>
          <cell r="BM1653" t="str">
            <v>1</v>
          </cell>
          <cell r="BN1653" t="str">
            <v/>
          </cell>
          <cell r="BO1653" t="str">
            <v/>
          </cell>
        </row>
        <row r="1654">
          <cell r="A1654">
            <v>1</v>
          </cell>
          <cell r="B1654">
            <v>4803022</v>
          </cell>
          <cell r="C1654" t="str">
            <v>PALETTES RETOURNABLES</v>
          </cell>
          <cell r="D1654" t="str">
            <v>RÉPARATIONS</v>
          </cell>
          <cell r="E1654" t="str">
            <v>O</v>
          </cell>
          <cell r="F1654">
            <v>0</v>
          </cell>
          <cell r="G1654">
            <v>0</v>
          </cell>
          <cell r="H1654">
            <v>32505.8</v>
          </cell>
          <cell r="I1654">
            <v>46619.5</v>
          </cell>
          <cell r="J1654">
            <v>14113.7</v>
          </cell>
          <cell r="K1654">
            <v>0</v>
          </cell>
          <cell r="L1654">
            <v>1276.5999999999999</v>
          </cell>
          <cell r="M1654">
            <v>0</v>
          </cell>
          <cell r="N1654">
            <v>0</v>
          </cell>
          <cell r="O1654">
            <v>6348</v>
          </cell>
          <cell r="P1654">
            <v>6690.4</v>
          </cell>
          <cell r="Q1654">
            <v>6690.4</v>
          </cell>
          <cell r="R1654">
            <v>25499.4</v>
          </cell>
          <cell r="S1654">
            <v>26652.3</v>
          </cell>
          <cell r="T1654">
            <v>27304.799999999999</v>
          </cell>
          <cell r="U1654">
            <v>28328.799999999999</v>
          </cell>
          <cell r="V1654">
            <v>30005.4</v>
          </cell>
          <cell r="W1654">
            <v>32505.8</v>
          </cell>
          <cell r="X1654">
            <v>32505.8</v>
          </cell>
          <cell r="Y1654">
            <v>33782.400000000001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0</v>
          </cell>
          <cell r="AK1654">
            <v>0</v>
          </cell>
          <cell r="AL1654">
            <v>0</v>
          </cell>
          <cell r="AM1654">
            <v>2</v>
          </cell>
          <cell r="AN1654" t="str">
            <v/>
          </cell>
          <cell r="AO1654">
            <v>0</v>
          </cell>
          <cell r="AP1654">
            <v>0</v>
          </cell>
          <cell r="AQ1654">
            <v>0</v>
          </cell>
          <cell r="AR1654">
            <v>800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 t="str">
            <v/>
          </cell>
          <cell r="BK1654">
            <v>4100</v>
          </cell>
          <cell r="BL1654" t="str">
            <v>0</v>
          </cell>
          <cell r="BM1654" t="str">
            <v>1</v>
          </cell>
          <cell r="BN1654" t="str">
            <v/>
          </cell>
          <cell r="BO1654" t="str">
            <v/>
          </cell>
        </row>
        <row r="1655">
          <cell r="A1655">
            <v>1</v>
          </cell>
          <cell r="B1655">
            <v>4803032</v>
          </cell>
          <cell r="C1655" t="str">
            <v>PALETTES RETOURNABLES</v>
          </cell>
          <cell r="D1655" t="str">
            <v>TRANSPORTS</v>
          </cell>
          <cell r="E1655" t="str">
            <v>O</v>
          </cell>
          <cell r="F1655">
            <v>0</v>
          </cell>
          <cell r="G1655">
            <v>0</v>
          </cell>
          <cell r="H1655">
            <v>76319.41</v>
          </cell>
          <cell r="I1655">
            <v>94964.76</v>
          </cell>
          <cell r="J1655">
            <v>18645.349999999999</v>
          </cell>
          <cell r="K1655">
            <v>0</v>
          </cell>
          <cell r="L1655">
            <v>9021.7199999999993</v>
          </cell>
          <cell r="M1655">
            <v>3407.69</v>
          </cell>
          <cell r="N1655">
            <v>0</v>
          </cell>
          <cell r="O1655">
            <v>13475.93</v>
          </cell>
          <cell r="P1655">
            <v>19168.259999999998</v>
          </cell>
          <cell r="Q1655">
            <v>17621.91</v>
          </cell>
          <cell r="R1655">
            <v>20313.79</v>
          </cell>
          <cell r="S1655">
            <v>31987.040000000001</v>
          </cell>
          <cell r="T1655">
            <v>40542.67</v>
          </cell>
          <cell r="U1655">
            <v>46422.2</v>
          </cell>
          <cell r="V1655">
            <v>57396.14</v>
          </cell>
          <cell r="W1655">
            <v>65942.38</v>
          </cell>
          <cell r="X1655">
            <v>76319.41</v>
          </cell>
          <cell r="Y1655">
            <v>81933.440000000002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2</v>
          </cell>
          <cell r="AN1655" t="str">
            <v/>
          </cell>
          <cell r="AO1655">
            <v>0</v>
          </cell>
          <cell r="AP1655">
            <v>0</v>
          </cell>
          <cell r="AQ1655">
            <v>0</v>
          </cell>
          <cell r="AR1655">
            <v>800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 t="str">
            <v/>
          </cell>
          <cell r="BK1655">
            <v>4100</v>
          </cell>
          <cell r="BL1655" t="str">
            <v>0</v>
          </cell>
          <cell r="BM1655" t="str">
            <v>1</v>
          </cell>
          <cell r="BN1655" t="str">
            <v/>
          </cell>
          <cell r="BO1655" t="str">
            <v/>
          </cell>
        </row>
        <row r="1656">
          <cell r="A1656">
            <v>1</v>
          </cell>
          <cell r="B1656">
            <v>4803042</v>
          </cell>
          <cell r="C1656" t="str">
            <v>PALETTES NON-RETOURNABLES</v>
          </cell>
          <cell r="D1656" t="str">
            <v>ACHATS</v>
          </cell>
          <cell r="E1656" t="str">
            <v>O</v>
          </cell>
          <cell r="F1656">
            <v>0</v>
          </cell>
          <cell r="G1656">
            <v>0</v>
          </cell>
          <cell r="H1656">
            <v>108190.19</v>
          </cell>
          <cell r="I1656">
            <v>127197.23</v>
          </cell>
          <cell r="J1656">
            <v>19007.04</v>
          </cell>
          <cell r="K1656">
            <v>0</v>
          </cell>
          <cell r="L1656">
            <v>7168.89</v>
          </cell>
          <cell r="M1656">
            <v>3168.89</v>
          </cell>
          <cell r="N1656">
            <v>0</v>
          </cell>
          <cell r="O1656">
            <v>23312.5</v>
          </cell>
          <cell r="P1656">
            <v>32564.5</v>
          </cell>
          <cell r="Q1656">
            <v>40136.589999999997</v>
          </cell>
          <cell r="R1656">
            <v>52538.59</v>
          </cell>
          <cell r="S1656">
            <v>61010.59</v>
          </cell>
          <cell r="T1656">
            <v>68723.789999999994</v>
          </cell>
          <cell r="U1656">
            <v>75198.789999999994</v>
          </cell>
          <cell r="V1656">
            <v>93792.83</v>
          </cell>
          <cell r="W1656">
            <v>101728.8</v>
          </cell>
          <cell r="X1656">
            <v>108190.19</v>
          </cell>
          <cell r="Y1656">
            <v>112190.19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2</v>
          </cell>
          <cell r="AN1656" t="str">
            <v/>
          </cell>
          <cell r="AO1656">
            <v>0</v>
          </cell>
          <cell r="AP1656">
            <v>0</v>
          </cell>
          <cell r="AQ1656">
            <v>0</v>
          </cell>
          <cell r="AR1656">
            <v>800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 t="str">
            <v/>
          </cell>
          <cell r="BK1656">
            <v>4100</v>
          </cell>
          <cell r="BL1656" t="str">
            <v>0</v>
          </cell>
          <cell r="BM1656" t="str">
            <v>1</v>
          </cell>
          <cell r="BN1656" t="str">
            <v/>
          </cell>
          <cell r="BO1656" t="str">
            <v/>
          </cell>
        </row>
        <row r="1657">
          <cell r="A1657">
            <v>1</v>
          </cell>
          <cell r="B1657">
            <v>4803052</v>
          </cell>
          <cell r="C1657" t="str">
            <v>PALETTES NON-RETOURNABLES</v>
          </cell>
          <cell r="D1657" t="str">
            <v>VENTES</v>
          </cell>
          <cell r="E1657" t="str">
            <v>O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2</v>
          </cell>
          <cell r="AN1657" t="str">
            <v/>
          </cell>
          <cell r="AO1657">
            <v>0</v>
          </cell>
          <cell r="AP1657">
            <v>0</v>
          </cell>
          <cell r="AQ1657">
            <v>0</v>
          </cell>
          <cell r="AR1657">
            <v>800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 t="str">
            <v/>
          </cell>
          <cell r="BK1657">
            <v>4100</v>
          </cell>
          <cell r="BL1657" t="str">
            <v>0</v>
          </cell>
          <cell r="BM1657" t="str">
            <v>1</v>
          </cell>
          <cell r="BN1657" t="str">
            <v/>
          </cell>
          <cell r="BO1657" t="str">
            <v/>
          </cell>
        </row>
        <row r="1658">
          <cell r="A1658">
            <v>1</v>
          </cell>
          <cell r="B1658">
            <v>4803062</v>
          </cell>
          <cell r="C1658" t="str">
            <v>PALETTES FOURNISSEURS</v>
          </cell>
          <cell r="D1658" t="str">
            <v>ACHATS</v>
          </cell>
          <cell r="E1658" t="str">
            <v>O</v>
          </cell>
          <cell r="F1658">
            <v>0</v>
          </cell>
          <cell r="G1658">
            <v>0</v>
          </cell>
          <cell r="H1658">
            <v>-1879.01</v>
          </cell>
          <cell r="I1658">
            <v>7086.8</v>
          </cell>
          <cell r="J1658">
            <v>8965.81</v>
          </cell>
          <cell r="K1658">
            <v>0</v>
          </cell>
          <cell r="L1658">
            <v>931</v>
          </cell>
          <cell r="M1658">
            <v>1312.25</v>
          </cell>
          <cell r="N1658">
            <v>0</v>
          </cell>
          <cell r="O1658">
            <v>-2504.12</v>
          </cell>
          <cell r="P1658">
            <v>-3392.22</v>
          </cell>
          <cell r="Q1658">
            <v>-2710.72</v>
          </cell>
          <cell r="R1658">
            <v>-1931.22</v>
          </cell>
          <cell r="S1658">
            <v>-1666.61</v>
          </cell>
          <cell r="T1658">
            <v>-1046.71</v>
          </cell>
          <cell r="U1658">
            <v>-2123.81</v>
          </cell>
          <cell r="V1658">
            <v>-2550.71</v>
          </cell>
          <cell r="W1658">
            <v>-2764.71</v>
          </cell>
          <cell r="X1658">
            <v>-1879.01</v>
          </cell>
          <cell r="Y1658">
            <v>-2260.2600000000002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2</v>
          </cell>
          <cell r="AN1658" t="str">
            <v/>
          </cell>
          <cell r="AO1658">
            <v>0</v>
          </cell>
          <cell r="AP1658">
            <v>0</v>
          </cell>
          <cell r="AQ1658">
            <v>0</v>
          </cell>
          <cell r="AR1658">
            <v>800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 t="str">
            <v/>
          </cell>
          <cell r="BK1658">
            <v>4100</v>
          </cell>
          <cell r="BL1658" t="str">
            <v>0</v>
          </cell>
          <cell r="BM1658" t="str">
            <v>1</v>
          </cell>
          <cell r="BN1658" t="str">
            <v/>
          </cell>
          <cell r="BO1658" t="str">
            <v/>
          </cell>
        </row>
        <row r="1659">
          <cell r="A1659">
            <v>1</v>
          </cell>
          <cell r="B1659">
            <v>1333491</v>
          </cell>
          <cell r="C1659" t="str">
            <v>REAMENAGEMENT ENROULEUSE</v>
          </cell>
          <cell r="D1659" t="str">
            <v/>
          </cell>
          <cell r="E1659" t="str">
            <v>O</v>
          </cell>
          <cell r="F1659">
            <v>0</v>
          </cell>
          <cell r="G1659">
            <v>90000</v>
          </cell>
          <cell r="H1659">
            <v>1718.14</v>
          </cell>
          <cell r="I1659">
            <v>22093.14</v>
          </cell>
          <cell r="J1659">
            <v>20375</v>
          </cell>
          <cell r="K1659">
            <v>0</v>
          </cell>
          <cell r="L1659">
            <v>350</v>
          </cell>
          <cell r="M1659">
            <v>0</v>
          </cell>
          <cell r="N1659">
            <v>0</v>
          </cell>
          <cell r="O1659">
            <v>0</v>
          </cell>
          <cell r="P1659">
            <v>20643.14</v>
          </cell>
          <cell r="Q1659">
            <v>1418.14</v>
          </cell>
          <cell r="R1659">
            <v>1718.14</v>
          </cell>
          <cell r="S1659">
            <v>2068.14</v>
          </cell>
          <cell r="T1659">
            <v>1718.14</v>
          </cell>
          <cell r="U1659">
            <v>1718.14</v>
          </cell>
          <cell r="V1659">
            <v>2068.14</v>
          </cell>
          <cell r="W1659">
            <v>1718.14</v>
          </cell>
          <cell r="X1659">
            <v>1718.14</v>
          </cell>
          <cell r="Y1659">
            <v>2068.14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1</v>
          </cell>
          <cell r="AN1659" t="str">
            <v/>
          </cell>
          <cell r="AO1659">
            <v>0</v>
          </cell>
          <cell r="AP1659">
            <v>0</v>
          </cell>
          <cell r="AQ1659">
            <v>0</v>
          </cell>
          <cell r="AR1659">
            <v>290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240</v>
          </cell>
          <cell r="BJ1659" t="str">
            <v/>
          </cell>
          <cell r="BK1659">
            <v>1700</v>
          </cell>
          <cell r="BL1659" t="str">
            <v>1</v>
          </cell>
          <cell r="BM1659" t="str">
            <v>1</v>
          </cell>
          <cell r="BN1659" t="str">
            <v/>
          </cell>
          <cell r="BO1659" t="str">
            <v/>
          </cell>
        </row>
        <row r="1660">
          <cell r="A1660">
            <v>1</v>
          </cell>
          <cell r="B1660">
            <v>1333501</v>
          </cell>
          <cell r="C1660" t="str">
            <v>INTERIEUR PRESSE PRIMAIRE</v>
          </cell>
          <cell r="D1660" t="str">
            <v/>
          </cell>
          <cell r="E1660" t="str">
            <v>O</v>
          </cell>
          <cell r="F1660">
            <v>0</v>
          </cell>
          <cell r="G1660">
            <v>260000</v>
          </cell>
          <cell r="H1660">
            <v>165902.85999999999</v>
          </cell>
          <cell r="I1660">
            <v>213083.29</v>
          </cell>
          <cell r="J1660">
            <v>47180.43</v>
          </cell>
          <cell r="K1660">
            <v>0</v>
          </cell>
          <cell r="L1660">
            <v>17804.2</v>
          </cell>
          <cell r="M1660">
            <v>24020.06</v>
          </cell>
          <cell r="N1660">
            <v>0</v>
          </cell>
          <cell r="O1660">
            <v>0</v>
          </cell>
          <cell r="P1660">
            <v>0</v>
          </cell>
          <cell r="Q1660">
            <v>15729.2</v>
          </cell>
          <cell r="R1660">
            <v>15729.2</v>
          </cell>
          <cell r="S1660">
            <v>15729.2</v>
          </cell>
          <cell r="T1660">
            <v>62916.800000000003</v>
          </cell>
          <cell r="U1660">
            <v>125833.60000000001</v>
          </cell>
          <cell r="V1660">
            <v>164719.32999999999</v>
          </cell>
          <cell r="W1660">
            <v>165586.70000000001</v>
          </cell>
          <cell r="X1660">
            <v>165902.85999999999</v>
          </cell>
          <cell r="Y1660">
            <v>159687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0</v>
          </cell>
          <cell r="AK1660">
            <v>0</v>
          </cell>
          <cell r="AL1660">
            <v>0</v>
          </cell>
          <cell r="AM1660">
            <v>1</v>
          </cell>
          <cell r="AN1660" t="str">
            <v/>
          </cell>
          <cell r="AO1660">
            <v>0</v>
          </cell>
          <cell r="AP1660">
            <v>0</v>
          </cell>
          <cell r="AQ1660">
            <v>0</v>
          </cell>
          <cell r="AR1660">
            <v>290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240</v>
          </cell>
          <cell r="BJ1660" t="str">
            <v/>
          </cell>
          <cell r="BK1660">
            <v>1700</v>
          </cell>
          <cell r="BL1660" t="str">
            <v>1</v>
          </cell>
          <cell r="BM1660" t="str">
            <v>1</v>
          </cell>
          <cell r="BN1660" t="str">
            <v/>
          </cell>
          <cell r="BO1660" t="str">
            <v/>
          </cell>
        </row>
        <row r="1661">
          <cell r="A1661">
            <v>1</v>
          </cell>
          <cell r="B1661">
            <v>5006801</v>
          </cell>
          <cell r="C1661" t="str">
            <v>SALAIRE ADM</v>
          </cell>
          <cell r="D1661" t="str">
            <v>CELEBRATIONS 120 ANS</v>
          </cell>
          <cell r="E1661" t="str">
            <v>O</v>
          </cell>
          <cell r="F1661">
            <v>0</v>
          </cell>
          <cell r="G1661">
            <v>35500</v>
          </cell>
          <cell r="H1661">
            <v>26437.9</v>
          </cell>
          <cell r="I1661">
            <v>29436.3</v>
          </cell>
          <cell r="J1661">
            <v>2998.4</v>
          </cell>
          <cell r="K1661">
            <v>0</v>
          </cell>
          <cell r="L1661">
            <v>2270.59</v>
          </cell>
          <cell r="M1661">
            <v>300</v>
          </cell>
          <cell r="N1661">
            <v>0</v>
          </cell>
          <cell r="O1661">
            <v>835</v>
          </cell>
          <cell r="P1661">
            <v>5770.95</v>
          </cell>
          <cell r="Q1661">
            <v>8245.7999999999993</v>
          </cell>
          <cell r="R1661">
            <v>8245.7999999999993</v>
          </cell>
          <cell r="S1661">
            <v>21350.43</v>
          </cell>
          <cell r="T1661">
            <v>23295.23</v>
          </cell>
          <cell r="U1661">
            <v>24768.22</v>
          </cell>
          <cell r="V1661">
            <v>24100.639999999999</v>
          </cell>
          <cell r="W1661">
            <v>26437.9</v>
          </cell>
          <cell r="X1661">
            <v>26437.9</v>
          </cell>
          <cell r="Y1661">
            <v>28408.49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1</v>
          </cell>
          <cell r="AN1661" t="str">
            <v/>
          </cell>
          <cell r="AO1661">
            <v>0</v>
          </cell>
          <cell r="AP1661">
            <v>0</v>
          </cell>
          <cell r="AQ1661">
            <v>0</v>
          </cell>
          <cell r="AR1661">
            <v>810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 t="str">
            <v/>
          </cell>
          <cell r="BK1661">
            <v>7200</v>
          </cell>
          <cell r="BL1661" t="str">
            <v>0</v>
          </cell>
          <cell r="BM1661" t="str">
            <v>1</v>
          </cell>
          <cell r="BN1661" t="str">
            <v/>
          </cell>
          <cell r="BO1661" t="str">
            <v/>
          </cell>
        </row>
        <row r="1662">
          <cell r="A1662">
            <v>1</v>
          </cell>
          <cell r="B1662">
            <v>1333471</v>
          </cell>
          <cell r="C1662" t="str">
            <v>MUTEK PCD3</v>
          </cell>
          <cell r="D1662" t="str">
            <v/>
          </cell>
          <cell r="E1662" t="str">
            <v>O</v>
          </cell>
          <cell r="F1662">
            <v>0</v>
          </cell>
          <cell r="G1662">
            <v>14100</v>
          </cell>
          <cell r="H1662">
            <v>13110.39</v>
          </cell>
          <cell r="I1662">
            <v>13110.39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13100</v>
          </cell>
          <cell r="Q1662">
            <v>13110.39</v>
          </cell>
          <cell r="R1662">
            <v>13110.39</v>
          </cell>
          <cell r="S1662">
            <v>13110.39</v>
          </cell>
          <cell r="T1662">
            <v>13110.39</v>
          </cell>
          <cell r="U1662">
            <v>13110.39</v>
          </cell>
          <cell r="V1662">
            <v>13110.39</v>
          </cell>
          <cell r="W1662">
            <v>13110.39</v>
          </cell>
          <cell r="X1662">
            <v>13110.39</v>
          </cell>
          <cell r="Y1662">
            <v>13110.39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>
            <v>0</v>
          </cell>
          <cell r="AL1662">
            <v>0</v>
          </cell>
          <cell r="AM1662">
            <v>1</v>
          </cell>
          <cell r="AN1662" t="str">
            <v/>
          </cell>
          <cell r="AO1662">
            <v>0</v>
          </cell>
          <cell r="AP1662">
            <v>0</v>
          </cell>
          <cell r="AQ1662">
            <v>0</v>
          </cell>
          <cell r="AR1662">
            <v>290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240</v>
          </cell>
          <cell r="BJ1662" t="str">
            <v/>
          </cell>
          <cell r="BK1662">
            <v>1700</v>
          </cell>
          <cell r="BL1662" t="str">
            <v>1</v>
          </cell>
          <cell r="BM1662" t="str">
            <v>1</v>
          </cell>
          <cell r="BN1662" t="str">
            <v/>
          </cell>
          <cell r="BO1662" t="str">
            <v/>
          </cell>
        </row>
        <row r="1663">
          <cell r="A1663">
            <v>1</v>
          </cell>
          <cell r="B1663">
            <v>1333481</v>
          </cell>
          <cell r="C1663" t="str">
            <v>BOITE YHULE</v>
          </cell>
          <cell r="D1663" t="str">
            <v/>
          </cell>
          <cell r="E1663" t="str">
            <v>O</v>
          </cell>
          <cell r="F1663">
            <v>0</v>
          </cell>
          <cell r="G1663">
            <v>18587</v>
          </cell>
          <cell r="H1663">
            <v>35582.65</v>
          </cell>
          <cell r="I1663">
            <v>54169.65</v>
          </cell>
          <cell r="J1663">
            <v>18587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16879</v>
          </cell>
          <cell r="P1663">
            <v>16879</v>
          </cell>
          <cell r="Q1663">
            <v>16879</v>
          </cell>
          <cell r="R1663">
            <v>35466</v>
          </cell>
          <cell r="S1663">
            <v>35466</v>
          </cell>
          <cell r="T1663">
            <v>35582.65</v>
          </cell>
          <cell r="U1663">
            <v>35582.65</v>
          </cell>
          <cell r="V1663">
            <v>35582.65</v>
          </cell>
          <cell r="W1663">
            <v>35582.65</v>
          </cell>
          <cell r="X1663">
            <v>35582.65</v>
          </cell>
          <cell r="Y1663">
            <v>35582.65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>
            <v>0</v>
          </cell>
          <cell r="AL1663">
            <v>0</v>
          </cell>
          <cell r="AM1663">
            <v>1</v>
          </cell>
          <cell r="AN1663" t="str">
            <v/>
          </cell>
          <cell r="AO1663">
            <v>0</v>
          </cell>
          <cell r="AP1663">
            <v>0</v>
          </cell>
          <cell r="AQ1663">
            <v>0</v>
          </cell>
          <cell r="AR1663">
            <v>290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240</v>
          </cell>
          <cell r="BJ1663" t="str">
            <v/>
          </cell>
          <cell r="BK1663">
            <v>1700</v>
          </cell>
          <cell r="BL1663" t="str">
            <v>1</v>
          </cell>
          <cell r="BM1663" t="str">
            <v>1</v>
          </cell>
          <cell r="BN1663" t="str">
            <v/>
          </cell>
          <cell r="BO1663" t="str">
            <v/>
          </cell>
        </row>
        <row r="1664">
          <cell r="A1664">
            <v>1</v>
          </cell>
          <cell r="B1664">
            <v>4119012</v>
          </cell>
          <cell r="C1664" t="str">
            <v>VENTES       113-1011</v>
          </cell>
          <cell r="D1664" t="str">
            <v>RABAIS TENDER + 90 J</v>
          </cell>
          <cell r="E1664" t="str">
            <v>O</v>
          </cell>
          <cell r="F1664">
            <v>0</v>
          </cell>
          <cell r="G1664">
            <v>0</v>
          </cell>
          <cell r="H1664">
            <v>-218051</v>
          </cell>
          <cell r="I1664">
            <v>246337.25</v>
          </cell>
          <cell r="J1664">
            <v>28286.25</v>
          </cell>
          <cell r="K1664">
            <v>0</v>
          </cell>
          <cell r="L1664">
            <v>23211.11</v>
          </cell>
          <cell r="M1664">
            <v>0</v>
          </cell>
          <cell r="N1664">
            <v>0</v>
          </cell>
          <cell r="O1664">
            <v>-50000</v>
          </cell>
          <cell r="P1664">
            <v>-59652.75</v>
          </cell>
          <cell r="Q1664">
            <v>-64766.75</v>
          </cell>
          <cell r="R1664">
            <v>-83347.75</v>
          </cell>
          <cell r="S1664">
            <v>-101928.75</v>
          </cell>
          <cell r="T1664">
            <v>-130760.75</v>
          </cell>
          <cell r="U1664">
            <v>-183281.75</v>
          </cell>
          <cell r="V1664">
            <v>-191422</v>
          </cell>
          <cell r="W1664">
            <v>-191422</v>
          </cell>
          <cell r="X1664">
            <v>-218051</v>
          </cell>
          <cell r="Y1664">
            <v>-241262.11</v>
          </cell>
          <cell r="Z1664">
            <v>0</v>
          </cell>
          <cell r="AA1664">
            <v>0</v>
          </cell>
          <cell r="AB1664">
            <v>0</v>
          </cell>
          <cell r="AC1664">
            <v>0</v>
          </cell>
          <cell r="AD1664">
            <v>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>
            <v>0</v>
          </cell>
          <cell r="AL1664">
            <v>0</v>
          </cell>
          <cell r="AM1664">
            <v>2</v>
          </cell>
          <cell r="AN1664" t="str">
            <v/>
          </cell>
          <cell r="AO1664">
            <v>0</v>
          </cell>
          <cell r="AP1664">
            <v>0</v>
          </cell>
          <cell r="AQ1664">
            <v>0</v>
          </cell>
          <cell r="AR1664">
            <v>600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1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 t="str">
            <v/>
          </cell>
          <cell r="BK1664">
            <v>4000</v>
          </cell>
          <cell r="BL1664" t="str">
            <v>0</v>
          </cell>
          <cell r="BM1664" t="str">
            <v>1</v>
          </cell>
          <cell r="BN1664" t="str">
            <v/>
          </cell>
          <cell r="BO1664" t="str">
            <v/>
          </cell>
        </row>
        <row r="1665">
          <cell r="A1665">
            <v>1</v>
          </cell>
          <cell r="B1665">
            <v>4135732</v>
          </cell>
          <cell r="C1665" t="str">
            <v>PERKINS BRUN S\F 2.5M</v>
          </cell>
          <cell r="D1665" t="str">
            <v>PN101573</v>
          </cell>
          <cell r="E1665" t="str">
            <v>O</v>
          </cell>
          <cell r="F1665">
            <v>0</v>
          </cell>
          <cell r="G1665">
            <v>0</v>
          </cell>
          <cell r="H1665">
            <v>95753.34</v>
          </cell>
          <cell r="I1665">
            <v>97417.32</v>
          </cell>
          <cell r="J1665">
            <v>1663.98</v>
          </cell>
          <cell r="K1665">
            <v>0</v>
          </cell>
          <cell r="L1665">
            <v>9171.64</v>
          </cell>
          <cell r="M1665">
            <v>0</v>
          </cell>
          <cell r="N1665">
            <v>0</v>
          </cell>
          <cell r="O1665">
            <v>5376.02</v>
          </cell>
          <cell r="P1665">
            <v>10217.44</v>
          </cell>
          <cell r="Q1665">
            <v>20913.04</v>
          </cell>
          <cell r="R1665">
            <v>29923.279999999999</v>
          </cell>
          <cell r="S1665">
            <v>46511.39</v>
          </cell>
          <cell r="T1665">
            <v>54891.37</v>
          </cell>
          <cell r="U1665">
            <v>66864.22</v>
          </cell>
          <cell r="V1665">
            <v>69935.14</v>
          </cell>
          <cell r="W1665">
            <v>85231.58</v>
          </cell>
          <cell r="X1665">
            <v>95753.34</v>
          </cell>
          <cell r="Y1665">
            <v>104924.98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>
            <v>0</v>
          </cell>
          <cell r="AL1665">
            <v>0</v>
          </cell>
          <cell r="AM1665">
            <v>2</v>
          </cell>
          <cell r="AN1665" t="str">
            <v/>
          </cell>
          <cell r="AO1665">
            <v>0</v>
          </cell>
          <cell r="AP1665">
            <v>0</v>
          </cell>
          <cell r="AQ1665">
            <v>0</v>
          </cell>
          <cell r="AR1665">
            <v>600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20573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 t="str">
            <v/>
          </cell>
          <cell r="BK1665">
            <v>4000</v>
          </cell>
          <cell r="BL1665" t="str">
            <v>0</v>
          </cell>
          <cell r="BM1665" t="str">
            <v>1</v>
          </cell>
          <cell r="BN1665" t="str">
            <v/>
          </cell>
          <cell r="BO1665" t="str">
            <v/>
          </cell>
        </row>
        <row r="1666">
          <cell r="A1666">
            <v>1</v>
          </cell>
          <cell r="B1666">
            <v>4135742</v>
          </cell>
          <cell r="C1666" t="str">
            <v>PERKINS BRUN ROLL 8X205</v>
          </cell>
          <cell r="D1666" t="str">
            <v>PN101574</v>
          </cell>
          <cell r="E1666" t="str">
            <v>O</v>
          </cell>
          <cell r="F1666">
            <v>0</v>
          </cell>
          <cell r="G1666">
            <v>0</v>
          </cell>
          <cell r="H1666">
            <v>22300.7</v>
          </cell>
          <cell r="I1666">
            <v>23869.66</v>
          </cell>
          <cell r="J1666">
            <v>1568.96</v>
          </cell>
          <cell r="K1666">
            <v>0</v>
          </cell>
          <cell r="L1666">
            <v>1493.1</v>
          </cell>
          <cell r="M1666">
            <v>0</v>
          </cell>
          <cell r="N1666">
            <v>0</v>
          </cell>
          <cell r="O1666">
            <v>2875.02</v>
          </cell>
          <cell r="P1666">
            <v>3281.96</v>
          </cell>
          <cell r="Q1666">
            <v>5736.67</v>
          </cell>
          <cell r="R1666">
            <v>10256.77</v>
          </cell>
          <cell r="S1666">
            <v>11678.19</v>
          </cell>
          <cell r="T1666">
            <v>14173.61</v>
          </cell>
          <cell r="U1666">
            <v>16575.080000000002</v>
          </cell>
          <cell r="V1666">
            <v>19470.63</v>
          </cell>
          <cell r="W1666">
            <v>21545.82</v>
          </cell>
          <cell r="X1666">
            <v>22300.7</v>
          </cell>
          <cell r="Y1666">
            <v>23793.8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0</v>
          </cell>
          <cell r="AK1666">
            <v>0</v>
          </cell>
          <cell r="AL1666">
            <v>0</v>
          </cell>
          <cell r="AM1666">
            <v>2</v>
          </cell>
          <cell r="AN1666" t="str">
            <v/>
          </cell>
          <cell r="AO1666">
            <v>0</v>
          </cell>
          <cell r="AP1666">
            <v>0</v>
          </cell>
          <cell r="AQ1666">
            <v>0</v>
          </cell>
          <cell r="AR1666">
            <v>600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20574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 t="str">
            <v/>
          </cell>
          <cell r="BK1666">
            <v>4000</v>
          </cell>
          <cell r="BL1666" t="str">
            <v>0</v>
          </cell>
          <cell r="BM1666" t="str">
            <v>1</v>
          </cell>
          <cell r="BN1666" t="str">
            <v/>
          </cell>
          <cell r="BO1666" t="str">
            <v/>
          </cell>
        </row>
        <row r="1667">
          <cell r="A1667">
            <v>1</v>
          </cell>
          <cell r="B1667">
            <v>4138002</v>
          </cell>
          <cell r="C1667" t="str">
            <v>DAIRY TOWEL 10 X 250</v>
          </cell>
          <cell r="D1667" t="str">
            <v>pn101800</v>
          </cell>
          <cell r="E1667" t="str">
            <v>O</v>
          </cell>
          <cell r="F1667">
            <v>0</v>
          </cell>
          <cell r="G1667">
            <v>0</v>
          </cell>
          <cell r="H1667">
            <v>1120.46</v>
          </cell>
          <cell r="I1667">
            <v>1120.46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325.62</v>
          </cell>
          <cell r="P1667">
            <v>595.62</v>
          </cell>
          <cell r="Q1667">
            <v>1102.1500000000001</v>
          </cell>
          <cell r="R1667">
            <v>1102.1500000000001</v>
          </cell>
          <cell r="S1667">
            <v>1102.1500000000001</v>
          </cell>
          <cell r="T1667">
            <v>1120.46</v>
          </cell>
          <cell r="U1667">
            <v>1120.46</v>
          </cell>
          <cell r="V1667">
            <v>1120.46</v>
          </cell>
          <cell r="W1667">
            <v>1120.46</v>
          </cell>
          <cell r="X1667">
            <v>1120.46</v>
          </cell>
          <cell r="Y1667">
            <v>1120.46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0</v>
          </cell>
          <cell r="AK1667">
            <v>0</v>
          </cell>
          <cell r="AL1667">
            <v>0</v>
          </cell>
          <cell r="AM1667">
            <v>2</v>
          </cell>
          <cell r="AN1667" t="str">
            <v/>
          </cell>
          <cell r="AO1667">
            <v>0</v>
          </cell>
          <cell r="AP1667">
            <v>0</v>
          </cell>
          <cell r="AQ1667">
            <v>0</v>
          </cell>
          <cell r="AR1667">
            <v>600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 t="str">
            <v/>
          </cell>
          <cell r="BK1667">
            <v>4000</v>
          </cell>
          <cell r="BL1667" t="str">
            <v>0</v>
          </cell>
          <cell r="BM1667" t="str">
            <v>1</v>
          </cell>
          <cell r="BN1667" t="str">
            <v/>
          </cell>
          <cell r="BO1667" t="str">
            <v/>
          </cell>
        </row>
        <row r="1668">
          <cell r="A1668">
            <v>1</v>
          </cell>
          <cell r="B1668">
            <v>1313520</v>
          </cell>
          <cell r="C1668" t="str">
            <v>REAMENAGEMENT BUREAU</v>
          </cell>
          <cell r="D1668" t="str">
            <v/>
          </cell>
          <cell r="E1668" t="str">
            <v>N</v>
          </cell>
          <cell r="F1668">
            <v>0</v>
          </cell>
          <cell r="G1668">
            <v>0</v>
          </cell>
          <cell r="H1668">
            <v>12368.92</v>
          </cell>
          <cell r="I1668">
            <v>12891.62</v>
          </cell>
          <cell r="J1668">
            <v>522.70000000000005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355</v>
          </cell>
          <cell r="P1668">
            <v>355</v>
          </cell>
          <cell r="Q1668">
            <v>11525</v>
          </cell>
          <cell r="R1668">
            <v>11692.7</v>
          </cell>
          <cell r="S1668">
            <v>11692.7</v>
          </cell>
          <cell r="T1668">
            <v>11692.7</v>
          </cell>
          <cell r="U1668">
            <v>12368.92</v>
          </cell>
          <cell r="V1668">
            <v>12368.92</v>
          </cell>
          <cell r="W1668">
            <v>12368.92</v>
          </cell>
          <cell r="X1668">
            <v>12368.92</v>
          </cell>
          <cell r="Y1668">
            <v>12368.92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0</v>
          </cell>
          <cell r="AK1668">
            <v>0</v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>
            <v>0</v>
          </cell>
          <cell r="AR1668">
            <v>280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396</v>
          </cell>
          <cell r="BJ1668" t="str">
            <v/>
          </cell>
          <cell r="BK1668">
            <v>1700</v>
          </cell>
          <cell r="BL1668" t="str">
            <v>1</v>
          </cell>
          <cell r="BM1668" t="str">
            <v>1</v>
          </cell>
          <cell r="BN1668" t="str">
            <v/>
          </cell>
          <cell r="BO1668" t="str">
            <v/>
          </cell>
        </row>
        <row r="1669">
          <cell r="A1669">
            <v>1</v>
          </cell>
          <cell r="B1669">
            <v>1313530</v>
          </cell>
          <cell r="C1669" t="str">
            <v>NOUVELLE CAFETERIA</v>
          </cell>
          <cell r="D1669" t="str">
            <v/>
          </cell>
          <cell r="E1669" t="str">
            <v>N</v>
          </cell>
          <cell r="F1669">
            <v>0</v>
          </cell>
          <cell r="G1669">
            <v>0</v>
          </cell>
          <cell r="H1669">
            <v>91609.1</v>
          </cell>
          <cell r="I1669">
            <v>102527.28</v>
          </cell>
          <cell r="J1669">
            <v>10918.18</v>
          </cell>
          <cell r="K1669">
            <v>0</v>
          </cell>
          <cell r="L1669">
            <v>8333.6</v>
          </cell>
          <cell r="M1669">
            <v>3750</v>
          </cell>
          <cell r="N1669">
            <v>0</v>
          </cell>
          <cell r="O1669">
            <v>355</v>
          </cell>
          <cell r="P1669">
            <v>355</v>
          </cell>
          <cell r="Q1669">
            <v>355</v>
          </cell>
          <cell r="R1669">
            <v>355</v>
          </cell>
          <cell r="S1669">
            <v>355</v>
          </cell>
          <cell r="T1669">
            <v>432.8</v>
          </cell>
          <cell r="U1669">
            <v>13843.2</v>
          </cell>
          <cell r="V1669">
            <v>88546.61</v>
          </cell>
          <cell r="W1669">
            <v>92396.6</v>
          </cell>
          <cell r="X1669">
            <v>91609.1</v>
          </cell>
          <cell r="Y1669">
            <v>96192.7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>
            <v>0</v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>
            <v>0</v>
          </cell>
          <cell r="AR1669">
            <v>280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396</v>
          </cell>
          <cell r="BJ1669" t="str">
            <v/>
          </cell>
          <cell r="BK1669">
            <v>1700</v>
          </cell>
          <cell r="BL1669" t="str">
            <v>1</v>
          </cell>
          <cell r="BM1669" t="str">
            <v>1</v>
          </cell>
          <cell r="BN1669" t="str">
            <v/>
          </cell>
          <cell r="BO1669" t="str">
            <v/>
          </cell>
        </row>
        <row r="1670">
          <cell r="A1670">
            <v>1</v>
          </cell>
          <cell r="B1670">
            <v>1131011</v>
          </cell>
          <cell r="C1670" t="str">
            <v>PROV. MAUVAISES CREANCES</v>
          </cell>
          <cell r="D1670" t="str">
            <v>COMPTE +_DE 90 JOURS</v>
          </cell>
          <cell r="E1670" t="str">
            <v>N</v>
          </cell>
          <cell r="F1670">
            <v>0</v>
          </cell>
          <cell r="G1670">
            <v>0</v>
          </cell>
          <cell r="H1670">
            <v>212483.98</v>
          </cell>
          <cell r="I1670">
            <v>39420.29</v>
          </cell>
          <cell r="J1670">
            <v>251904.27</v>
          </cell>
          <cell r="K1670">
            <v>0</v>
          </cell>
          <cell r="L1670">
            <v>0</v>
          </cell>
          <cell r="M1670">
            <v>116000.02</v>
          </cell>
          <cell r="N1670">
            <v>0</v>
          </cell>
          <cell r="O1670">
            <v>50000</v>
          </cell>
          <cell r="P1670">
            <v>59652.75</v>
          </cell>
          <cell r="Q1670">
            <v>64766.75</v>
          </cell>
          <cell r="R1670">
            <v>83347.75</v>
          </cell>
          <cell r="S1670">
            <v>101928.75</v>
          </cell>
          <cell r="T1670">
            <v>130760.75</v>
          </cell>
          <cell r="U1670">
            <v>183281.75</v>
          </cell>
          <cell r="V1670">
            <v>191422</v>
          </cell>
          <cell r="W1670">
            <v>185854.98</v>
          </cell>
          <cell r="X1670">
            <v>212483.98</v>
          </cell>
          <cell r="Y1670">
            <v>328484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>
            <v>0</v>
          </cell>
          <cell r="AL1670">
            <v>0</v>
          </cell>
          <cell r="AM1670">
            <v>1</v>
          </cell>
          <cell r="AN1670" t="str">
            <v/>
          </cell>
          <cell r="AO1670">
            <v>0</v>
          </cell>
          <cell r="AP1670">
            <v>0</v>
          </cell>
          <cell r="AQ1670">
            <v>0</v>
          </cell>
          <cell r="AR1670">
            <v>30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 t="str">
            <v/>
          </cell>
          <cell r="BK1670">
            <v>1300</v>
          </cell>
          <cell r="BL1670" t="str">
            <v>0</v>
          </cell>
          <cell r="BM1670" t="str">
            <v>1</v>
          </cell>
          <cell r="BN1670" t="str">
            <v/>
          </cell>
          <cell r="BO1670" t="str">
            <v/>
          </cell>
        </row>
        <row r="1671">
          <cell r="A1671">
            <v>1</v>
          </cell>
          <cell r="B1671">
            <v>4251971</v>
          </cell>
          <cell r="C1671" t="str">
            <v>M.O.D.</v>
          </cell>
          <cell r="D1671" t="str">
            <v>LUNETTE-BOTTES ENTR+BUREA</v>
          </cell>
          <cell r="E1671" t="str">
            <v>N</v>
          </cell>
          <cell r="F1671">
            <v>0</v>
          </cell>
          <cell r="G1671">
            <v>0</v>
          </cell>
          <cell r="H1671">
            <v>3000.08</v>
          </cell>
          <cell r="I1671">
            <v>3000.08</v>
          </cell>
          <cell r="J1671">
            <v>0</v>
          </cell>
          <cell r="K1671">
            <v>0</v>
          </cell>
          <cell r="L1671">
            <v>469.95</v>
          </cell>
          <cell r="M1671">
            <v>0</v>
          </cell>
          <cell r="N1671">
            <v>0</v>
          </cell>
          <cell r="O1671">
            <v>329.98</v>
          </cell>
          <cell r="P1671">
            <v>636.99</v>
          </cell>
          <cell r="Q1671">
            <v>787.12</v>
          </cell>
          <cell r="R1671">
            <v>1168.8</v>
          </cell>
          <cell r="S1671">
            <v>1168.8</v>
          </cell>
          <cell r="T1671">
            <v>1728.72</v>
          </cell>
          <cell r="U1671">
            <v>1955.24</v>
          </cell>
          <cell r="V1671">
            <v>2371.4499999999998</v>
          </cell>
          <cell r="W1671">
            <v>2663.46</v>
          </cell>
          <cell r="X1671">
            <v>3000.08</v>
          </cell>
          <cell r="Y1671">
            <v>3470.03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>
            <v>0</v>
          </cell>
          <cell r="AL1671">
            <v>0</v>
          </cell>
          <cell r="AM1671">
            <v>1</v>
          </cell>
          <cell r="AN1671" t="str">
            <v/>
          </cell>
          <cell r="AO1671">
            <v>0</v>
          </cell>
          <cell r="AP1671">
            <v>0</v>
          </cell>
          <cell r="AQ1671">
            <v>0</v>
          </cell>
          <cell r="AR1671">
            <v>690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 t="str">
            <v/>
          </cell>
          <cell r="BK1671">
            <v>6000</v>
          </cell>
          <cell r="BL1671" t="str">
            <v>0</v>
          </cell>
          <cell r="BM1671" t="str">
            <v>1</v>
          </cell>
          <cell r="BN1671" t="str">
            <v/>
          </cell>
          <cell r="BO1671" t="str">
            <v/>
          </cell>
        </row>
        <row r="1672">
          <cell r="A1672">
            <v>1</v>
          </cell>
          <cell r="B1672">
            <v>5001031</v>
          </cell>
          <cell r="C1672" t="str">
            <v>FOND DE PENSION LOCAL 437</v>
          </cell>
          <cell r="D1672" t="str">
            <v>PMT SPÉCIAUX DÉFICIT ACUM</v>
          </cell>
          <cell r="E1672" t="str">
            <v>O</v>
          </cell>
          <cell r="F1672">
            <v>0</v>
          </cell>
          <cell r="G1672">
            <v>0</v>
          </cell>
          <cell r="H1672">
            <v>47883.5</v>
          </cell>
          <cell r="I1672">
            <v>52675</v>
          </cell>
          <cell r="J1672">
            <v>4791.5</v>
          </cell>
          <cell r="K1672">
            <v>0</v>
          </cell>
          <cell r="L1672">
            <v>4791.5</v>
          </cell>
          <cell r="M1672">
            <v>0</v>
          </cell>
          <cell r="N1672">
            <v>0</v>
          </cell>
          <cell r="O1672">
            <v>0</v>
          </cell>
          <cell r="P1672">
            <v>9583</v>
          </cell>
          <cell r="Q1672">
            <v>14374.5</v>
          </cell>
          <cell r="R1672">
            <v>19166</v>
          </cell>
          <cell r="S1672">
            <v>23957.5</v>
          </cell>
          <cell r="T1672">
            <v>28749</v>
          </cell>
          <cell r="U1672">
            <v>33540.5</v>
          </cell>
          <cell r="V1672">
            <v>38300.5</v>
          </cell>
          <cell r="W1672">
            <v>43092</v>
          </cell>
          <cell r="X1672">
            <v>47883.5</v>
          </cell>
          <cell r="Y1672">
            <v>52675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>
            <v>0</v>
          </cell>
          <cell r="AL1672">
            <v>0</v>
          </cell>
          <cell r="AM1672">
            <v>1</v>
          </cell>
          <cell r="AN1672" t="str">
            <v/>
          </cell>
          <cell r="AO1672">
            <v>0</v>
          </cell>
          <cell r="AP1672">
            <v>0</v>
          </cell>
          <cell r="AQ1672">
            <v>0</v>
          </cell>
          <cell r="AR1672">
            <v>810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 t="str">
            <v/>
          </cell>
          <cell r="BK1672">
            <v>7200</v>
          </cell>
          <cell r="BL1672" t="str">
            <v>0</v>
          </cell>
          <cell r="BM1672" t="str">
            <v>1</v>
          </cell>
          <cell r="BN1672" t="str">
            <v/>
          </cell>
          <cell r="BO1672" t="str">
            <v/>
          </cell>
        </row>
        <row r="1673">
          <cell r="A1673">
            <v>1</v>
          </cell>
          <cell r="B1673">
            <v>1263440</v>
          </cell>
          <cell r="C1673" t="str">
            <v>RESEAU COLLECTE DE DONNES</v>
          </cell>
          <cell r="D1673" t="str">
            <v/>
          </cell>
          <cell r="E1673" t="str">
            <v>O</v>
          </cell>
          <cell r="F1673">
            <v>0</v>
          </cell>
          <cell r="G1673">
            <v>29000</v>
          </cell>
          <cell r="H1673">
            <v>4980.41</v>
          </cell>
          <cell r="I1673">
            <v>6922.72</v>
          </cell>
          <cell r="J1673">
            <v>1942.31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1595.79</v>
          </cell>
          <cell r="Q1673">
            <v>1595.79</v>
          </cell>
          <cell r="R1673">
            <v>2095.79</v>
          </cell>
          <cell r="S1673">
            <v>2095.79</v>
          </cell>
          <cell r="T1673">
            <v>2095.79</v>
          </cell>
          <cell r="U1673">
            <v>2095.79</v>
          </cell>
          <cell r="V1673">
            <v>4980.41</v>
          </cell>
          <cell r="W1673">
            <v>4980.41</v>
          </cell>
          <cell r="X1673">
            <v>4980.41</v>
          </cell>
          <cell r="Y1673">
            <v>4980.41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>
            <v>0</v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>
            <v>0</v>
          </cell>
          <cell r="AR1673">
            <v>290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240</v>
          </cell>
          <cell r="BJ1673" t="str">
            <v/>
          </cell>
          <cell r="BK1673">
            <v>1700</v>
          </cell>
          <cell r="BL1673" t="str">
            <v>1</v>
          </cell>
          <cell r="BM1673" t="str">
            <v>1</v>
          </cell>
          <cell r="BN1673" t="str">
            <v/>
          </cell>
          <cell r="BO1673" t="str">
            <v/>
          </cell>
        </row>
        <row r="1674">
          <cell r="A1674">
            <v>1</v>
          </cell>
          <cell r="B1674">
            <v>1333510</v>
          </cell>
          <cell r="C1674" t="str">
            <v>CHAUFFE ROULEMENT</v>
          </cell>
          <cell r="D1674" t="str">
            <v/>
          </cell>
          <cell r="E1674" t="str">
            <v>O</v>
          </cell>
          <cell r="F1674">
            <v>0</v>
          </cell>
          <cell r="G1674">
            <v>29000</v>
          </cell>
          <cell r="H1674">
            <v>7575.12</v>
          </cell>
          <cell r="I1674">
            <v>7575.12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7575.12</v>
          </cell>
          <cell r="S1674">
            <v>7575.12</v>
          </cell>
          <cell r="T1674">
            <v>7575.12</v>
          </cell>
          <cell r="U1674">
            <v>7575.12</v>
          </cell>
          <cell r="V1674">
            <v>7575.12</v>
          </cell>
          <cell r="W1674">
            <v>7575.12</v>
          </cell>
          <cell r="X1674">
            <v>7575.12</v>
          </cell>
          <cell r="Y1674">
            <v>7575.12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>
            <v>0</v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>
            <v>0</v>
          </cell>
          <cell r="AR1674">
            <v>290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240</v>
          </cell>
          <cell r="BJ1674" t="str">
            <v/>
          </cell>
          <cell r="BK1674">
            <v>1700</v>
          </cell>
          <cell r="BL1674" t="str">
            <v>1</v>
          </cell>
          <cell r="BM1674" t="str">
            <v>1</v>
          </cell>
          <cell r="BN1674" t="str">
            <v/>
          </cell>
          <cell r="BO1674" t="str">
            <v/>
          </cell>
        </row>
        <row r="1675">
          <cell r="A1675">
            <v>1</v>
          </cell>
          <cell r="B1675">
            <v>4221861</v>
          </cell>
          <cell r="C1675" t="str">
            <v>MATIERE PREMIERE   ACHATS</v>
          </cell>
          <cell r="D1675" t="str">
            <v>MIX PACK        -GRADE#86</v>
          </cell>
          <cell r="E1675" t="str">
            <v>O</v>
          </cell>
          <cell r="F1675">
            <v>0</v>
          </cell>
          <cell r="G1675">
            <v>0</v>
          </cell>
          <cell r="H1675">
            <v>96087.11</v>
          </cell>
          <cell r="I1675">
            <v>135767.87</v>
          </cell>
          <cell r="J1675">
            <v>39680.76</v>
          </cell>
          <cell r="K1675">
            <v>0</v>
          </cell>
          <cell r="L1675">
            <v>18050.080000000002</v>
          </cell>
          <cell r="M1675">
            <v>6432.86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17771.62</v>
          </cell>
          <cell r="S1675">
            <v>21607.29</v>
          </cell>
          <cell r="T1675">
            <v>34397.660000000003</v>
          </cell>
          <cell r="U1675">
            <v>52326.07</v>
          </cell>
          <cell r="V1675">
            <v>67312.08</v>
          </cell>
          <cell r="W1675">
            <v>83640.25</v>
          </cell>
          <cell r="X1675">
            <v>96087.11</v>
          </cell>
          <cell r="Y1675">
            <v>107704.33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>
            <v>0</v>
          </cell>
          <cell r="AL1675">
            <v>0</v>
          </cell>
          <cell r="AM1675">
            <v>1</v>
          </cell>
          <cell r="AN1675" t="str">
            <v/>
          </cell>
          <cell r="AO1675">
            <v>0</v>
          </cell>
          <cell r="AP1675">
            <v>0</v>
          </cell>
          <cell r="AQ1675">
            <v>0</v>
          </cell>
          <cell r="AR1675">
            <v>660</v>
          </cell>
          <cell r="AS1675">
            <v>0</v>
          </cell>
          <cell r="AT1675" t="str">
            <v/>
          </cell>
          <cell r="AU1675">
            <v>1861</v>
          </cell>
          <cell r="AV1675">
            <v>0</v>
          </cell>
          <cell r="AW1675">
            <v>197.29</v>
          </cell>
          <cell r="AX1675">
            <v>0</v>
          </cell>
          <cell r="AY1675">
            <v>0</v>
          </cell>
          <cell r="AZ1675">
            <v>207.86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 t="str">
            <v/>
          </cell>
          <cell r="BK1675">
            <v>5100</v>
          </cell>
          <cell r="BL1675" t="str">
            <v>0</v>
          </cell>
          <cell r="BM1675" t="str">
            <v>1</v>
          </cell>
          <cell r="BN1675" t="str">
            <v/>
          </cell>
          <cell r="BO1675" t="str">
            <v/>
          </cell>
        </row>
        <row r="1676">
          <cell r="A1676">
            <v>1</v>
          </cell>
          <cell r="B1676">
            <v>4211861</v>
          </cell>
          <cell r="C1676" t="str">
            <v>INV MAT PREM</v>
          </cell>
          <cell r="D1676" t="str">
            <v>DEBUT-MIX PACK  GRADE #86</v>
          </cell>
          <cell r="E1676" t="str">
            <v>O</v>
          </cell>
          <cell r="F1676">
            <v>0</v>
          </cell>
          <cell r="G1676">
            <v>0</v>
          </cell>
          <cell r="H1676">
            <v>6596</v>
          </cell>
          <cell r="I1676">
            <v>45717.59</v>
          </cell>
          <cell r="J1676">
            <v>52313.59</v>
          </cell>
          <cell r="K1676">
            <v>0</v>
          </cell>
          <cell r="L1676">
            <v>6596</v>
          </cell>
          <cell r="M1676">
            <v>3115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7566.48</v>
          </cell>
          <cell r="S1676">
            <v>0</v>
          </cell>
          <cell r="T1676">
            <v>6959.22</v>
          </cell>
          <cell r="U1676">
            <v>0</v>
          </cell>
          <cell r="V1676">
            <v>13357.41</v>
          </cell>
          <cell r="W1676">
            <v>2788</v>
          </cell>
          <cell r="X1676">
            <v>6596</v>
          </cell>
          <cell r="Y1676">
            <v>3115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1</v>
          </cell>
          <cell r="AN1676" t="str">
            <v/>
          </cell>
          <cell r="AO1676">
            <v>0</v>
          </cell>
          <cell r="AP1676">
            <v>0</v>
          </cell>
          <cell r="AQ1676">
            <v>0</v>
          </cell>
          <cell r="AR1676">
            <v>650</v>
          </cell>
          <cell r="AS1676">
            <v>0</v>
          </cell>
          <cell r="AT1676" t="str">
            <v/>
          </cell>
          <cell r="AU1676">
            <v>0</v>
          </cell>
          <cell r="AV1676">
            <v>99.92</v>
          </cell>
          <cell r="AW1676">
            <v>0</v>
          </cell>
          <cell r="AX1676">
            <v>52.89</v>
          </cell>
          <cell r="AY1676">
            <v>3115</v>
          </cell>
          <cell r="AZ1676">
            <v>-99.92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 t="str">
            <v/>
          </cell>
          <cell r="BK1676">
            <v>5100</v>
          </cell>
          <cell r="BL1676" t="str">
            <v>0</v>
          </cell>
          <cell r="BM1676" t="str">
            <v>1</v>
          </cell>
          <cell r="BN1676" t="str">
            <v/>
          </cell>
          <cell r="BO1676" t="str">
            <v/>
          </cell>
        </row>
        <row r="1677">
          <cell r="A1677">
            <v>1</v>
          </cell>
          <cell r="B1677">
            <v>4489013</v>
          </cell>
          <cell r="C1677" t="str">
            <v>MATRICE À REFACTURER</v>
          </cell>
          <cell r="D1677" t="str">
            <v/>
          </cell>
          <cell r="E1677" t="str">
            <v>O</v>
          </cell>
          <cell r="F1677">
            <v>0</v>
          </cell>
          <cell r="G1677">
            <v>0</v>
          </cell>
          <cell r="H1677">
            <v>4634.8900000000003</v>
          </cell>
          <cell r="I1677">
            <v>4934.8900000000003</v>
          </cell>
          <cell r="J1677">
            <v>300</v>
          </cell>
          <cell r="K1677">
            <v>0</v>
          </cell>
          <cell r="L1677">
            <v>3988.46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217.77</v>
          </cell>
          <cell r="S1677">
            <v>3355.37</v>
          </cell>
          <cell r="T1677">
            <v>3355.37</v>
          </cell>
          <cell r="U1677">
            <v>3355.37</v>
          </cell>
          <cell r="V1677">
            <v>4501.6899999999996</v>
          </cell>
          <cell r="W1677">
            <v>4501.6899999999996</v>
          </cell>
          <cell r="X1677">
            <v>4634.8900000000003</v>
          </cell>
          <cell r="Y1677">
            <v>8623.35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3</v>
          </cell>
          <cell r="AN1677" t="str">
            <v/>
          </cell>
          <cell r="AO1677">
            <v>0</v>
          </cell>
          <cell r="AP1677">
            <v>0</v>
          </cell>
          <cell r="AQ1677">
            <v>0</v>
          </cell>
          <cell r="AR1677">
            <v>720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 t="str">
            <v/>
          </cell>
          <cell r="BK1677">
            <v>7000</v>
          </cell>
          <cell r="BL1677" t="str">
            <v>0</v>
          </cell>
          <cell r="BM1677" t="str">
            <v>1</v>
          </cell>
          <cell r="BN1677" t="str">
            <v/>
          </cell>
          <cell r="BO1677" t="str">
            <v/>
          </cell>
        </row>
        <row r="1678">
          <cell r="A1678">
            <v>1</v>
          </cell>
          <cell r="B1678">
            <v>4489023</v>
          </cell>
          <cell r="C1678" t="str">
            <v>FACTURATIONS DES PLAQUES</v>
          </cell>
          <cell r="D1678" t="str">
            <v/>
          </cell>
          <cell r="E1678" t="str">
            <v>O</v>
          </cell>
          <cell r="F1678">
            <v>0</v>
          </cell>
          <cell r="G1678">
            <v>0</v>
          </cell>
          <cell r="H1678">
            <v>-816.44</v>
          </cell>
          <cell r="I1678">
            <v>0</v>
          </cell>
          <cell r="J1678">
            <v>816.44</v>
          </cell>
          <cell r="K1678">
            <v>0</v>
          </cell>
          <cell r="L1678">
            <v>0</v>
          </cell>
          <cell r="M1678">
            <v>250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-75</v>
          </cell>
          <cell r="V1678">
            <v>-75</v>
          </cell>
          <cell r="W1678">
            <v>-816.44</v>
          </cell>
          <cell r="X1678">
            <v>-816.44</v>
          </cell>
          <cell r="Y1678">
            <v>-1066.44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>
            <v>0</v>
          </cell>
          <cell r="AL1678">
            <v>0</v>
          </cell>
          <cell r="AM1678">
            <v>3</v>
          </cell>
          <cell r="AN1678" t="str">
            <v/>
          </cell>
          <cell r="AO1678">
            <v>0</v>
          </cell>
          <cell r="AP1678">
            <v>0</v>
          </cell>
          <cell r="AQ1678">
            <v>0</v>
          </cell>
          <cell r="AR1678">
            <v>720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 t="str">
            <v/>
          </cell>
          <cell r="BK1678">
            <v>7000</v>
          </cell>
          <cell r="BL1678" t="str">
            <v>0</v>
          </cell>
          <cell r="BM1678" t="str">
            <v>1</v>
          </cell>
          <cell r="BN1678" t="str">
            <v/>
          </cell>
          <cell r="BO1678" t="str">
            <v/>
          </cell>
        </row>
        <row r="1679">
          <cell r="A1679">
            <v>1</v>
          </cell>
          <cell r="B1679">
            <v>1333561</v>
          </cell>
          <cell r="C1679" t="str">
            <v>EASY MOVER</v>
          </cell>
          <cell r="D1679" t="str">
            <v/>
          </cell>
          <cell r="E1679" t="str">
            <v>O</v>
          </cell>
          <cell r="F1679">
            <v>0</v>
          </cell>
          <cell r="G1679">
            <v>4300</v>
          </cell>
          <cell r="H1679">
            <v>4977.8500000000004</v>
          </cell>
          <cell r="I1679">
            <v>5419.28</v>
          </cell>
          <cell r="J1679">
            <v>441.43</v>
          </cell>
          <cell r="K1679">
            <v>0</v>
          </cell>
          <cell r="L1679">
            <v>0</v>
          </cell>
          <cell r="M1679">
            <v>226.27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4751.58</v>
          </cell>
          <cell r="T1679">
            <v>4751.58</v>
          </cell>
          <cell r="U1679">
            <v>4751.58</v>
          </cell>
          <cell r="V1679">
            <v>4969.72</v>
          </cell>
          <cell r="W1679">
            <v>4974.87</v>
          </cell>
          <cell r="X1679">
            <v>4977.8500000000004</v>
          </cell>
          <cell r="Y1679">
            <v>4751.58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0</v>
          </cell>
          <cell r="AK1679">
            <v>0</v>
          </cell>
          <cell r="AL1679">
            <v>0</v>
          </cell>
          <cell r="AM1679">
            <v>1</v>
          </cell>
          <cell r="AN1679" t="str">
            <v/>
          </cell>
          <cell r="AO1679">
            <v>0</v>
          </cell>
          <cell r="AP1679">
            <v>0</v>
          </cell>
          <cell r="AQ1679">
            <v>0</v>
          </cell>
          <cell r="AR1679">
            <v>290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240</v>
          </cell>
          <cell r="BJ1679" t="str">
            <v/>
          </cell>
          <cell r="BK1679">
            <v>1700</v>
          </cell>
          <cell r="BL1679" t="str">
            <v>1</v>
          </cell>
          <cell r="BM1679" t="str">
            <v>1</v>
          </cell>
          <cell r="BN1679" t="str">
            <v/>
          </cell>
          <cell r="BO1679" t="str">
            <v/>
          </cell>
        </row>
        <row r="1680">
          <cell r="A1680">
            <v>1</v>
          </cell>
          <cell r="B1680">
            <v>4631011</v>
          </cell>
          <cell r="C1680" t="str">
            <v>CHARGEMENT DÉCHARGEMENT</v>
          </cell>
          <cell r="D1680" t="str">
            <v>ENTREPOSAGE EXTÉRIEUR</v>
          </cell>
          <cell r="E1680" t="str">
            <v>O</v>
          </cell>
          <cell r="F1680">
            <v>0</v>
          </cell>
          <cell r="G1680">
            <v>0</v>
          </cell>
          <cell r="H1680">
            <v>14288.16</v>
          </cell>
          <cell r="I1680">
            <v>16528.62</v>
          </cell>
          <cell r="J1680">
            <v>2240.46</v>
          </cell>
          <cell r="K1680">
            <v>0</v>
          </cell>
          <cell r="L1680">
            <v>2698.71</v>
          </cell>
          <cell r="M1680">
            <v>1983.78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2831.17</v>
          </cell>
          <cell r="T1680">
            <v>5811.25</v>
          </cell>
          <cell r="U1680">
            <v>7991.94</v>
          </cell>
          <cell r="V1680">
            <v>10246.780000000001</v>
          </cell>
          <cell r="W1680">
            <v>12304.38</v>
          </cell>
          <cell r="X1680">
            <v>14288.16</v>
          </cell>
          <cell r="Y1680">
            <v>15003.09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0</v>
          </cell>
          <cell r="AK1680">
            <v>0</v>
          </cell>
          <cell r="AL1680">
            <v>0</v>
          </cell>
          <cell r="AM1680">
            <v>1</v>
          </cell>
          <cell r="AN1680" t="str">
            <v/>
          </cell>
          <cell r="AO1680">
            <v>0</v>
          </cell>
          <cell r="AP1680">
            <v>0</v>
          </cell>
          <cell r="AQ1680">
            <v>0</v>
          </cell>
          <cell r="AR1680">
            <v>710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 t="str">
            <v/>
          </cell>
          <cell r="BK1680">
            <v>7000</v>
          </cell>
          <cell r="BL1680" t="str">
            <v>0</v>
          </cell>
          <cell r="BM1680" t="str">
            <v>1</v>
          </cell>
          <cell r="BN1680" t="str">
            <v/>
          </cell>
          <cell r="BO1680" t="str">
            <v/>
          </cell>
        </row>
        <row r="1681">
          <cell r="A1681">
            <v>1</v>
          </cell>
          <cell r="B1681">
            <v>1333541</v>
          </cell>
          <cell r="C1681" t="str">
            <v>CONTROLE 6 DAMPERS HOTTE</v>
          </cell>
          <cell r="D1681" t="str">
            <v/>
          </cell>
          <cell r="E1681" t="str">
            <v>O</v>
          </cell>
          <cell r="F1681">
            <v>0</v>
          </cell>
          <cell r="G1681">
            <v>0</v>
          </cell>
          <cell r="H1681">
            <v>16426.900000000001</v>
          </cell>
          <cell r="I1681">
            <v>19247.599999999999</v>
          </cell>
          <cell r="J1681">
            <v>2820.7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2279.9299999999998</v>
          </cell>
          <cell r="S1681">
            <v>5862.62</v>
          </cell>
          <cell r="T1681">
            <v>8035.61</v>
          </cell>
          <cell r="U1681">
            <v>8926.9</v>
          </cell>
          <cell r="V1681">
            <v>8926.9</v>
          </cell>
          <cell r="W1681">
            <v>16426.900000000001</v>
          </cell>
          <cell r="X1681">
            <v>16426.900000000001</v>
          </cell>
          <cell r="Y1681">
            <v>16426.900000000001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0</v>
          </cell>
          <cell r="AK1681">
            <v>0</v>
          </cell>
          <cell r="AL1681">
            <v>0</v>
          </cell>
          <cell r="AM1681">
            <v>1</v>
          </cell>
          <cell r="AN1681" t="str">
            <v/>
          </cell>
          <cell r="AO1681">
            <v>0</v>
          </cell>
          <cell r="AP1681">
            <v>0</v>
          </cell>
          <cell r="AQ1681">
            <v>0</v>
          </cell>
          <cell r="AR1681">
            <v>290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240</v>
          </cell>
          <cell r="BJ1681" t="str">
            <v/>
          </cell>
          <cell r="BK1681">
            <v>1700</v>
          </cell>
          <cell r="BL1681" t="str">
            <v>1</v>
          </cell>
          <cell r="BM1681" t="str">
            <v>1</v>
          </cell>
          <cell r="BN1681" t="str">
            <v/>
          </cell>
          <cell r="BO1681" t="str">
            <v/>
          </cell>
        </row>
        <row r="1682">
          <cell r="A1682">
            <v>1</v>
          </cell>
          <cell r="B1682">
            <v>1333550</v>
          </cell>
          <cell r="C1682" t="str">
            <v>EQUIP.ALIGNEMENT LASER</v>
          </cell>
          <cell r="D1682" t="str">
            <v/>
          </cell>
          <cell r="E1682" t="str">
            <v>O</v>
          </cell>
          <cell r="F1682">
            <v>0</v>
          </cell>
          <cell r="G1682">
            <v>7500</v>
          </cell>
          <cell r="H1682">
            <v>11030.54</v>
          </cell>
          <cell r="I1682">
            <v>11030.54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11000</v>
          </cell>
          <cell r="T1682">
            <v>11030.54</v>
          </cell>
          <cell r="U1682">
            <v>11030.54</v>
          </cell>
          <cell r="V1682">
            <v>11030.54</v>
          </cell>
          <cell r="W1682">
            <v>11030.54</v>
          </cell>
          <cell r="X1682">
            <v>11030.54</v>
          </cell>
          <cell r="Y1682">
            <v>11030.54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0</v>
          </cell>
          <cell r="AK1682">
            <v>0</v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>
            <v>0</v>
          </cell>
          <cell r="AR1682">
            <v>290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240</v>
          </cell>
          <cell r="BJ1682" t="str">
            <v/>
          </cell>
          <cell r="BK1682">
            <v>1700</v>
          </cell>
          <cell r="BL1682" t="str">
            <v>1</v>
          </cell>
          <cell r="BM1682" t="str">
            <v>1</v>
          </cell>
          <cell r="BN1682" t="str">
            <v/>
          </cell>
          <cell r="BO1682" t="str">
            <v/>
          </cell>
        </row>
        <row r="1683">
          <cell r="A1683">
            <v>1</v>
          </cell>
          <cell r="B1683">
            <v>1263570</v>
          </cell>
          <cell r="C1683" t="str">
            <v>LOGICIEL FORME-ACTION</v>
          </cell>
          <cell r="D1683" t="str">
            <v/>
          </cell>
          <cell r="E1683" t="str">
            <v>O</v>
          </cell>
          <cell r="F1683">
            <v>0</v>
          </cell>
          <cell r="G1683">
            <v>0</v>
          </cell>
          <cell r="H1683">
            <v>5377</v>
          </cell>
          <cell r="I1683">
            <v>5377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5377</v>
          </cell>
          <cell r="T1683">
            <v>5377</v>
          </cell>
          <cell r="U1683">
            <v>5377</v>
          </cell>
          <cell r="V1683">
            <v>5377</v>
          </cell>
          <cell r="W1683">
            <v>5377</v>
          </cell>
          <cell r="X1683">
            <v>5377</v>
          </cell>
          <cell r="Y1683">
            <v>5377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>
            <v>0</v>
          </cell>
          <cell r="AR1683">
            <v>290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240</v>
          </cell>
          <cell r="BJ1683" t="str">
            <v/>
          </cell>
          <cell r="BK1683">
            <v>1700</v>
          </cell>
          <cell r="BL1683" t="str">
            <v>1</v>
          </cell>
          <cell r="BM1683" t="str">
            <v>1</v>
          </cell>
          <cell r="BN1683" t="str">
            <v/>
          </cell>
          <cell r="BO1683" t="str">
            <v/>
          </cell>
        </row>
        <row r="1684">
          <cell r="A1684">
            <v>1</v>
          </cell>
          <cell r="B1684">
            <v>1373460</v>
          </cell>
          <cell r="C1684" t="str">
            <v>MATERIEL ROULANT</v>
          </cell>
          <cell r="D1684" t="str">
            <v>TRANSPALETTE MOBILTECH</v>
          </cell>
          <cell r="E1684" t="str">
            <v>O</v>
          </cell>
          <cell r="F1684">
            <v>0</v>
          </cell>
          <cell r="G1684">
            <v>6900</v>
          </cell>
          <cell r="H1684">
            <v>6900</v>
          </cell>
          <cell r="I1684">
            <v>6900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6900</v>
          </cell>
          <cell r="U1684">
            <v>6900</v>
          </cell>
          <cell r="V1684">
            <v>6900</v>
          </cell>
          <cell r="W1684">
            <v>6900</v>
          </cell>
          <cell r="X1684">
            <v>6900</v>
          </cell>
          <cell r="Y1684">
            <v>6900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>
            <v>0</v>
          </cell>
          <cell r="AR1684">
            <v>320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60</v>
          </cell>
          <cell r="BJ1684" t="str">
            <v/>
          </cell>
          <cell r="BK1684">
            <v>1700</v>
          </cell>
          <cell r="BL1684" t="str">
            <v>1</v>
          </cell>
          <cell r="BM1684" t="str">
            <v>1</v>
          </cell>
          <cell r="BN1684" t="str">
            <v/>
          </cell>
          <cell r="BO1684" t="str">
            <v/>
          </cell>
        </row>
        <row r="1685">
          <cell r="A1685">
            <v>1</v>
          </cell>
          <cell r="B1685">
            <v>1373280</v>
          </cell>
          <cell r="C1685" t="str">
            <v>MATERIEL ROULANT</v>
          </cell>
          <cell r="D1685" t="str">
            <v>FOURCHES PR CHARIOTS EXP.</v>
          </cell>
          <cell r="E1685" t="str">
            <v>O</v>
          </cell>
          <cell r="F1685">
            <v>0</v>
          </cell>
          <cell r="G1685">
            <v>18500</v>
          </cell>
          <cell r="H1685">
            <v>18098.400000000001</v>
          </cell>
          <cell r="I1685">
            <v>18098.400000000001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18098.400000000001</v>
          </cell>
          <cell r="W1685">
            <v>18098.400000000001</v>
          </cell>
          <cell r="X1685">
            <v>18098.400000000001</v>
          </cell>
          <cell r="Y1685">
            <v>18098.400000000001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>
            <v>0</v>
          </cell>
          <cell r="AR1685">
            <v>320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60</v>
          </cell>
          <cell r="BJ1685" t="str">
            <v/>
          </cell>
          <cell r="BK1685">
            <v>1700</v>
          </cell>
          <cell r="BL1685" t="str">
            <v>1</v>
          </cell>
          <cell r="BM1685" t="str">
            <v>1</v>
          </cell>
          <cell r="BN1685" t="str">
            <v/>
          </cell>
          <cell r="BO1685" t="str">
            <v/>
          </cell>
        </row>
        <row r="1686">
          <cell r="A1686">
            <v>1</v>
          </cell>
          <cell r="B1686">
            <v>4133072</v>
          </cell>
          <cell r="C1686" t="str">
            <v>ESCOMPTE</v>
          </cell>
          <cell r="D1686" t="str">
            <v>pn101307</v>
          </cell>
          <cell r="E1686" t="str">
            <v>O</v>
          </cell>
          <cell r="F1686">
            <v>0</v>
          </cell>
          <cell r="G1686">
            <v>0</v>
          </cell>
          <cell r="H1686">
            <v>1236.0899999999999</v>
          </cell>
          <cell r="I1686">
            <v>1421.73</v>
          </cell>
          <cell r="J1686">
            <v>185.64</v>
          </cell>
          <cell r="K1686">
            <v>0</v>
          </cell>
          <cell r="L1686">
            <v>83.42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379.81</v>
          </cell>
          <cell r="S1686">
            <v>529.45000000000005</v>
          </cell>
          <cell r="T1686">
            <v>665.76</v>
          </cell>
          <cell r="U1686">
            <v>765.5</v>
          </cell>
          <cell r="V1686">
            <v>1108.0999999999999</v>
          </cell>
          <cell r="W1686">
            <v>1008.15</v>
          </cell>
          <cell r="X1686">
            <v>1236.0899999999999</v>
          </cell>
          <cell r="Y1686">
            <v>1319.51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2</v>
          </cell>
          <cell r="AN1686" t="str">
            <v/>
          </cell>
          <cell r="AO1686">
            <v>0</v>
          </cell>
          <cell r="AP1686">
            <v>0</v>
          </cell>
          <cell r="AQ1686">
            <v>0</v>
          </cell>
          <cell r="AR1686">
            <v>600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20307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 t="str">
            <v/>
          </cell>
          <cell r="BK1686">
            <v>4300</v>
          </cell>
          <cell r="BL1686" t="str">
            <v>0</v>
          </cell>
          <cell r="BM1686" t="str">
            <v>1</v>
          </cell>
          <cell r="BN1686" t="str">
            <v/>
          </cell>
          <cell r="BO1686" t="str">
            <v/>
          </cell>
        </row>
        <row r="1687">
          <cell r="A1687">
            <v>1</v>
          </cell>
          <cell r="B1687">
            <v>4135722</v>
          </cell>
          <cell r="C1687" t="str">
            <v>ESCOMPTE</v>
          </cell>
          <cell r="D1687" t="str">
            <v>PN101572</v>
          </cell>
          <cell r="E1687" t="str">
            <v>O</v>
          </cell>
          <cell r="F1687">
            <v>0</v>
          </cell>
          <cell r="G1687">
            <v>0</v>
          </cell>
          <cell r="H1687">
            <v>8000.18</v>
          </cell>
          <cell r="I1687">
            <v>9957.51</v>
          </cell>
          <cell r="J1687">
            <v>1957.33</v>
          </cell>
          <cell r="K1687">
            <v>0</v>
          </cell>
          <cell r="L1687">
            <v>1224.6400000000001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1204.83</v>
          </cell>
          <cell r="S1687">
            <v>2000.61</v>
          </cell>
          <cell r="T1687">
            <v>3329.96</v>
          </cell>
          <cell r="U1687">
            <v>4324.53</v>
          </cell>
          <cell r="V1687">
            <v>7936.83</v>
          </cell>
          <cell r="W1687">
            <v>6890.8</v>
          </cell>
          <cell r="X1687">
            <v>8000.18</v>
          </cell>
          <cell r="Y1687">
            <v>9224.82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2</v>
          </cell>
          <cell r="AN1687" t="str">
            <v/>
          </cell>
          <cell r="AO1687">
            <v>0</v>
          </cell>
          <cell r="AP1687">
            <v>0</v>
          </cell>
          <cell r="AQ1687">
            <v>0</v>
          </cell>
          <cell r="AR1687">
            <v>600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20572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 t="str">
            <v/>
          </cell>
          <cell r="BK1687">
            <v>4300</v>
          </cell>
          <cell r="BL1687" t="str">
            <v>0</v>
          </cell>
          <cell r="BM1687" t="str">
            <v>1</v>
          </cell>
          <cell r="BN1687" t="str">
            <v/>
          </cell>
          <cell r="BO1687" t="str">
            <v/>
          </cell>
        </row>
        <row r="1688">
          <cell r="A1688">
            <v>1</v>
          </cell>
          <cell r="B1688">
            <v>4135802</v>
          </cell>
          <cell r="C1688" t="str">
            <v>ESCOMPTE</v>
          </cell>
          <cell r="D1688" t="str">
            <v>pn101580</v>
          </cell>
          <cell r="E1688" t="str">
            <v>O</v>
          </cell>
          <cell r="F1688">
            <v>0</v>
          </cell>
          <cell r="G1688">
            <v>0</v>
          </cell>
          <cell r="H1688">
            <v>31.42</v>
          </cell>
          <cell r="I1688">
            <v>35.9</v>
          </cell>
          <cell r="J1688">
            <v>4.4800000000000004</v>
          </cell>
          <cell r="K1688">
            <v>0</v>
          </cell>
          <cell r="L1688">
            <v>0</v>
          </cell>
          <cell r="M1688">
            <v>0.86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14.18</v>
          </cell>
          <cell r="S1688">
            <v>22.36</v>
          </cell>
          <cell r="T1688">
            <v>22.65</v>
          </cell>
          <cell r="U1688">
            <v>35.9</v>
          </cell>
          <cell r="V1688">
            <v>35.9</v>
          </cell>
          <cell r="W1688">
            <v>35.9</v>
          </cell>
          <cell r="X1688">
            <v>31.42</v>
          </cell>
          <cell r="Y1688">
            <v>30.56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2</v>
          </cell>
          <cell r="AN1688" t="str">
            <v/>
          </cell>
          <cell r="AO1688">
            <v>0</v>
          </cell>
          <cell r="AP1688">
            <v>0</v>
          </cell>
          <cell r="AQ1688">
            <v>0</v>
          </cell>
          <cell r="AR1688">
            <v>600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20580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 t="str">
            <v/>
          </cell>
          <cell r="BK1688">
            <v>4300</v>
          </cell>
          <cell r="BL1688" t="str">
            <v>0</v>
          </cell>
          <cell r="BM1688" t="str">
            <v>1</v>
          </cell>
          <cell r="BN1688" t="str">
            <v/>
          </cell>
          <cell r="BO1688" t="str">
            <v/>
          </cell>
        </row>
        <row r="1689">
          <cell r="A1689">
            <v>1</v>
          </cell>
          <cell r="B1689">
            <v>4139013</v>
          </cell>
          <cell r="C1689" t="str">
            <v>VENTES SAC GROCERY KRAFT</v>
          </cell>
          <cell r="D1689" t="str">
            <v>N-I(45LBS ET MOINS)</v>
          </cell>
          <cell r="E1689" t="str">
            <v>O</v>
          </cell>
          <cell r="F1689">
            <v>0</v>
          </cell>
          <cell r="G1689">
            <v>0</v>
          </cell>
          <cell r="H1689">
            <v>44.59</v>
          </cell>
          <cell r="I1689">
            <v>57.18</v>
          </cell>
          <cell r="J1689">
            <v>12.59</v>
          </cell>
          <cell r="K1689">
            <v>0</v>
          </cell>
          <cell r="L1689">
            <v>8.7899999999999991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7.35</v>
          </cell>
          <cell r="S1689">
            <v>21.7</v>
          </cell>
          <cell r="T1689">
            <v>9.8699999999999992</v>
          </cell>
          <cell r="U1689">
            <v>15.43</v>
          </cell>
          <cell r="V1689">
            <v>15.43</v>
          </cell>
          <cell r="W1689">
            <v>18.2</v>
          </cell>
          <cell r="X1689">
            <v>44.59</v>
          </cell>
          <cell r="Y1689">
            <v>53.38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3</v>
          </cell>
          <cell r="AN1689" t="str">
            <v/>
          </cell>
          <cell r="AO1689">
            <v>0</v>
          </cell>
          <cell r="AP1689">
            <v>0</v>
          </cell>
          <cell r="AQ1689">
            <v>0</v>
          </cell>
          <cell r="AR1689">
            <v>600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3300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 t="str">
            <v/>
          </cell>
          <cell r="BK1689">
            <v>4300</v>
          </cell>
          <cell r="BL1689" t="str">
            <v>0</v>
          </cell>
          <cell r="BM1689" t="str">
            <v>1</v>
          </cell>
          <cell r="BN1689" t="str">
            <v/>
          </cell>
          <cell r="BO1689" t="str">
            <v/>
          </cell>
        </row>
        <row r="1690">
          <cell r="A1690">
            <v>1</v>
          </cell>
          <cell r="B1690">
            <v>4149023</v>
          </cell>
          <cell r="C1690" t="str">
            <v>VENTES SAC GROCERY KRAFT</v>
          </cell>
          <cell r="D1690" t="str">
            <v>N-I (50LBS ET PLUS)</v>
          </cell>
          <cell r="E1690" t="str">
            <v>O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3</v>
          </cell>
          <cell r="AN1690" t="str">
            <v/>
          </cell>
          <cell r="AO1690">
            <v>0</v>
          </cell>
          <cell r="AP1690">
            <v>0</v>
          </cell>
          <cell r="AQ1690">
            <v>0</v>
          </cell>
          <cell r="AR1690">
            <v>600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3310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 t="str">
            <v/>
          </cell>
          <cell r="BK1690">
            <v>4300</v>
          </cell>
          <cell r="BL1690" t="str">
            <v>0</v>
          </cell>
          <cell r="BM1690" t="str">
            <v>1</v>
          </cell>
          <cell r="BN1690" t="str">
            <v/>
          </cell>
          <cell r="BO1690" t="str">
            <v/>
          </cell>
        </row>
        <row r="1691">
          <cell r="A1691">
            <v>1</v>
          </cell>
          <cell r="B1691">
            <v>4139033</v>
          </cell>
          <cell r="C1691" t="str">
            <v>VENTES SAC GROCERY KRAFT</v>
          </cell>
          <cell r="D1691" t="str">
            <v>IMP (45LBS ET MOINS)</v>
          </cell>
          <cell r="E1691" t="str">
            <v>O</v>
          </cell>
          <cell r="F1691">
            <v>0</v>
          </cell>
          <cell r="G1691">
            <v>0</v>
          </cell>
          <cell r="H1691">
            <v>17290.21</v>
          </cell>
          <cell r="I1691">
            <v>25984.59</v>
          </cell>
          <cell r="J1691">
            <v>8694.3799999999992</v>
          </cell>
          <cell r="K1691">
            <v>0</v>
          </cell>
          <cell r="L1691">
            <v>5358.98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4507.42</v>
          </cell>
          <cell r="S1691">
            <v>9027.65</v>
          </cell>
          <cell r="T1691">
            <v>5118.71</v>
          </cell>
          <cell r="U1691">
            <v>8736.1299999999992</v>
          </cell>
          <cell r="V1691">
            <v>8736.1299999999992</v>
          </cell>
          <cell r="W1691">
            <v>12680.36</v>
          </cell>
          <cell r="X1691">
            <v>17290.21</v>
          </cell>
          <cell r="Y1691">
            <v>22649.19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3</v>
          </cell>
          <cell r="AN1691" t="str">
            <v/>
          </cell>
          <cell r="AO1691">
            <v>0</v>
          </cell>
          <cell r="AP1691">
            <v>0</v>
          </cell>
          <cell r="AQ1691">
            <v>0</v>
          </cell>
          <cell r="AR1691">
            <v>600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3320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 t="str">
            <v/>
          </cell>
          <cell r="BK1691">
            <v>4300</v>
          </cell>
          <cell r="BL1691" t="str">
            <v>0</v>
          </cell>
          <cell r="BM1691" t="str">
            <v>1</v>
          </cell>
          <cell r="BN1691" t="str">
            <v/>
          </cell>
          <cell r="BO1691" t="str">
            <v/>
          </cell>
        </row>
        <row r="1692">
          <cell r="A1692">
            <v>1</v>
          </cell>
          <cell r="B1692">
            <v>4139043</v>
          </cell>
          <cell r="C1692" t="str">
            <v>VENTES SAC GROCERY KRAFT</v>
          </cell>
          <cell r="D1692" t="str">
            <v>IMP (50LBS ET PLUS)</v>
          </cell>
          <cell r="E1692" t="str">
            <v>O</v>
          </cell>
          <cell r="F1692">
            <v>0</v>
          </cell>
          <cell r="G1692">
            <v>0</v>
          </cell>
          <cell r="H1692">
            <v>303.45999999999998</v>
          </cell>
          <cell r="I1692">
            <v>662.77</v>
          </cell>
          <cell r="J1692">
            <v>359.31</v>
          </cell>
          <cell r="K1692">
            <v>0</v>
          </cell>
          <cell r="L1692">
            <v>46.99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214.96</v>
          </cell>
          <cell r="S1692">
            <v>296.67</v>
          </cell>
          <cell r="T1692">
            <v>41.9</v>
          </cell>
          <cell r="U1692">
            <v>96.94</v>
          </cell>
          <cell r="V1692">
            <v>140</v>
          </cell>
          <cell r="W1692">
            <v>183.84</v>
          </cell>
          <cell r="X1692">
            <v>303.45999999999998</v>
          </cell>
          <cell r="Y1692">
            <v>350.45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3</v>
          </cell>
          <cell r="AN1692" t="str">
            <v/>
          </cell>
          <cell r="AO1692">
            <v>0</v>
          </cell>
          <cell r="AP1692">
            <v>0</v>
          </cell>
          <cell r="AQ1692">
            <v>0</v>
          </cell>
          <cell r="AR1692">
            <v>600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3330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 t="str">
            <v/>
          </cell>
          <cell r="BK1692">
            <v>4300</v>
          </cell>
          <cell r="BL1692" t="str">
            <v>0</v>
          </cell>
          <cell r="BM1692" t="str">
            <v>1</v>
          </cell>
          <cell r="BN1692" t="str">
            <v/>
          </cell>
          <cell r="BO1692" t="str">
            <v/>
          </cell>
        </row>
        <row r="1693">
          <cell r="A1693">
            <v>1</v>
          </cell>
          <cell r="B1693">
            <v>4139053</v>
          </cell>
          <cell r="C1693" t="str">
            <v>VENTES SAC GROCERY</v>
          </cell>
          <cell r="D1693" t="str">
            <v>WHITE N-I</v>
          </cell>
          <cell r="E1693" t="str">
            <v>O</v>
          </cell>
          <cell r="F1693">
            <v>0</v>
          </cell>
          <cell r="G1693">
            <v>0</v>
          </cell>
          <cell r="H1693">
            <v>1565.56</v>
          </cell>
          <cell r="I1693">
            <v>2972.36</v>
          </cell>
          <cell r="J1693">
            <v>1406.8</v>
          </cell>
          <cell r="K1693">
            <v>0</v>
          </cell>
          <cell r="L1693">
            <v>299.44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817.42</v>
          </cell>
          <cell r="S1693">
            <v>1666.21</v>
          </cell>
          <cell r="T1693">
            <v>647.23</v>
          </cell>
          <cell r="U1693">
            <v>984.9</v>
          </cell>
          <cell r="V1693">
            <v>1089.0899999999999</v>
          </cell>
          <cell r="W1693">
            <v>1380.78</v>
          </cell>
          <cell r="X1693">
            <v>1565.56</v>
          </cell>
          <cell r="Y1693">
            <v>1865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0</v>
          </cell>
          <cell r="AK1693">
            <v>0</v>
          </cell>
          <cell r="AL1693">
            <v>0</v>
          </cell>
          <cell r="AM1693">
            <v>3</v>
          </cell>
          <cell r="AN1693" t="str">
            <v/>
          </cell>
          <cell r="AO1693">
            <v>0</v>
          </cell>
          <cell r="AP1693">
            <v>0</v>
          </cell>
          <cell r="AQ1693">
            <v>0</v>
          </cell>
          <cell r="AR1693">
            <v>600</v>
          </cell>
          <cell r="AS1693">
            <v>0</v>
          </cell>
          <cell r="AT1693" t="str">
            <v/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3340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 t="str">
            <v/>
          </cell>
          <cell r="BK1693">
            <v>4000</v>
          </cell>
          <cell r="BL1693" t="str">
            <v>0</v>
          </cell>
          <cell r="BM1693" t="str">
            <v>1</v>
          </cell>
          <cell r="BN1693" t="str">
            <v/>
          </cell>
          <cell r="BO1693" t="str">
            <v/>
          </cell>
        </row>
        <row r="1694">
          <cell r="A1694">
            <v>1</v>
          </cell>
          <cell r="B1694">
            <v>4139063</v>
          </cell>
          <cell r="C1694" t="str">
            <v>VENTES SAC GROCERY</v>
          </cell>
          <cell r="D1694" t="str">
            <v>WHITE IMP</v>
          </cell>
          <cell r="E1694" t="str">
            <v>O</v>
          </cell>
          <cell r="F1694">
            <v>0</v>
          </cell>
          <cell r="G1694">
            <v>0</v>
          </cell>
          <cell r="H1694">
            <v>5315.88</v>
          </cell>
          <cell r="I1694">
            <v>7193.83</v>
          </cell>
          <cell r="J1694">
            <v>1877.95</v>
          </cell>
          <cell r="K1694">
            <v>0</v>
          </cell>
          <cell r="L1694">
            <v>1043.3699999999999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1418.96</v>
          </cell>
          <cell r="S1694">
            <v>2113.12</v>
          </cell>
          <cell r="T1694">
            <v>874.05</v>
          </cell>
          <cell r="U1694">
            <v>1518.12</v>
          </cell>
          <cell r="V1694">
            <v>2758.18</v>
          </cell>
          <cell r="W1694">
            <v>3439.5</v>
          </cell>
          <cell r="X1694">
            <v>5315.88</v>
          </cell>
          <cell r="Y1694">
            <v>6359.25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0</v>
          </cell>
          <cell r="AK1694">
            <v>0</v>
          </cell>
          <cell r="AL1694">
            <v>0</v>
          </cell>
          <cell r="AM1694">
            <v>3</v>
          </cell>
          <cell r="AN1694" t="str">
            <v/>
          </cell>
          <cell r="AO1694">
            <v>0</v>
          </cell>
          <cell r="AP1694">
            <v>0</v>
          </cell>
          <cell r="AQ1694">
            <v>0</v>
          </cell>
          <cell r="AR1694">
            <v>600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3350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 t="str">
            <v/>
          </cell>
          <cell r="BK1694">
            <v>4300</v>
          </cell>
          <cell r="BL1694" t="str">
            <v>0</v>
          </cell>
          <cell r="BM1694" t="str">
            <v>1</v>
          </cell>
          <cell r="BN1694" t="str">
            <v/>
          </cell>
          <cell r="BO1694" t="str">
            <v/>
          </cell>
        </row>
        <row r="1695">
          <cell r="A1695">
            <v>1</v>
          </cell>
          <cell r="B1695">
            <v>4139083</v>
          </cell>
          <cell r="C1695" t="str">
            <v>VENTES SAC GROCERY</v>
          </cell>
          <cell r="D1695" t="str">
            <v>SPC IMP</v>
          </cell>
          <cell r="E1695" t="str">
            <v>O</v>
          </cell>
          <cell r="F1695">
            <v>0</v>
          </cell>
          <cell r="G1695">
            <v>0</v>
          </cell>
          <cell r="H1695">
            <v>689.65</v>
          </cell>
          <cell r="I1695">
            <v>1108.6099999999999</v>
          </cell>
          <cell r="J1695">
            <v>418.96</v>
          </cell>
          <cell r="K1695">
            <v>0</v>
          </cell>
          <cell r="L1695">
            <v>255.28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131.54</v>
          </cell>
          <cell r="S1695">
            <v>329.11</v>
          </cell>
          <cell r="T1695">
            <v>121.22</v>
          </cell>
          <cell r="U1695">
            <v>249.19</v>
          </cell>
          <cell r="V1695">
            <v>385.35</v>
          </cell>
          <cell r="W1695">
            <v>481.9</v>
          </cell>
          <cell r="X1695">
            <v>689.65</v>
          </cell>
          <cell r="Y1695">
            <v>944.93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0</v>
          </cell>
          <cell r="AK1695">
            <v>0</v>
          </cell>
          <cell r="AL1695">
            <v>0</v>
          </cell>
          <cell r="AM1695">
            <v>3</v>
          </cell>
          <cell r="AN1695" t="str">
            <v/>
          </cell>
          <cell r="AO1695">
            <v>0</v>
          </cell>
          <cell r="AP1695">
            <v>0</v>
          </cell>
          <cell r="AQ1695">
            <v>0</v>
          </cell>
          <cell r="AR1695">
            <v>600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3370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 t="str">
            <v/>
          </cell>
          <cell r="BK1695">
            <v>4300</v>
          </cell>
          <cell r="BL1695" t="str">
            <v>0</v>
          </cell>
          <cell r="BM1695" t="str">
            <v>1</v>
          </cell>
          <cell r="BN1695" t="str">
            <v/>
          </cell>
          <cell r="BO1695" t="str">
            <v/>
          </cell>
        </row>
        <row r="1696">
          <cell r="A1696">
            <v>1</v>
          </cell>
          <cell r="B1696">
            <v>4139213</v>
          </cell>
          <cell r="C1696" t="str">
            <v>VENTES SAC SACK KRAFT</v>
          </cell>
          <cell r="D1696" t="str">
            <v>N-I (45LBS ET MOINS)</v>
          </cell>
          <cell r="E1696" t="str">
            <v>O</v>
          </cell>
          <cell r="F1696">
            <v>0</v>
          </cell>
          <cell r="G1696">
            <v>0</v>
          </cell>
          <cell r="H1696">
            <v>165.63</v>
          </cell>
          <cell r="I1696">
            <v>350.13</v>
          </cell>
          <cell r="J1696">
            <v>184.5</v>
          </cell>
          <cell r="K1696">
            <v>0</v>
          </cell>
          <cell r="L1696">
            <v>179.6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56.1</v>
          </cell>
          <cell r="S1696">
            <v>43.61</v>
          </cell>
          <cell r="T1696">
            <v>-8.4</v>
          </cell>
          <cell r="U1696">
            <v>119.27</v>
          </cell>
          <cell r="V1696">
            <v>119.27</v>
          </cell>
          <cell r="W1696">
            <v>165.63</v>
          </cell>
          <cell r="X1696">
            <v>165.63</v>
          </cell>
          <cell r="Y1696">
            <v>345.23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0</v>
          </cell>
          <cell r="AK1696">
            <v>0</v>
          </cell>
          <cell r="AL1696">
            <v>0</v>
          </cell>
          <cell r="AM1696">
            <v>3</v>
          </cell>
          <cell r="AN1696" t="str">
            <v/>
          </cell>
          <cell r="AO1696">
            <v>0</v>
          </cell>
          <cell r="AP1696">
            <v>0</v>
          </cell>
          <cell r="AQ1696">
            <v>0</v>
          </cell>
          <cell r="AR1696">
            <v>600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3400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 t="str">
            <v/>
          </cell>
          <cell r="BK1696">
            <v>4300</v>
          </cell>
          <cell r="BL1696" t="str">
            <v>0</v>
          </cell>
          <cell r="BM1696" t="str">
            <v>1</v>
          </cell>
          <cell r="BN1696" t="str">
            <v/>
          </cell>
          <cell r="BO1696" t="str">
            <v/>
          </cell>
        </row>
        <row r="1697">
          <cell r="A1697">
            <v>1</v>
          </cell>
          <cell r="B1697">
            <v>4139223</v>
          </cell>
          <cell r="C1697" t="str">
            <v>VENTES SAC SACK KRAFT</v>
          </cell>
          <cell r="D1697" t="str">
            <v>N-I (50LBS ET PLUS)</v>
          </cell>
          <cell r="E1697" t="str">
            <v>O</v>
          </cell>
          <cell r="F1697">
            <v>0</v>
          </cell>
          <cell r="G1697">
            <v>0</v>
          </cell>
          <cell r="H1697">
            <v>3354.64</v>
          </cell>
          <cell r="I1697">
            <v>4636.21</v>
          </cell>
          <cell r="J1697">
            <v>1281.57</v>
          </cell>
          <cell r="K1697">
            <v>0</v>
          </cell>
          <cell r="L1697">
            <v>997.56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658.94</v>
          </cell>
          <cell r="S1697">
            <v>1123.2</v>
          </cell>
          <cell r="T1697">
            <v>782.58</v>
          </cell>
          <cell r="U1697">
            <v>1348.84</v>
          </cell>
          <cell r="V1697">
            <v>1888.36</v>
          </cell>
          <cell r="W1697">
            <v>2555.87</v>
          </cell>
          <cell r="X1697">
            <v>3354.64</v>
          </cell>
          <cell r="Y1697">
            <v>4352.2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0</v>
          </cell>
          <cell r="AK1697">
            <v>0</v>
          </cell>
          <cell r="AL1697">
            <v>0</v>
          </cell>
          <cell r="AM1697">
            <v>3</v>
          </cell>
          <cell r="AN1697" t="str">
            <v/>
          </cell>
          <cell r="AO1697">
            <v>0</v>
          </cell>
          <cell r="AP1697">
            <v>0</v>
          </cell>
          <cell r="AQ1697">
            <v>0</v>
          </cell>
          <cell r="AR1697">
            <v>600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3410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 t="str">
            <v/>
          </cell>
          <cell r="BK1697">
            <v>4300</v>
          </cell>
          <cell r="BL1697" t="str">
            <v>0</v>
          </cell>
          <cell r="BM1697" t="str">
            <v>1</v>
          </cell>
          <cell r="BN1697" t="str">
            <v/>
          </cell>
          <cell r="BO1697" t="str">
            <v/>
          </cell>
        </row>
        <row r="1698">
          <cell r="A1698">
            <v>1</v>
          </cell>
          <cell r="B1698">
            <v>4139233</v>
          </cell>
          <cell r="C1698" t="str">
            <v>VENTES SAC SACK KRAFT</v>
          </cell>
          <cell r="D1698" t="str">
            <v>IMP (45LBS ET MOINS)</v>
          </cell>
          <cell r="E1698" t="str">
            <v>O</v>
          </cell>
          <cell r="F1698">
            <v>0</v>
          </cell>
          <cell r="G1698">
            <v>0</v>
          </cell>
          <cell r="H1698">
            <v>1090.04</v>
          </cell>
          <cell r="I1698">
            <v>1541.58</v>
          </cell>
          <cell r="J1698">
            <v>451.54</v>
          </cell>
          <cell r="K1698">
            <v>0</v>
          </cell>
          <cell r="L1698">
            <v>439.95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172.65</v>
          </cell>
          <cell r="S1698">
            <v>353.02</v>
          </cell>
          <cell r="T1698">
            <v>152.09</v>
          </cell>
          <cell r="U1698">
            <v>599.54</v>
          </cell>
          <cell r="V1698">
            <v>708.67</v>
          </cell>
          <cell r="W1698">
            <v>891.3</v>
          </cell>
          <cell r="X1698">
            <v>1090.04</v>
          </cell>
          <cell r="Y1698">
            <v>1529.99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>
            <v>0</v>
          </cell>
          <cell r="AL1698">
            <v>0</v>
          </cell>
          <cell r="AM1698">
            <v>3</v>
          </cell>
          <cell r="AN1698" t="str">
            <v/>
          </cell>
          <cell r="AO1698">
            <v>0</v>
          </cell>
          <cell r="AP1698">
            <v>0</v>
          </cell>
          <cell r="AQ1698">
            <v>0</v>
          </cell>
          <cell r="AR1698">
            <v>600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3420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 t="str">
            <v/>
          </cell>
          <cell r="BK1698">
            <v>4300</v>
          </cell>
          <cell r="BL1698" t="str">
            <v>0</v>
          </cell>
          <cell r="BM1698" t="str">
            <v>1</v>
          </cell>
          <cell r="BN1698" t="str">
            <v/>
          </cell>
          <cell r="BO1698" t="str">
            <v/>
          </cell>
        </row>
        <row r="1699">
          <cell r="A1699">
            <v>1</v>
          </cell>
          <cell r="B1699">
            <v>4139243</v>
          </cell>
          <cell r="C1699" t="str">
            <v>VENTES SAC SACK KRAFT</v>
          </cell>
          <cell r="D1699" t="str">
            <v>IMP (50LBS ET PLUS)</v>
          </cell>
          <cell r="E1699" t="str">
            <v>O</v>
          </cell>
          <cell r="F1699">
            <v>0</v>
          </cell>
          <cell r="G1699">
            <v>0</v>
          </cell>
          <cell r="H1699">
            <v>11590.8</v>
          </cell>
          <cell r="I1699">
            <v>13663.93</v>
          </cell>
          <cell r="J1699">
            <v>2073.13</v>
          </cell>
          <cell r="K1699">
            <v>0</v>
          </cell>
          <cell r="L1699">
            <v>3349.92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350.28</v>
          </cell>
          <cell r="S1699">
            <v>1412.06</v>
          </cell>
          <cell r="T1699">
            <v>1024.1300000000001</v>
          </cell>
          <cell r="U1699">
            <v>3469.4</v>
          </cell>
          <cell r="V1699">
            <v>6690.98</v>
          </cell>
          <cell r="W1699">
            <v>9868.4699999999993</v>
          </cell>
          <cell r="X1699">
            <v>11590.8</v>
          </cell>
          <cell r="Y1699">
            <v>14940.72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>
            <v>0</v>
          </cell>
          <cell r="AL1699">
            <v>0</v>
          </cell>
          <cell r="AM1699">
            <v>3</v>
          </cell>
          <cell r="AN1699" t="str">
            <v/>
          </cell>
          <cell r="AO1699">
            <v>0</v>
          </cell>
          <cell r="AP1699">
            <v>0</v>
          </cell>
          <cell r="AQ1699">
            <v>0</v>
          </cell>
          <cell r="AR1699">
            <v>600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3430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 t="str">
            <v/>
          </cell>
          <cell r="BK1699">
            <v>4300</v>
          </cell>
          <cell r="BL1699" t="str">
            <v>0</v>
          </cell>
          <cell r="BM1699" t="str">
            <v>1</v>
          </cell>
          <cell r="BN1699" t="str">
            <v/>
          </cell>
          <cell r="BO1699" t="str">
            <v/>
          </cell>
        </row>
        <row r="1700">
          <cell r="A1700">
            <v>1</v>
          </cell>
          <cell r="B1700">
            <v>4139263</v>
          </cell>
          <cell r="C1700" t="str">
            <v>VENTES SAC SACK</v>
          </cell>
          <cell r="D1700" t="str">
            <v>WHITE IMP</v>
          </cell>
          <cell r="E1700" t="str">
            <v>O</v>
          </cell>
          <cell r="F1700">
            <v>0</v>
          </cell>
          <cell r="G1700">
            <v>0</v>
          </cell>
          <cell r="H1700">
            <v>79.510000000000005</v>
          </cell>
          <cell r="I1700">
            <v>125.08</v>
          </cell>
          <cell r="J1700">
            <v>45.57</v>
          </cell>
          <cell r="K1700">
            <v>0</v>
          </cell>
          <cell r="L1700">
            <v>3.14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20.9</v>
          </cell>
          <cell r="S1700">
            <v>42.73</v>
          </cell>
          <cell r="T1700">
            <v>26.26</v>
          </cell>
          <cell r="U1700">
            <v>41.35</v>
          </cell>
          <cell r="V1700">
            <v>62.51</v>
          </cell>
          <cell r="W1700">
            <v>80.040000000000006</v>
          </cell>
          <cell r="X1700">
            <v>79.510000000000005</v>
          </cell>
          <cell r="Y1700">
            <v>82.65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0</v>
          </cell>
          <cell r="AK1700">
            <v>0</v>
          </cell>
          <cell r="AL1700">
            <v>0</v>
          </cell>
          <cell r="AM1700">
            <v>3</v>
          </cell>
          <cell r="AN1700" t="str">
            <v/>
          </cell>
          <cell r="AO1700">
            <v>0</v>
          </cell>
          <cell r="AP1700">
            <v>0</v>
          </cell>
          <cell r="AQ1700">
            <v>0</v>
          </cell>
          <cell r="AR1700">
            <v>600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3450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 t="str">
            <v/>
          </cell>
          <cell r="BK1700">
            <v>4300</v>
          </cell>
          <cell r="BL1700" t="str">
            <v>0</v>
          </cell>
          <cell r="BM1700" t="str">
            <v>1</v>
          </cell>
          <cell r="BN1700" t="str">
            <v/>
          </cell>
          <cell r="BO1700" t="str">
            <v/>
          </cell>
        </row>
        <row r="1701">
          <cell r="A1701">
            <v>1</v>
          </cell>
          <cell r="B1701">
            <v>4139283</v>
          </cell>
          <cell r="C1701" t="str">
            <v>VENTES SAC SACK</v>
          </cell>
          <cell r="D1701" t="str">
            <v>SPC IMP</v>
          </cell>
          <cell r="E1701" t="str">
            <v>O</v>
          </cell>
          <cell r="F1701">
            <v>0</v>
          </cell>
          <cell r="G1701">
            <v>0</v>
          </cell>
          <cell r="H1701">
            <v>872.31</v>
          </cell>
          <cell r="I1701">
            <v>1324.32</v>
          </cell>
          <cell r="J1701">
            <v>452.01</v>
          </cell>
          <cell r="K1701">
            <v>0</v>
          </cell>
          <cell r="L1701">
            <v>180.55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354.2</v>
          </cell>
          <cell r="S1701">
            <v>508.83</v>
          </cell>
          <cell r="T1701">
            <v>361.92</v>
          </cell>
          <cell r="U1701">
            <v>549.36</v>
          </cell>
          <cell r="V1701">
            <v>606.21</v>
          </cell>
          <cell r="W1701">
            <v>853.8</v>
          </cell>
          <cell r="X1701">
            <v>872.31</v>
          </cell>
          <cell r="Y1701">
            <v>1052.8599999999999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0</v>
          </cell>
          <cell r="AK1701">
            <v>0</v>
          </cell>
          <cell r="AL1701">
            <v>0</v>
          </cell>
          <cell r="AM1701">
            <v>3</v>
          </cell>
          <cell r="AN1701" t="str">
            <v/>
          </cell>
          <cell r="AO1701">
            <v>0</v>
          </cell>
          <cell r="AP1701">
            <v>0</v>
          </cell>
          <cell r="AQ1701">
            <v>0</v>
          </cell>
          <cell r="AR1701">
            <v>600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3470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 t="str">
            <v/>
          </cell>
          <cell r="BK1701">
            <v>4300</v>
          </cell>
          <cell r="BL1701" t="str">
            <v>0</v>
          </cell>
          <cell r="BM1701" t="str">
            <v>1</v>
          </cell>
          <cell r="BN1701" t="str">
            <v/>
          </cell>
          <cell r="BO1701" t="str">
            <v/>
          </cell>
        </row>
        <row r="1702">
          <cell r="A1702">
            <v>1</v>
          </cell>
          <cell r="B1702">
            <v>4139413</v>
          </cell>
          <cell r="C1702" t="str">
            <v>VENTES SAC F&amp;W KRAFT</v>
          </cell>
          <cell r="D1702" t="str">
            <v>N-I (45LBS ET MOINS)</v>
          </cell>
          <cell r="E1702" t="str">
            <v>O</v>
          </cell>
          <cell r="F1702">
            <v>0</v>
          </cell>
          <cell r="G1702">
            <v>0</v>
          </cell>
          <cell r="H1702">
            <v>1558.9</v>
          </cell>
          <cell r="I1702">
            <v>2304.5500000000002</v>
          </cell>
          <cell r="J1702">
            <v>745.65</v>
          </cell>
          <cell r="K1702">
            <v>0</v>
          </cell>
          <cell r="L1702">
            <v>381.2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376.53</v>
          </cell>
          <cell r="S1702">
            <v>792.56</v>
          </cell>
          <cell r="T1702">
            <v>396.45</v>
          </cell>
          <cell r="U1702">
            <v>773.21</v>
          </cell>
          <cell r="V1702">
            <v>860.64</v>
          </cell>
          <cell r="W1702">
            <v>1384.63</v>
          </cell>
          <cell r="X1702">
            <v>1558.9</v>
          </cell>
          <cell r="Y1702">
            <v>1940.1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0</v>
          </cell>
          <cell r="AK1702">
            <v>0</v>
          </cell>
          <cell r="AL1702">
            <v>0</v>
          </cell>
          <cell r="AM1702">
            <v>3</v>
          </cell>
          <cell r="AN1702" t="str">
            <v/>
          </cell>
          <cell r="AO1702">
            <v>0</v>
          </cell>
          <cell r="AP1702">
            <v>0</v>
          </cell>
          <cell r="AQ1702">
            <v>0</v>
          </cell>
          <cell r="AR1702">
            <v>600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3600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 t="str">
            <v/>
          </cell>
          <cell r="BK1702">
            <v>4300</v>
          </cell>
          <cell r="BL1702" t="str">
            <v>0</v>
          </cell>
          <cell r="BM1702" t="str">
            <v>1</v>
          </cell>
          <cell r="BN1702" t="str">
            <v/>
          </cell>
          <cell r="BO1702" t="str">
            <v/>
          </cell>
        </row>
        <row r="1703">
          <cell r="A1703">
            <v>1</v>
          </cell>
          <cell r="B1703">
            <v>4139423</v>
          </cell>
          <cell r="C1703" t="str">
            <v>VENTES SAC F&amp;W KRAFT</v>
          </cell>
          <cell r="D1703" t="str">
            <v>N-I (50LBS ET PLUS)</v>
          </cell>
          <cell r="E1703" t="str">
            <v>O</v>
          </cell>
          <cell r="F1703">
            <v>0</v>
          </cell>
          <cell r="G1703">
            <v>0</v>
          </cell>
          <cell r="H1703">
            <v>411.11</v>
          </cell>
          <cell r="I1703">
            <v>706.74</v>
          </cell>
          <cell r="J1703">
            <v>295.63</v>
          </cell>
          <cell r="K1703">
            <v>0</v>
          </cell>
          <cell r="L1703">
            <v>73.680000000000007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46.96</v>
          </cell>
          <cell r="S1703">
            <v>311.98</v>
          </cell>
          <cell r="T1703">
            <v>121.68</v>
          </cell>
          <cell r="U1703">
            <v>149.13999999999999</v>
          </cell>
          <cell r="V1703">
            <v>66.61</v>
          </cell>
          <cell r="W1703">
            <v>339.5</v>
          </cell>
          <cell r="X1703">
            <v>411.11</v>
          </cell>
          <cell r="Y1703">
            <v>484.79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>
            <v>0</v>
          </cell>
          <cell r="AL1703">
            <v>0</v>
          </cell>
          <cell r="AM1703">
            <v>3</v>
          </cell>
          <cell r="AN1703" t="str">
            <v/>
          </cell>
          <cell r="AO1703">
            <v>0</v>
          </cell>
          <cell r="AP1703">
            <v>0</v>
          </cell>
          <cell r="AQ1703">
            <v>0</v>
          </cell>
          <cell r="AR1703">
            <v>600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3610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 t="str">
            <v/>
          </cell>
          <cell r="BK1703">
            <v>4300</v>
          </cell>
          <cell r="BL1703" t="str">
            <v>0</v>
          </cell>
          <cell r="BM1703" t="str">
            <v>1</v>
          </cell>
          <cell r="BN1703" t="str">
            <v/>
          </cell>
          <cell r="BO1703" t="str">
            <v/>
          </cell>
        </row>
        <row r="1704">
          <cell r="A1704">
            <v>1</v>
          </cell>
          <cell r="B1704">
            <v>4139433</v>
          </cell>
          <cell r="C1704" t="str">
            <v>ESCOMPTE</v>
          </cell>
          <cell r="D1704" t="str">
            <v>IMP (45LBS ET MOINS)</v>
          </cell>
          <cell r="E1704" t="str">
            <v>O</v>
          </cell>
          <cell r="F1704">
            <v>0</v>
          </cell>
          <cell r="G1704">
            <v>0</v>
          </cell>
          <cell r="H1704">
            <v>8825.58</v>
          </cell>
          <cell r="I1704">
            <v>14828.9</v>
          </cell>
          <cell r="J1704">
            <v>6003.32</v>
          </cell>
          <cell r="K1704">
            <v>0</v>
          </cell>
          <cell r="L1704">
            <v>644.89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4205.0600000000004</v>
          </cell>
          <cell r="S1704">
            <v>6220.1</v>
          </cell>
          <cell r="T1704">
            <v>3131.06</v>
          </cell>
          <cell r="U1704">
            <v>6021.35</v>
          </cell>
          <cell r="V1704">
            <v>7362.4</v>
          </cell>
          <cell r="W1704">
            <v>7516.75</v>
          </cell>
          <cell r="X1704">
            <v>8825.58</v>
          </cell>
          <cell r="Y1704">
            <v>9470.4699999999993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>
            <v>0</v>
          </cell>
          <cell r="AL1704">
            <v>0</v>
          </cell>
          <cell r="AM1704">
            <v>3</v>
          </cell>
          <cell r="AN1704" t="str">
            <v/>
          </cell>
          <cell r="AO1704">
            <v>0</v>
          </cell>
          <cell r="AP1704">
            <v>0</v>
          </cell>
          <cell r="AQ1704">
            <v>0</v>
          </cell>
          <cell r="AR1704">
            <v>600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3620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 t="str">
            <v/>
          </cell>
          <cell r="BK1704">
            <v>4300</v>
          </cell>
          <cell r="BL1704" t="str">
            <v>0</v>
          </cell>
          <cell r="BM1704" t="str">
            <v>1</v>
          </cell>
          <cell r="BN1704" t="str">
            <v/>
          </cell>
          <cell r="BO1704" t="str">
            <v/>
          </cell>
        </row>
        <row r="1705">
          <cell r="A1705">
            <v>1</v>
          </cell>
          <cell r="B1705">
            <v>4139453</v>
          </cell>
          <cell r="C1705" t="str">
            <v>VENTES SAC F&amp;W</v>
          </cell>
          <cell r="D1705" t="str">
            <v>WHITE N-I</v>
          </cell>
          <cell r="E1705" t="str">
            <v>O</v>
          </cell>
          <cell r="F1705">
            <v>0</v>
          </cell>
          <cell r="G1705">
            <v>0</v>
          </cell>
          <cell r="H1705">
            <v>1150.68</v>
          </cell>
          <cell r="I1705">
            <v>1576.84</v>
          </cell>
          <cell r="J1705">
            <v>426.16</v>
          </cell>
          <cell r="K1705">
            <v>0</v>
          </cell>
          <cell r="L1705">
            <v>316.91000000000003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191.19</v>
          </cell>
          <cell r="S1705">
            <v>448.2</v>
          </cell>
          <cell r="T1705">
            <v>276.83</v>
          </cell>
          <cell r="U1705">
            <v>521.44000000000005</v>
          </cell>
          <cell r="V1705">
            <v>737.66</v>
          </cell>
          <cell r="W1705">
            <v>960.93</v>
          </cell>
          <cell r="X1705">
            <v>1150.68</v>
          </cell>
          <cell r="Y1705">
            <v>1467.59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>
            <v>0</v>
          </cell>
          <cell r="AL1705">
            <v>0</v>
          </cell>
          <cell r="AM1705">
            <v>3</v>
          </cell>
          <cell r="AN1705" t="str">
            <v/>
          </cell>
          <cell r="AO1705">
            <v>0</v>
          </cell>
          <cell r="AP1705">
            <v>0</v>
          </cell>
          <cell r="AQ1705">
            <v>0</v>
          </cell>
          <cell r="AR1705">
            <v>600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3640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 t="str">
            <v/>
          </cell>
          <cell r="BK1705">
            <v>4300</v>
          </cell>
          <cell r="BL1705" t="str">
            <v>0</v>
          </cell>
          <cell r="BM1705" t="str">
            <v>1</v>
          </cell>
          <cell r="BN1705" t="str">
            <v/>
          </cell>
          <cell r="BO1705" t="str">
            <v/>
          </cell>
        </row>
        <row r="1706">
          <cell r="A1706">
            <v>1</v>
          </cell>
          <cell r="B1706">
            <v>4139463</v>
          </cell>
          <cell r="C1706" t="str">
            <v>VENTES SAC F&amp;W</v>
          </cell>
          <cell r="D1706" t="str">
            <v>WHITE IMP</v>
          </cell>
          <cell r="E1706" t="str">
            <v>O</v>
          </cell>
          <cell r="F1706">
            <v>0</v>
          </cell>
          <cell r="G1706">
            <v>0</v>
          </cell>
          <cell r="H1706">
            <v>1753.91</v>
          </cell>
          <cell r="I1706">
            <v>2456.39</v>
          </cell>
          <cell r="J1706">
            <v>702.48</v>
          </cell>
          <cell r="K1706">
            <v>0</v>
          </cell>
          <cell r="L1706">
            <v>1360.37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208.28</v>
          </cell>
          <cell r="S1706">
            <v>761.19</v>
          </cell>
          <cell r="T1706">
            <v>321.13</v>
          </cell>
          <cell r="U1706">
            <v>871.58</v>
          </cell>
          <cell r="V1706">
            <v>1150.7</v>
          </cell>
          <cell r="W1706">
            <v>1410.98</v>
          </cell>
          <cell r="X1706">
            <v>1753.91</v>
          </cell>
          <cell r="Y1706">
            <v>3114.28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3</v>
          </cell>
          <cell r="AN1706" t="str">
            <v/>
          </cell>
          <cell r="AO1706">
            <v>0</v>
          </cell>
          <cell r="AP1706">
            <v>0</v>
          </cell>
          <cell r="AQ1706">
            <v>0</v>
          </cell>
          <cell r="AR1706">
            <v>600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3650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 t="str">
            <v/>
          </cell>
          <cell r="BK1706">
            <v>4300</v>
          </cell>
          <cell r="BL1706" t="str">
            <v>0</v>
          </cell>
          <cell r="BM1706" t="str">
            <v>1</v>
          </cell>
          <cell r="BN1706" t="str">
            <v/>
          </cell>
          <cell r="BO1706" t="str">
            <v/>
          </cell>
        </row>
        <row r="1707">
          <cell r="A1707">
            <v>1</v>
          </cell>
          <cell r="B1707">
            <v>4139483</v>
          </cell>
          <cell r="C1707" t="str">
            <v>VENTES SAC F&amp;W</v>
          </cell>
          <cell r="D1707" t="str">
            <v>SPC IMP</v>
          </cell>
          <cell r="E1707" t="str">
            <v>O</v>
          </cell>
          <cell r="F1707">
            <v>0</v>
          </cell>
          <cell r="G1707">
            <v>0</v>
          </cell>
          <cell r="H1707">
            <v>1482.3</v>
          </cell>
          <cell r="I1707">
            <v>2417.23</v>
          </cell>
          <cell r="J1707">
            <v>934.93</v>
          </cell>
          <cell r="K1707">
            <v>0</v>
          </cell>
          <cell r="L1707">
            <v>386.64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545.08000000000004</v>
          </cell>
          <cell r="S1707">
            <v>1018.58</v>
          </cell>
          <cell r="T1707">
            <v>526.6</v>
          </cell>
          <cell r="U1707">
            <v>939.49</v>
          </cell>
          <cell r="V1707">
            <v>1236.94</v>
          </cell>
          <cell r="W1707">
            <v>1482.3</v>
          </cell>
          <cell r="X1707">
            <v>1482.3</v>
          </cell>
          <cell r="Y1707">
            <v>1868.94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3</v>
          </cell>
          <cell r="AN1707" t="str">
            <v/>
          </cell>
          <cell r="AO1707">
            <v>0</v>
          </cell>
          <cell r="AP1707">
            <v>0</v>
          </cell>
          <cell r="AQ1707">
            <v>0</v>
          </cell>
          <cell r="AR1707">
            <v>600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3670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 t="str">
            <v/>
          </cell>
          <cell r="BK1707">
            <v>4300</v>
          </cell>
          <cell r="BL1707" t="str">
            <v>0</v>
          </cell>
          <cell r="BM1707" t="str">
            <v>1</v>
          </cell>
          <cell r="BN1707" t="str">
            <v/>
          </cell>
          <cell r="BO1707" t="str">
            <v/>
          </cell>
        </row>
        <row r="1708">
          <cell r="A1708">
            <v>1</v>
          </cell>
          <cell r="B1708">
            <v>4135752</v>
          </cell>
          <cell r="C1708" t="str">
            <v>PERKINS S/F 12X250</v>
          </cell>
          <cell r="D1708" t="str">
            <v>PN101575</v>
          </cell>
          <cell r="E1708" t="str">
            <v>O</v>
          </cell>
          <cell r="F1708">
            <v>0</v>
          </cell>
          <cell r="G1708">
            <v>0</v>
          </cell>
          <cell r="H1708">
            <v>4506.93</v>
          </cell>
          <cell r="I1708">
            <v>5082.1000000000004</v>
          </cell>
          <cell r="J1708">
            <v>575.16999999999996</v>
          </cell>
          <cell r="K1708">
            <v>0</v>
          </cell>
          <cell r="L1708">
            <v>342.08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1733.1</v>
          </cell>
          <cell r="S1708">
            <v>2012.87</v>
          </cell>
          <cell r="T1708">
            <v>2797.6</v>
          </cell>
          <cell r="U1708">
            <v>3148.83</v>
          </cell>
          <cell r="V1708">
            <v>4210.32</v>
          </cell>
          <cell r="W1708">
            <v>4092.65</v>
          </cell>
          <cell r="X1708">
            <v>4506.93</v>
          </cell>
          <cell r="Y1708">
            <v>4849.01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>
            <v>0</v>
          </cell>
          <cell r="AL1708">
            <v>0</v>
          </cell>
          <cell r="AM1708">
            <v>2</v>
          </cell>
          <cell r="AN1708" t="str">
            <v/>
          </cell>
          <cell r="AO1708">
            <v>0</v>
          </cell>
          <cell r="AP1708">
            <v>0</v>
          </cell>
          <cell r="AQ1708">
            <v>0</v>
          </cell>
          <cell r="AR1708">
            <v>600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20575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 t="str">
            <v/>
          </cell>
          <cell r="BK1708">
            <v>4300</v>
          </cell>
          <cell r="BL1708" t="str">
            <v>0</v>
          </cell>
          <cell r="BM1708" t="str">
            <v>1</v>
          </cell>
          <cell r="BN1708" t="str">
            <v/>
          </cell>
          <cell r="BO1708" t="str">
            <v/>
          </cell>
        </row>
        <row r="1709">
          <cell r="A1709">
            <v>1</v>
          </cell>
          <cell r="B1709">
            <v>4139023</v>
          </cell>
          <cell r="C1709" t="str">
            <v>VENTES SAC GROCERY KRAFT</v>
          </cell>
          <cell r="D1709" t="str">
            <v>N-I (50LBS ET PLUS)</v>
          </cell>
          <cell r="E1709" t="str">
            <v>O</v>
          </cell>
          <cell r="F1709">
            <v>0</v>
          </cell>
          <cell r="G1709">
            <v>0</v>
          </cell>
          <cell r="H1709">
            <v>352.53</v>
          </cell>
          <cell r="I1709">
            <v>531.29999999999995</v>
          </cell>
          <cell r="J1709">
            <v>178.77</v>
          </cell>
          <cell r="K1709">
            <v>0</v>
          </cell>
          <cell r="L1709">
            <v>58.06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86.67</v>
          </cell>
          <cell r="S1709">
            <v>152.72999999999999</v>
          </cell>
          <cell r="T1709">
            <v>61.4</v>
          </cell>
          <cell r="U1709">
            <v>221.09</v>
          </cell>
          <cell r="V1709">
            <v>221.09</v>
          </cell>
          <cell r="W1709">
            <v>313.93</v>
          </cell>
          <cell r="X1709">
            <v>352.53</v>
          </cell>
          <cell r="Y1709">
            <v>410.59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0</v>
          </cell>
          <cell r="AK1709">
            <v>0</v>
          </cell>
          <cell r="AL1709">
            <v>0</v>
          </cell>
          <cell r="AM1709">
            <v>3</v>
          </cell>
          <cell r="AN1709" t="str">
            <v/>
          </cell>
          <cell r="AO1709">
            <v>0</v>
          </cell>
          <cell r="AP1709">
            <v>0</v>
          </cell>
          <cell r="AQ1709">
            <v>0</v>
          </cell>
          <cell r="AR1709">
            <v>600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3310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 t="str">
            <v/>
          </cell>
          <cell r="BK1709">
            <v>4300</v>
          </cell>
          <cell r="BL1709" t="str">
            <v>0</v>
          </cell>
          <cell r="BM1709" t="str">
            <v>1</v>
          </cell>
          <cell r="BN1709" t="str">
            <v/>
          </cell>
          <cell r="BO1709" t="str">
            <v/>
          </cell>
        </row>
        <row r="1710">
          <cell r="A1710">
            <v>1</v>
          </cell>
          <cell r="B1710">
            <v>4823002</v>
          </cell>
          <cell r="C1710" t="str">
            <v>MARKETING</v>
          </cell>
          <cell r="D1710" t="str">
            <v>ECHANTILLON SERVIETTE</v>
          </cell>
          <cell r="E1710" t="str">
            <v>O</v>
          </cell>
          <cell r="F1710">
            <v>0</v>
          </cell>
          <cell r="G1710">
            <v>0</v>
          </cell>
          <cell r="H1710">
            <v>333.29</v>
          </cell>
          <cell r="I1710">
            <v>392.99</v>
          </cell>
          <cell r="J1710">
            <v>59.7</v>
          </cell>
          <cell r="K1710">
            <v>0</v>
          </cell>
          <cell r="L1710">
            <v>26.84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51.63</v>
          </cell>
          <cell r="T1710">
            <v>51.63</v>
          </cell>
          <cell r="U1710">
            <v>51.63</v>
          </cell>
          <cell r="V1710">
            <v>111.33</v>
          </cell>
          <cell r="W1710">
            <v>214.85</v>
          </cell>
          <cell r="X1710">
            <v>333.29</v>
          </cell>
          <cell r="Y1710">
            <v>360.13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2</v>
          </cell>
          <cell r="AN1710" t="str">
            <v/>
          </cell>
          <cell r="AO1710">
            <v>0</v>
          </cell>
          <cell r="AP1710">
            <v>0</v>
          </cell>
          <cell r="AQ1710">
            <v>0</v>
          </cell>
          <cell r="AR1710">
            <v>800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 t="str">
            <v/>
          </cell>
          <cell r="BK1710">
            <v>4100</v>
          </cell>
          <cell r="BL1710" t="str">
            <v>0</v>
          </cell>
          <cell r="BM1710" t="str">
            <v>1</v>
          </cell>
          <cell r="BN1710" t="str">
            <v/>
          </cell>
          <cell r="BO1710" t="str">
            <v/>
          </cell>
        </row>
        <row r="1711">
          <cell r="A1711">
            <v>1</v>
          </cell>
          <cell r="B1711">
            <v>4823003</v>
          </cell>
          <cell r="C1711" t="str">
            <v>MARKETING</v>
          </cell>
          <cell r="D1711" t="str">
            <v>ECHANTILLON SAC</v>
          </cell>
          <cell r="E1711" t="str">
            <v>O</v>
          </cell>
          <cell r="F1711">
            <v>0</v>
          </cell>
          <cell r="G1711">
            <v>0</v>
          </cell>
          <cell r="H1711">
            <v>816.85</v>
          </cell>
          <cell r="I1711">
            <v>948.88</v>
          </cell>
          <cell r="J1711">
            <v>132.03</v>
          </cell>
          <cell r="K1711">
            <v>0</v>
          </cell>
          <cell r="L1711">
            <v>322.14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24.06</v>
          </cell>
          <cell r="S1711">
            <v>34.07</v>
          </cell>
          <cell r="T1711">
            <v>142.88</v>
          </cell>
          <cell r="U1711">
            <v>267.66000000000003</v>
          </cell>
          <cell r="V1711">
            <v>335.63</v>
          </cell>
          <cell r="W1711">
            <v>587</v>
          </cell>
          <cell r="X1711">
            <v>816.85</v>
          </cell>
          <cell r="Y1711">
            <v>1138.99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3</v>
          </cell>
          <cell r="AN1711" t="str">
            <v/>
          </cell>
          <cell r="AO1711">
            <v>0</v>
          </cell>
          <cell r="AP1711">
            <v>0</v>
          </cell>
          <cell r="AQ1711">
            <v>0</v>
          </cell>
          <cell r="AR1711">
            <v>800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 t="str">
            <v/>
          </cell>
          <cell r="BK1711">
            <v>4100</v>
          </cell>
          <cell r="BL1711" t="str">
            <v>0</v>
          </cell>
          <cell r="BM1711" t="str">
            <v>1</v>
          </cell>
          <cell r="BN1711" t="str">
            <v/>
          </cell>
          <cell r="BO1711" t="str">
            <v/>
          </cell>
        </row>
        <row r="1712">
          <cell r="A1712">
            <v>1</v>
          </cell>
          <cell r="B1712">
            <v>1373450</v>
          </cell>
          <cell r="C1712" t="str">
            <v>MATERIEL ROULANT</v>
          </cell>
          <cell r="D1712" t="str">
            <v>2 CAMIONS A FOURCHES</v>
          </cell>
          <cell r="E1712" t="str">
            <v>O</v>
          </cell>
          <cell r="F1712">
            <v>0</v>
          </cell>
          <cell r="G1712">
            <v>7666.67</v>
          </cell>
          <cell r="H1712">
            <v>9708.84</v>
          </cell>
          <cell r="I1712">
            <v>16374.06</v>
          </cell>
          <cell r="J1712">
            <v>6665.22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6665.22</v>
          </cell>
          <cell r="T1712">
            <v>9708.84</v>
          </cell>
          <cell r="U1712">
            <v>9708.84</v>
          </cell>
          <cell r="V1712">
            <v>9708.84</v>
          </cell>
          <cell r="W1712">
            <v>9708.84</v>
          </cell>
          <cell r="X1712">
            <v>9708.84</v>
          </cell>
          <cell r="Y1712">
            <v>9708.84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>
            <v>0</v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>
            <v>0</v>
          </cell>
          <cell r="AR1712">
            <v>320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60</v>
          </cell>
          <cell r="BJ1712" t="str">
            <v/>
          </cell>
          <cell r="BK1712">
            <v>1700</v>
          </cell>
          <cell r="BL1712" t="str">
            <v>1</v>
          </cell>
          <cell r="BM1712" t="str">
            <v>1</v>
          </cell>
          <cell r="BN1712" t="str">
            <v/>
          </cell>
          <cell r="BO1712" t="str">
            <v/>
          </cell>
        </row>
        <row r="1713">
          <cell r="A1713">
            <v>1</v>
          </cell>
          <cell r="B1713">
            <v>1333580</v>
          </cell>
          <cell r="C1713" t="str">
            <v>GUILLOTINE</v>
          </cell>
          <cell r="D1713" t="str">
            <v/>
          </cell>
          <cell r="E1713" t="str">
            <v>O</v>
          </cell>
          <cell r="F1713">
            <v>0</v>
          </cell>
          <cell r="G1713">
            <v>0</v>
          </cell>
          <cell r="H1713">
            <v>4747</v>
          </cell>
          <cell r="I1713">
            <v>4747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4500</v>
          </cell>
          <cell r="W1713">
            <v>4500</v>
          </cell>
          <cell r="X1713">
            <v>4747</v>
          </cell>
          <cell r="Y1713">
            <v>4747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>
            <v>0</v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>
            <v>0</v>
          </cell>
          <cell r="AR1713">
            <v>290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240</v>
          </cell>
          <cell r="BJ1713" t="str">
            <v/>
          </cell>
          <cell r="BK1713">
            <v>1700</v>
          </cell>
          <cell r="BL1713" t="str">
            <v>1</v>
          </cell>
          <cell r="BM1713" t="str">
            <v>1</v>
          </cell>
          <cell r="BN1713" t="str">
            <v/>
          </cell>
          <cell r="BO1713" t="str">
            <v/>
          </cell>
        </row>
        <row r="1714">
          <cell r="A1714">
            <v>1</v>
          </cell>
          <cell r="B1714">
            <v>1333591</v>
          </cell>
          <cell r="C1714" t="str">
            <v>LAVEUSE A PRESSION</v>
          </cell>
          <cell r="D1714" t="str">
            <v/>
          </cell>
          <cell r="E1714" t="str">
            <v>O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1</v>
          </cell>
          <cell r="AN1714" t="str">
            <v/>
          </cell>
          <cell r="AO1714">
            <v>0</v>
          </cell>
          <cell r="AP1714">
            <v>0</v>
          </cell>
          <cell r="AQ1714">
            <v>0</v>
          </cell>
          <cell r="AR1714">
            <v>290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240</v>
          </cell>
          <cell r="BJ1714" t="str">
            <v/>
          </cell>
          <cell r="BK1714">
            <v>1700</v>
          </cell>
          <cell r="BL1714" t="str">
            <v>1</v>
          </cell>
          <cell r="BM1714" t="str">
            <v>1</v>
          </cell>
          <cell r="BN1714" t="str">
            <v/>
          </cell>
          <cell r="BO1714" t="str">
            <v/>
          </cell>
        </row>
        <row r="1715">
          <cell r="A1715">
            <v>1</v>
          </cell>
          <cell r="B1715">
            <v>4151221</v>
          </cell>
          <cell r="C1715" t="str">
            <v>RECLAMATIONS</v>
          </cell>
          <cell r="D1715" t="str">
            <v>522 BRUNS 22  LBS</v>
          </cell>
          <cell r="E1715" t="str">
            <v>O</v>
          </cell>
          <cell r="F1715">
            <v>0</v>
          </cell>
          <cell r="G1715">
            <v>0</v>
          </cell>
          <cell r="H1715">
            <v>2066.96</v>
          </cell>
          <cell r="I1715">
            <v>2066.96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2066.96</v>
          </cell>
          <cell r="T1715">
            <v>2066.96</v>
          </cell>
          <cell r="U1715">
            <v>2066.96</v>
          </cell>
          <cell r="V1715">
            <v>2066.96</v>
          </cell>
          <cell r="W1715">
            <v>2066.96</v>
          </cell>
          <cell r="X1715">
            <v>2066.96</v>
          </cell>
          <cell r="Y1715">
            <v>2066.96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1</v>
          </cell>
          <cell r="AN1715" t="str">
            <v/>
          </cell>
          <cell r="AO1715">
            <v>0</v>
          </cell>
          <cell r="AP1715">
            <v>0</v>
          </cell>
          <cell r="AQ1715">
            <v>0</v>
          </cell>
          <cell r="AR1715">
            <v>600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30522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 t="str">
            <v/>
          </cell>
          <cell r="BK1715">
            <v>4300</v>
          </cell>
          <cell r="BL1715" t="str">
            <v>0</v>
          </cell>
          <cell r="BM1715" t="str">
            <v>1</v>
          </cell>
          <cell r="BN1715" t="str">
            <v/>
          </cell>
          <cell r="BO1715" t="str">
            <v/>
          </cell>
        </row>
        <row r="1716">
          <cell r="A1716">
            <v>1</v>
          </cell>
          <cell r="B1716">
            <v>4597001</v>
          </cell>
          <cell r="C1716" t="str">
            <v>ENTRETIEN BATIMENT</v>
          </cell>
          <cell r="D1716" t="str">
            <v>CONFLIT BOITES PLAINTES</v>
          </cell>
          <cell r="E1716" t="str">
            <v>O</v>
          </cell>
          <cell r="F1716">
            <v>0</v>
          </cell>
          <cell r="G1716">
            <v>0</v>
          </cell>
          <cell r="H1716">
            <v>3605.15</v>
          </cell>
          <cell r="I1716">
            <v>7210.3</v>
          </cell>
          <cell r="J1716">
            <v>3605.15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3605.15</v>
          </cell>
          <cell r="T1716">
            <v>3605.15</v>
          </cell>
          <cell r="U1716">
            <v>3605.15</v>
          </cell>
          <cell r="V1716">
            <v>3605.15</v>
          </cell>
          <cell r="W1716">
            <v>3605.15</v>
          </cell>
          <cell r="X1716">
            <v>3605.15</v>
          </cell>
          <cell r="Y1716">
            <v>3605.15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0</v>
          </cell>
          <cell r="AK1716">
            <v>0</v>
          </cell>
          <cell r="AL1716">
            <v>0</v>
          </cell>
          <cell r="AM1716">
            <v>1</v>
          </cell>
          <cell r="AN1716" t="str">
            <v/>
          </cell>
          <cell r="AO1716">
            <v>0</v>
          </cell>
          <cell r="AP1716">
            <v>0</v>
          </cell>
          <cell r="AQ1716">
            <v>0</v>
          </cell>
          <cell r="AR1716">
            <v>810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 t="str">
            <v/>
          </cell>
          <cell r="BK1716">
            <v>7000</v>
          </cell>
          <cell r="BL1716" t="str">
            <v>0</v>
          </cell>
          <cell r="BM1716" t="str">
            <v>1</v>
          </cell>
          <cell r="BN1716" t="str">
            <v/>
          </cell>
          <cell r="BO1716" t="str">
            <v/>
          </cell>
        </row>
        <row r="1717">
          <cell r="A1717">
            <v>1</v>
          </cell>
          <cell r="B1717">
            <v>4802052</v>
          </cell>
          <cell r="C1717" t="str">
            <v>RÉCLAMATION SUR VENTE</v>
          </cell>
          <cell r="D1717" t="str">
            <v>DE SERVICE BOITES</v>
          </cell>
          <cell r="E1717" t="str">
            <v>O</v>
          </cell>
          <cell r="F1717">
            <v>0</v>
          </cell>
          <cell r="G1717">
            <v>0</v>
          </cell>
          <cell r="H1717">
            <v>1964.61</v>
          </cell>
          <cell r="I1717">
            <v>2538.44</v>
          </cell>
          <cell r="J1717">
            <v>573.83000000000004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66.849999999999994</v>
          </cell>
          <cell r="U1717">
            <v>266.66000000000003</v>
          </cell>
          <cell r="V1717">
            <v>1247.83</v>
          </cell>
          <cell r="W1717">
            <v>1558.58</v>
          </cell>
          <cell r="X1717">
            <v>1964.61</v>
          </cell>
          <cell r="Y1717">
            <v>1964.61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2</v>
          </cell>
          <cell r="AN1717" t="str">
            <v/>
          </cell>
          <cell r="AO1717">
            <v>0</v>
          </cell>
          <cell r="AP1717">
            <v>0</v>
          </cell>
          <cell r="AQ1717">
            <v>0</v>
          </cell>
          <cell r="AR1717">
            <v>800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 t="str">
            <v/>
          </cell>
          <cell r="BK1717">
            <v>4100</v>
          </cell>
          <cell r="BL1717" t="str">
            <v>0</v>
          </cell>
          <cell r="BM1717" t="str">
            <v>1</v>
          </cell>
          <cell r="BN1717" t="str">
            <v/>
          </cell>
          <cell r="BO1717" t="str">
            <v/>
          </cell>
        </row>
        <row r="1718">
          <cell r="A1718">
            <v>1</v>
          </cell>
          <cell r="B1718">
            <v>4141311</v>
          </cell>
          <cell r="C1718" t="str">
            <v>TRANSPORT</v>
          </cell>
          <cell r="D1718" t="str">
            <v>BRUN 31 LBS</v>
          </cell>
          <cell r="E1718" t="str">
            <v>O</v>
          </cell>
          <cell r="F1718">
            <v>0</v>
          </cell>
          <cell r="G1718">
            <v>0</v>
          </cell>
          <cell r="H1718">
            <v>530.28</v>
          </cell>
          <cell r="I1718">
            <v>1060.56</v>
          </cell>
          <cell r="J1718">
            <v>530.28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192.97</v>
          </cell>
          <cell r="T1718">
            <v>530.28</v>
          </cell>
          <cell r="U1718">
            <v>530.28</v>
          </cell>
          <cell r="V1718">
            <v>530.28</v>
          </cell>
          <cell r="W1718">
            <v>530.28</v>
          </cell>
          <cell r="X1718">
            <v>530.28</v>
          </cell>
          <cell r="Y1718">
            <v>530.28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1</v>
          </cell>
          <cell r="AN1718" t="str">
            <v/>
          </cell>
          <cell r="AO1718">
            <v>0</v>
          </cell>
          <cell r="AP1718">
            <v>0</v>
          </cell>
          <cell r="AQ1718">
            <v>0</v>
          </cell>
          <cell r="AR1718">
            <v>610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 t="str">
            <v/>
          </cell>
          <cell r="BK1718">
            <v>4200</v>
          </cell>
          <cell r="BL1718" t="str">
            <v>0</v>
          </cell>
          <cell r="BM1718" t="str">
            <v>1</v>
          </cell>
          <cell r="BN1718" t="str">
            <v/>
          </cell>
          <cell r="BO1718" t="str">
            <v/>
          </cell>
        </row>
        <row r="1719">
          <cell r="A1719">
            <v>1</v>
          </cell>
          <cell r="B1719">
            <v>4112512</v>
          </cell>
          <cell r="C1719" t="str">
            <v>AFFEX P/S BRUN</v>
          </cell>
          <cell r="D1719" t="str">
            <v>pn110251</v>
          </cell>
          <cell r="E1719" t="str">
            <v>O</v>
          </cell>
          <cell r="F1719">
            <v>0</v>
          </cell>
          <cell r="G1719">
            <v>0</v>
          </cell>
          <cell r="H1719">
            <v>21853.279999999999</v>
          </cell>
          <cell r="I1719">
            <v>0</v>
          </cell>
          <cell r="J1719">
            <v>21853.279999999999</v>
          </cell>
          <cell r="K1719">
            <v>0</v>
          </cell>
          <cell r="L1719">
            <v>0</v>
          </cell>
          <cell r="M1719">
            <v>13641.75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2452.23</v>
          </cell>
          <cell r="W1719">
            <v>9982.82</v>
          </cell>
          <cell r="X1719">
            <v>21853.279999999999</v>
          </cell>
          <cell r="Y1719">
            <v>35495.03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2</v>
          </cell>
          <cell r="AN1719" t="str">
            <v/>
          </cell>
          <cell r="AO1719">
            <v>0</v>
          </cell>
          <cell r="AP1719">
            <v>0</v>
          </cell>
          <cell r="AQ1719">
            <v>0</v>
          </cell>
          <cell r="AR1719">
            <v>600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21251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 t="str">
            <v/>
          </cell>
          <cell r="BK1719">
            <v>4000</v>
          </cell>
          <cell r="BL1719" t="str">
            <v>0</v>
          </cell>
          <cell r="BM1719" t="str">
            <v>1</v>
          </cell>
          <cell r="BN1719" t="str">
            <v/>
          </cell>
          <cell r="BO1719" t="str">
            <v/>
          </cell>
        </row>
        <row r="1720">
          <cell r="A1720">
            <v>1</v>
          </cell>
          <cell r="B1720">
            <v>4142512</v>
          </cell>
          <cell r="C1720" t="str">
            <v>TRANSPORT</v>
          </cell>
          <cell r="D1720" t="str">
            <v>AFFEX P/S BRUN</v>
          </cell>
          <cell r="E1720" t="str">
            <v>O</v>
          </cell>
          <cell r="F1720">
            <v>0</v>
          </cell>
          <cell r="G1720">
            <v>0</v>
          </cell>
          <cell r="H1720">
            <v>5636.91</v>
          </cell>
          <cell r="I1720">
            <v>5636.91</v>
          </cell>
          <cell r="J1720">
            <v>0</v>
          </cell>
          <cell r="K1720">
            <v>0</v>
          </cell>
          <cell r="L1720">
            <v>2098.21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1142.5999999999999</v>
          </cell>
          <cell r="W1720">
            <v>2600.9</v>
          </cell>
          <cell r="X1720">
            <v>5636.91</v>
          </cell>
          <cell r="Y1720">
            <v>7735.12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2</v>
          </cell>
          <cell r="AN1720" t="str">
            <v/>
          </cell>
          <cell r="AO1720">
            <v>0</v>
          </cell>
          <cell r="AP1720">
            <v>0</v>
          </cell>
          <cell r="AQ1720">
            <v>0</v>
          </cell>
          <cell r="AR1720">
            <v>610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21251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 t="str">
            <v/>
          </cell>
          <cell r="BK1720">
            <v>4200</v>
          </cell>
          <cell r="BL1720" t="str">
            <v>0</v>
          </cell>
          <cell r="BM1720" t="str">
            <v>1</v>
          </cell>
          <cell r="BN1720" t="str">
            <v/>
          </cell>
          <cell r="BO1720" t="str">
            <v/>
          </cell>
        </row>
        <row r="1721">
          <cell r="A1721">
            <v>1</v>
          </cell>
          <cell r="B1721">
            <v>4132512</v>
          </cell>
          <cell r="C1721" t="str">
            <v>ESCOMPTE</v>
          </cell>
          <cell r="D1721" t="str">
            <v>AFFEX P/S BRUN</v>
          </cell>
          <cell r="E1721" t="str">
            <v>O</v>
          </cell>
          <cell r="F1721">
            <v>0</v>
          </cell>
          <cell r="G1721">
            <v>0</v>
          </cell>
          <cell r="H1721">
            <v>368.62</v>
          </cell>
          <cell r="I1721">
            <v>368.62</v>
          </cell>
          <cell r="J1721">
            <v>0</v>
          </cell>
          <cell r="K1721">
            <v>0</v>
          </cell>
          <cell r="L1721">
            <v>364.63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143.08000000000001</v>
          </cell>
          <cell r="X1721">
            <v>368.62</v>
          </cell>
          <cell r="Y1721">
            <v>733.25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0</v>
          </cell>
          <cell r="AK1721">
            <v>0</v>
          </cell>
          <cell r="AL1721">
            <v>0</v>
          </cell>
          <cell r="AM1721">
            <v>2</v>
          </cell>
          <cell r="AN1721" t="str">
            <v/>
          </cell>
          <cell r="AO1721">
            <v>0</v>
          </cell>
          <cell r="AP1721">
            <v>0</v>
          </cell>
          <cell r="AQ1721">
            <v>0</v>
          </cell>
          <cell r="AR1721">
            <v>600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21251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 t="str">
            <v/>
          </cell>
          <cell r="BK1721">
            <v>4300</v>
          </cell>
          <cell r="BL1721" t="str">
            <v>0</v>
          </cell>
          <cell r="BM1721" t="str">
            <v>1</v>
          </cell>
          <cell r="BN1721" t="str">
            <v/>
          </cell>
          <cell r="BO1721" t="str">
            <v/>
          </cell>
        </row>
        <row r="1722">
          <cell r="A1722">
            <v>1</v>
          </cell>
          <cell r="B1722">
            <v>4112522</v>
          </cell>
          <cell r="C1722" t="str">
            <v>AFFEX P/S BLANC</v>
          </cell>
          <cell r="D1722" t="str">
            <v>pn110252</v>
          </cell>
          <cell r="E1722" t="str">
            <v>O</v>
          </cell>
          <cell r="F1722">
            <v>0</v>
          </cell>
          <cell r="G1722">
            <v>0</v>
          </cell>
          <cell r="H1722">
            <v>15884.01</v>
          </cell>
          <cell r="I1722">
            <v>0</v>
          </cell>
          <cell r="J1722">
            <v>15884.01</v>
          </cell>
          <cell r="K1722">
            <v>0</v>
          </cell>
          <cell r="L1722">
            <v>0</v>
          </cell>
          <cell r="M1722">
            <v>1009.46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1935.56</v>
          </cell>
          <cell r="W1722">
            <v>9860.7900000000009</v>
          </cell>
          <cell r="X1722">
            <v>15884.01</v>
          </cell>
          <cell r="Y1722">
            <v>16893.47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>
            <v>0</v>
          </cell>
          <cell r="AL1722">
            <v>0</v>
          </cell>
          <cell r="AM1722">
            <v>2</v>
          </cell>
          <cell r="AN1722" t="str">
            <v/>
          </cell>
          <cell r="AO1722">
            <v>0</v>
          </cell>
          <cell r="AP1722">
            <v>0</v>
          </cell>
          <cell r="AQ1722">
            <v>0</v>
          </cell>
          <cell r="AR1722">
            <v>600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21252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 t="str">
            <v/>
          </cell>
          <cell r="BK1722">
            <v>4000</v>
          </cell>
          <cell r="BL1722" t="str">
            <v>0</v>
          </cell>
          <cell r="BM1722" t="str">
            <v>1</v>
          </cell>
          <cell r="BN1722" t="str">
            <v/>
          </cell>
          <cell r="BO1722" t="str">
            <v/>
          </cell>
        </row>
        <row r="1723">
          <cell r="A1723">
            <v>1</v>
          </cell>
          <cell r="B1723">
            <v>4132522</v>
          </cell>
          <cell r="C1723" t="str">
            <v>ESCOMPTE</v>
          </cell>
          <cell r="D1723" t="str">
            <v>AFFEX P/S BLANC</v>
          </cell>
          <cell r="E1723" t="str">
            <v>O</v>
          </cell>
          <cell r="F1723">
            <v>0</v>
          </cell>
          <cell r="G1723">
            <v>0</v>
          </cell>
          <cell r="H1723">
            <v>265.01</v>
          </cell>
          <cell r="I1723">
            <v>265.01</v>
          </cell>
          <cell r="J1723">
            <v>0</v>
          </cell>
          <cell r="K1723">
            <v>0</v>
          </cell>
          <cell r="L1723">
            <v>26.99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150.58000000000001</v>
          </cell>
          <cell r="X1723">
            <v>265.01</v>
          </cell>
          <cell r="Y1723">
            <v>292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>
            <v>0</v>
          </cell>
          <cell r="AL1723">
            <v>0</v>
          </cell>
          <cell r="AM1723">
            <v>2</v>
          </cell>
          <cell r="AN1723" t="str">
            <v/>
          </cell>
          <cell r="AO1723">
            <v>0</v>
          </cell>
          <cell r="AP1723">
            <v>0</v>
          </cell>
          <cell r="AQ1723">
            <v>0</v>
          </cell>
          <cell r="AR1723">
            <v>600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21252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 t="str">
            <v/>
          </cell>
          <cell r="BK1723">
            <v>4300</v>
          </cell>
          <cell r="BL1723" t="str">
            <v>0</v>
          </cell>
          <cell r="BM1723" t="str">
            <v>1</v>
          </cell>
          <cell r="BN1723" t="str">
            <v/>
          </cell>
          <cell r="BO1723" t="str">
            <v/>
          </cell>
        </row>
        <row r="1724">
          <cell r="A1724">
            <v>1</v>
          </cell>
          <cell r="B1724">
            <v>4142522</v>
          </cell>
          <cell r="C1724" t="str">
            <v>TRANSPORT</v>
          </cell>
          <cell r="D1724" t="str">
            <v>AFFEX P/S BLANC</v>
          </cell>
          <cell r="E1724" t="str">
            <v>O</v>
          </cell>
          <cell r="F1724">
            <v>0</v>
          </cell>
          <cell r="G1724">
            <v>0</v>
          </cell>
          <cell r="H1724">
            <v>4507.46</v>
          </cell>
          <cell r="I1724">
            <v>4507.46</v>
          </cell>
          <cell r="J1724">
            <v>0</v>
          </cell>
          <cell r="K1724">
            <v>0</v>
          </cell>
          <cell r="L1724">
            <v>132.1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1027.1400000000001</v>
          </cell>
          <cell r="W1724">
            <v>2552.91</v>
          </cell>
          <cell r="X1724">
            <v>4507.46</v>
          </cell>
          <cell r="Y1724">
            <v>4639.5600000000004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>
            <v>0</v>
          </cell>
          <cell r="AL1724">
            <v>0</v>
          </cell>
          <cell r="AM1724">
            <v>2</v>
          </cell>
          <cell r="AN1724" t="str">
            <v/>
          </cell>
          <cell r="AO1724">
            <v>0</v>
          </cell>
          <cell r="AP1724">
            <v>0</v>
          </cell>
          <cell r="AQ1724">
            <v>0</v>
          </cell>
          <cell r="AR1724">
            <v>610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21252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 t="str">
            <v/>
          </cell>
          <cell r="BK1724">
            <v>4200</v>
          </cell>
          <cell r="BL1724" t="str">
            <v>0</v>
          </cell>
          <cell r="BM1724" t="str">
            <v>1</v>
          </cell>
          <cell r="BN1724" t="str">
            <v/>
          </cell>
          <cell r="BO1724" t="str">
            <v/>
          </cell>
        </row>
        <row r="1725">
          <cell r="A1725">
            <v>1</v>
          </cell>
          <cell r="B1725">
            <v>4112532</v>
          </cell>
          <cell r="C1725" t="str">
            <v>AFFEX P/M BRUN</v>
          </cell>
          <cell r="D1725" t="str">
            <v>pn110253</v>
          </cell>
          <cell r="E1725" t="str">
            <v>O</v>
          </cell>
          <cell r="F1725">
            <v>0</v>
          </cell>
          <cell r="G1725">
            <v>0</v>
          </cell>
          <cell r="H1725">
            <v>58299.54</v>
          </cell>
          <cell r="I1725">
            <v>0</v>
          </cell>
          <cell r="J1725">
            <v>58299.54</v>
          </cell>
          <cell r="K1725">
            <v>0</v>
          </cell>
          <cell r="L1725">
            <v>0</v>
          </cell>
          <cell r="M1725">
            <v>28609.759999999998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6901.91</v>
          </cell>
          <cell r="W1725">
            <v>31167.07</v>
          </cell>
          <cell r="X1725">
            <v>58299.54</v>
          </cell>
          <cell r="Y1725">
            <v>86909.3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0</v>
          </cell>
          <cell r="AK1725">
            <v>0</v>
          </cell>
          <cell r="AL1725">
            <v>0</v>
          </cell>
          <cell r="AM1725">
            <v>2</v>
          </cell>
          <cell r="AN1725" t="str">
            <v/>
          </cell>
          <cell r="AO1725">
            <v>0</v>
          </cell>
          <cell r="AP1725">
            <v>0</v>
          </cell>
          <cell r="AQ1725">
            <v>0</v>
          </cell>
          <cell r="AR1725">
            <v>600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21253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 t="str">
            <v/>
          </cell>
          <cell r="BK1725">
            <v>4000</v>
          </cell>
          <cell r="BL1725" t="str">
            <v>0</v>
          </cell>
          <cell r="BM1725" t="str">
            <v>1</v>
          </cell>
          <cell r="BN1725" t="str">
            <v/>
          </cell>
          <cell r="BO1725" t="str">
            <v/>
          </cell>
        </row>
        <row r="1726">
          <cell r="A1726">
            <v>1</v>
          </cell>
          <cell r="B1726">
            <v>4132532</v>
          </cell>
          <cell r="C1726" t="str">
            <v>ESCOMPTE</v>
          </cell>
          <cell r="D1726" t="str">
            <v>AFFEX P/M BRUN</v>
          </cell>
          <cell r="E1726" t="str">
            <v>O</v>
          </cell>
          <cell r="F1726">
            <v>0</v>
          </cell>
          <cell r="G1726">
            <v>0</v>
          </cell>
          <cell r="H1726">
            <v>976.56</v>
          </cell>
          <cell r="I1726">
            <v>976.56</v>
          </cell>
          <cell r="J1726">
            <v>0</v>
          </cell>
          <cell r="K1726">
            <v>0</v>
          </cell>
          <cell r="L1726">
            <v>764.72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461.04</v>
          </cell>
          <cell r="X1726">
            <v>976.56</v>
          </cell>
          <cell r="Y1726">
            <v>1741.28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0</v>
          </cell>
          <cell r="AK1726">
            <v>0</v>
          </cell>
          <cell r="AL1726">
            <v>0</v>
          </cell>
          <cell r="AM1726">
            <v>2</v>
          </cell>
          <cell r="AN1726" t="str">
            <v/>
          </cell>
          <cell r="AO1726">
            <v>0</v>
          </cell>
          <cell r="AP1726">
            <v>0</v>
          </cell>
          <cell r="AQ1726">
            <v>0</v>
          </cell>
          <cell r="AR1726">
            <v>600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21253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 t="str">
            <v/>
          </cell>
          <cell r="BK1726">
            <v>4300</v>
          </cell>
          <cell r="BL1726" t="str">
            <v>0</v>
          </cell>
          <cell r="BM1726" t="str">
            <v>1</v>
          </cell>
          <cell r="BN1726" t="str">
            <v/>
          </cell>
          <cell r="BO1726" t="str">
            <v/>
          </cell>
        </row>
        <row r="1727">
          <cell r="A1727">
            <v>1</v>
          </cell>
          <cell r="B1727">
            <v>4142532</v>
          </cell>
          <cell r="C1727" t="str">
            <v>TRANSPORT</v>
          </cell>
          <cell r="D1727" t="str">
            <v>AFFEX P/M BRUN</v>
          </cell>
          <cell r="E1727" t="str">
            <v>O</v>
          </cell>
          <cell r="F1727">
            <v>0</v>
          </cell>
          <cell r="G1727">
            <v>0</v>
          </cell>
          <cell r="H1727">
            <v>13950.48</v>
          </cell>
          <cell r="I1727">
            <v>13950.48</v>
          </cell>
          <cell r="J1727">
            <v>0</v>
          </cell>
          <cell r="K1727">
            <v>0</v>
          </cell>
          <cell r="L1727">
            <v>3838.2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1646.54</v>
          </cell>
          <cell r="W1727">
            <v>6459.18</v>
          </cell>
          <cell r="X1727">
            <v>13950.48</v>
          </cell>
          <cell r="Y1727">
            <v>17788.68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2</v>
          </cell>
          <cell r="AN1727" t="str">
            <v/>
          </cell>
          <cell r="AO1727">
            <v>0</v>
          </cell>
          <cell r="AP1727">
            <v>0</v>
          </cell>
          <cell r="AQ1727">
            <v>0</v>
          </cell>
          <cell r="AR1727">
            <v>610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21253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 t="str">
            <v/>
          </cell>
          <cell r="BK1727">
            <v>4200</v>
          </cell>
          <cell r="BL1727" t="str">
            <v>0</v>
          </cell>
          <cell r="BM1727" t="str">
            <v>1</v>
          </cell>
          <cell r="BN1727" t="str">
            <v/>
          </cell>
          <cell r="BO1727" t="str">
            <v/>
          </cell>
        </row>
        <row r="1728">
          <cell r="A1728">
            <v>1</v>
          </cell>
          <cell r="B1728">
            <v>4112542</v>
          </cell>
          <cell r="C1728" t="str">
            <v>AFFEX P/M BLANC</v>
          </cell>
          <cell r="D1728" t="str">
            <v>pn110254</v>
          </cell>
          <cell r="E1728" t="str">
            <v>O</v>
          </cell>
          <cell r="F1728">
            <v>0</v>
          </cell>
          <cell r="G1728">
            <v>0</v>
          </cell>
          <cell r="H1728">
            <v>41133.68</v>
          </cell>
          <cell r="I1728">
            <v>0</v>
          </cell>
          <cell r="J1728">
            <v>41133.68</v>
          </cell>
          <cell r="K1728">
            <v>0</v>
          </cell>
          <cell r="L1728">
            <v>0</v>
          </cell>
          <cell r="M1728">
            <v>20189.13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9247.68</v>
          </cell>
          <cell r="W1728">
            <v>27079.5</v>
          </cell>
          <cell r="X1728">
            <v>41133.68</v>
          </cell>
          <cell r="Y1728">
            <v>61322.81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0</v>
          </cell>
          <cell r="AK1728">
            <v>0</v>
          </cell>
          <cell r="AL1728">
            <v>0</v>
          </cell>
          <cell r="AM1728">
            <v>2</v>
          </cell>
          <cell r="AN1728" t="str">
            <v/>
          </cell>
          <cell r="AO1728">
            <v>0</v>
          </cell>
          <cell r="AP1728">
            <v>0</v>
          </cell>
          <cell r="AQ1728">
            <v>0</v>
          </cell>
          <cell r="AR1728">
            <v>600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21254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 t="str">
            <v/>
          </cell>
          <cell r="BK1728">
            <v>4000</v>
          </cell>
          <cell r="BL1728" t="str">
            <v>0</v>
          </cell>
          <cell r="BM1728" t="str">
            <v>1</v>
          </cell>
          <cell r="BN1728" t="str">
            <v/>
          </cell>
          <cell r="BO1728" t="str">
            <v/>
          </cell>
        </row>
        <row r="1729">
          <cell r="A1729">
            <v>1</v>
          </cell>
          <cell r="B1729">
            <v>4132542</v>
          </cell>
          <cell r="C1729" t="str">
            <v>ESCOMPTE</v>
          </cell>
          <cell r="D1729" t="str">
            <v>AFFEX P/M BLANC</v>
          </cell>
          <cell r="E1729" t="str">
            <v>O</v>
          </cell>
          <cell r="F1729">
            <v>0</v>
          </cell>
          <cell r="G1729">
            <v>0</v>
          </cell>
          <cell r="H1729">
            <v>605.83000000000004</v>
          </cell>
          <cell r="I1729">
            <v>605.83000000000004</v>
          </cell>
          <cell r="J1729">
            <v>0</v>
          </cell>
          <cell r="K1729">
            <v>0</v>
          </cell>
          <cell r="L1729">
            <v>539.63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338.8</v>
          </cell>
          <cell r="X1729">
            <v>605.83000000000004</v>
          </cell>
          <cell r="Y1729">
            <v>1145.46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>
            <v>0</v>
          </cell>
          <cell r="AL1729">
            <v>0</v>
          </cell>
          <cell r="AM1729">
            <v>2</v>
          </cell>
          <cell r="AN1729" t="str">
            <v/>
          </cell>
          <cell r="AO1729">
            <v>0</v>
          </cell>
          <cell r="AP1729">
            <v>0</v>
          </cell>
          <cell r="AQ1729">
            <v>0</v>
          </cell>
          <cell r="AR1729">
            <v>600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21254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 t="str">
            <v/>
          </cell>
          <cell r="BK1729">
            <v>4300</v>
          </cell>
          <cell r="BL1729" t="str">
            <v>0</v>
          </cell>
          <cell r="BM1729" t="str">
            <v>1</v>
          </cell>
          <cell r="BN1729" t="str">
            <v/>
          </cell>
          <cell r="BO1729" t="str">
            <v/>
          </cell>
        </row>
        <row r="1730">
          <cell r="A1730">
            <v>1</v>
          </cell>
          <cell r="B1730">
            <v>4142542</v>
          </cell>
          <cell r="C1730" t="str">
            <v>TRANSPORT</v>
          </cell>
          <cell r="D1730" t="str">
            <v>AFFEX P/M BLANC</v>
          </cell>
          <cell r="E1730" t="str">
            <v>O</v>
          </cell>
          <cell r="F1730">
            <v>0</v>
          </cell>
          <cell r="G1730">
            <v>0</v>
          </cell>
          <cell r="H1730">
            <v>7974.48</v>
          </cell>
          <cell r="I1730">
            <v>7974.48</v>
          </cell>
          <cell r="J1730">
            <v>0</v>
          </cell>
          <cell r="K1730">
            <v>0</v>
          </cell>
          <cell r="L1730">
            <v>2536.4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3256.31</v>
          </cell>
          <cell r="W1730">
            <v>5391.47</v>
          </cell>
          <cell r="X1730">
            <v>7974.48</v>
          </cell>
          <cell r="Y1730">
            <v>10510.88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>
            <v>0</v>
          </cell>
          <cell r="AL1730">
            <v>0</v>
          </cell>
          <cell r="AM1730">
            <v>2</v>
          </cell>
          <cell r="AN1730" t="str">
            <v/>
          </cell>
          <cell r="AO1730">
            <v>0</v>
          </cell>
          <cell r="AP1730">
            <v>0</v>
          </cell>
          <cell r="AQ1730">
            <v>0</v>
          </cell>
          <cell r="AR1730">
            <v>610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21254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 t="str">
            <v/>
          </cell>
          <cell r="BK1730">
            <v>4200</v>
          </cell>
          <cell r="BL1730" t="str">
            <v>0</v>
          </cell>
          <cell r="BM1730" t="str">
            <v>1</v>
          </cell>
          <cell r="BN1730" t="str">
            <v/>
          </cell>
          <cell r="BO1730" t="str">
            <v/>
          </cell>
        </row>
        <row r="1731">
          <cell r="A1731">
            <v>1</v>
          </cell>
          <cell r="B1731">
            <v>4112552</v>
          </cell>
          <cell r="C1731" t="str">
            <v>AFFEX P/C BLANC</v>
          </cell>
          <cell r="D1731" t="str">
            <v>pn110255</v>
          </cell>
          <cell r="E1731" t="str">
            <v>O</v>
          </cell>
          <cell r="F1731">
            <v>0</v>
          </cell>
          <cell r="G1731">
            <v>0</v>
          </cell>
          <cell r="H1731">
            <v>72288.990000000005</v>
          </cell>
          <cell r="I1731">
            <v>0</v>
          </cell>
          <cell r="J1731">
            <v>72288.990000000005</v>
          </cell>
          <cell r="K1731">
            <v>0</v>
          </cell>
          <cell r="L1731">
            <v>0</v>
          </cell>
          <cell r="M1731">
            <v>11855.2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28069.43</v>
          </cell>
          <cell r="W1731">
            <v>52105.65</v>
          </cell>
          <cell r="X1731">
            <v>72288.990000000005</v>
          </cell>
          <cell r="Y1731">
            <v>84144.19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2</v>
          </cell>
          <cell r="AN1731" t="str">
            <v/>
          </cell>
          <cell r="AO1731">
            <v>0</v>
          </cell>
          <cell r="AP1731">
            <v>0</v>
          </cell>
          <cell r="AQ1731">
            <v>0</v>
          </cell>
          <cell r="AR1731">
            <v>600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21255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 t="str">
            <v/>
          </cell>
          <cell r="BK1731">
            <v>4000</v>
          </cell>
          <cell r="BL1731" t="str">
            <v>0</v>
          </cell>
          <cell r="BM1731" t="str">
            <v>1</v>
          </cell>
          <cell r="BN1731" t="str">
            <v/>
          </cell>
          <cell r="BO1731" t="str">
            <v/>
          </cell>
        </row>
        <row r="1732">
          <cell r="A1732">
            <v>1</v>
          </cell>
          <cell r="B1732">
            <v>4132552</v>
          </cell>
          <cell r="C1732" t="str">
            <v>ESCOMPTE</v>
          </cell>
          <cell r="D1732" t="str">
            <v>AFFEX P/C BLANC</v>
          </cell>
          <cell r="E1732" t="str">
            <v>O</v>
          </cell>
          <cell r="F1732">
            <v>0</v>
          </cell>
          <cell r="G1732">
            <v>0</v>
          </cell>
          <cell r="H1732">
            <v>840.17</v>
          </cell>
          <cell r="I1732">
            <v>840.17</v>
          </cell>
          <cell r="J1732">
            <v>0</v>
          </cell>
          <cell r="K1732">
            <v>0</v>
          </cell>
          <cell r="L1732">
            <v>316.88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456.69</v>
          </cell>
          <cell r="X1732">
            <v>840.17</v>
          </cell>
          <cell r="Y1732">
            <v>1157.05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0</v>
          </cell>
          <cell r="AK1732">
            <v>0</v>
          </cell>
          <cell r="AL1732">
            <v>0</v>
          </cell>
          <cell r="AM1732">
            <v>2</v>
          </cell>
          <cell r="AN1732" t="str">
            <v/>
          </cell>
          <cell r="AO1732">
            <v>0</v>
          </cell>
          <cell r="AP1732">
            <v>0</v>
          </cell>
          <cell r="AQ1732">
            <v>0</v>
          </cell>
          <cell r="AR1732">
            <v>600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21255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 t="str">
            <v/>
          </cell>
          <cell r="BK1732">
            <v>4300</v>
          </cell>
          <cell r="BL1732" t="str">
            <v>0</v>
          </cell>
          <cell r="BM1732" t="str">
            <v>1</v>
          </cell>
          <cell r="BN1732" t="str">
            <v/>
          </cell>
          <cell r="BO1732" t="str">
            <v/>
          </cell>
        </row>
        <row r="1733">
          <cell r="A1733">
            <v>1</v>
          </cell>
          <cell r="B1733">
            <v>4142552</v>
          </cell>
          <cell r="C1733" t="str">
            <v>TRANSPORT</v>
          </cell>
          <cell r="D1733" t="str">
            <v>AFFEX P/C BLANC</v>
          </cell>
          <cell r="E1733" t="str">
            <v>O</v>
          </cell>
          <cell r="F1733">
            <v>0</v>
          </cell>
          <cell r="G1733">
            <v>0</v>
          </cell>
          <cell r="H1733">
            <v>17410.04</v>
          </cell>
          <cell r="I1733">
            <v>19045.04</v>
          </cell>
          <cell r="J1733">
            <v>1635</v>
          </cell>
          <cell r="K1733">
            <v>0</v>
          </cell>
          <cell r="L1733">
            <v>1752.95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6316.22</v>
          </cell>
          <cell r="W1733">
            <v>12266.36</v>
          </cell>
          <cell r="X1733">
            <v>17410.04</v>
          </cell>
          <cell r="Y1733">
            <v>19162.990000000002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2</v>
          </cell>
          <cell r="AN1733" t="str">
            <v/>
          </cell>
          <cell r="AO1733">
            <v>0</v>
          </cell>
          <cell r="AP1733">
            <v>0</v>
          </cell>
          <cell r="AQ1733">
            <v>0</v>
          </cell>
          <cell r="AR1733">
            <v>610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21255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 t="str">
            <v/>
          </cell>
          <cell r="BK1733">
            <v>4200</v>
          </cell>
          <cell r="BL1733" t="str">
            <v>0</v>
          </cell>
          <cell r="BM1733" t="str">
            <v>1</v>
          </cell>
          <cell r="BN1733" t="str">
            <v/>
          </cell>
          <cell r="BO1733" t="str">
            <v/>
          </cell>
        </row>
        <row r="1734">
          <cell r="A1734">
            <v>1</v>
          </cell>
          <cell r="B1734">
            <v>4112562</v>
          </cell>
          <cell r="C1734" t="str">
            <v>AFFEX P/C BRUN</v>
          </cell>
          <cell r="D1734" t="str">
            <v>pn110256</v>
          </cell>
          <cell r="E1734" t="str">
            <v>O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0</v>
          </cell>
          <cell r="AK1734">
            <v>0</v>
          </cell>
          <cell r="AL1734">
            <v>0</v>
          </cell>
          <cell r="AM1734">
            <v>2</v>
          </cell>
          <cell r="AN1734" t="str">
            <v/>
          </cell>
          <cell r="AO1734">
            <v>0</v>
          </cell>
          <cell r="AP1734">
            <v>0</v>
          </cell>
          <cell r="AQ1734">
            <v>0</v>
          </cell>
          <cell r="AR1734">
            <v>600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21256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 t="str">
            <v/>
          </cell>
          <cell r="BK1734">
            <v>4000</v>
          </cell>
          <cell r="BL1734" t="str">
            <v>0</v>
          </cell>
          <cell r="BM1734" t="str">
            <v>1</v>
          </cell>
          <cell r="BN1734" t="str">
            <v/>
          </cell>
          <cell r="BO1734" t="str">
            <v/>
          </cell>
        </row>
        <row r="1735">
          <cell r="A1735">
            <v>1</v>
          </cell>
          <cell r="B1735">
            <v>4142562</v>
          </cell>
          <cell r="C1735" t="str">
            <v>TRANSPORT</v>
          </cell>
          <cell r="D1735" t="str">
            <v>AFFEX P/C BRUN</v>
          </cell>
          <cell r="E1735" t="str">
            <v>O</v>
          </cell>
          <cell r="F1735">
            <v>0</v>
          </cell>
          <cell r="G1735">
            <v>0</v>
          </cell>
          <cell r="H1735">
            <v>1149.79</v>
          </cell>
          <cell r="I1735">
            <v>1149.79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884.68</v>
          </cell>
          <cell r="W1735">
            <v>1148.29</v>
          </cell>
          <cell r="X1735">
            <v>1149.79</v>
          </cell>
          <cell r="Y1735">
            <v>1149.79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>
            <v>0</v>
          </cell>
          <cell r="AL1735">
            <v>0</v>
          </cell>
          <cell r="AM1735">
            <v>2</v>
          </cell>
          <cell r="AN1735" t="str">
            <v/>
          </cell>
          <cell r="AO1735">
            <v>0</v>
          </cell>
          <cell r="AP1735">
            <v>0</v>
          </cell>
          <cell r="AQ1735">
            <v>0</v>
          </cell>
          <cell r="AR1735">
            <v>610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21256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 t="str">
            <v/>
          </cell>
          <cell r="BK1735">
            <v>4200</v>
          </cell>
          <cell r="BL1735" t="str">
            <v>0</v>
          </cell>
          <cell r="BM1735" t="str">
            <v>1</v>
          </cell>
          <cell r="BN1735" t="str">
            <v/>
          </cell>
          <cell r="BO1735" t="str">
            <v/>
          </cell>
        </row>
        <row r="1736">
          <cell r="A1736">
            <v>1</v>
          </cell>
          <cell r="B1736">
            <v>4133082</v>
          </cell>
          <cell r="C1736" t="str">
            <v>ESCOMPTE</v>
          </cell>
          <cell r="D1736" t="str">
            <v>pn101308</v>
          </cell>
          <cell r="E1736" t="str">
            <v>O</v>
          </cell>
          <cell r="F1736">
            <v>0</v>
          </cell>
          <cell r="G1736">
            <v>0</v>
          </cell>
          <cell r="H1736">
            <v>125</v>
          </cell>
          <cell r="I1736">
            <v>125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52.04</v>
          </cell>
          <cell r="U1736">
            <v>76.36</v>
          </cell>
          <cell r="V1736">
            <v>76.36</v>
          </cell>
          <cell r="W1736">
            <v>100.68</v>
          </cell>
          <cell r="X1736">
            <v>125</v>
          </cell>
          <cell r="Y1736">
            <v>125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>
            <v>0</v>
          </cell>
          <cell r="AL1736">
            <v>0</v>
          </cell>
          <cell r="AM1736">
            <v>2</v>
          </cell>
          <cell r="AN1736" t="str">
            <v/>
          </cell>
          <cell r="AO1736">
            <v>0</v>
          </cell>
          <cell r="AP1736">
            <v>0</v>
          </cell>
          <cell r="AQ1736">
            <v>0</v>
          </cell>
          <cell r="AR1736">
            <v>600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20308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 t="str">
            <v/>
          </cell>
          <cell r="BK1736">
            <v>4300</v>
          </cell>
          <cell r="BL1736" t="str">
            <v>0</v>
          </cell>
          <cell r="BM1736" t="str">
            <v>1</v>
          </cell>
          <cell r="BN1736" t="str">
            <v/>
          </cell>
          <cell r="BO1736" t="str">
            <v/>
          </cell>
        </row>
        <row r="1737">
          <cell r="A1737">
            <v>1</v>
          </cell>
          <cell r="B1737">
            <v>4295722</v>
          </cell>
          <cell r="C1737" t="str">
            <v>PERKINS BRUN S\F 4M</v>
          </cell>
          <cell r="D1737" t="str">
            <v>1015724434</v>
          </cell>
          <cell r="E1737" t="str">
            <v>O</v>
          </cell>
          <cell r="F1737">
            <v>0</v>
          </cell>
          <cell r="G1737">
            <v>0</v>
          </cell>
          <cell r="H1737">
            <v>7983.51</v>
          </cell>
          <cell r="I1737">
            <v>9621.7099999999991</v>
          </cell>
          <cell r="J1737">
            <v>1638.2</v>
          </cell>
          <cell r="K1737">
            <v>0</v>
          </cell>
          <cell r="L1737">
            <v>1719.6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1152.49</v>
          </cell>
          <cell r="U1737">
            <v>2853.81</v>
          </cell>
          <cell r="V1737">
            <v>4914.9399999999996</v>
          </cell>
          <cell r="W1737">
            <v>6477.14</v>
          </cell>
          <cell r="X1737">
            <v>7983.51</v>
          </cell>
          <cell r="Y1737">
            <v>9703.11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2</v>
          </cell>
          <cell r="AN1737" t="str">
            <v/>
          </cell>
          <cell r="AO1737">
            <v>0</v>
          </cell>
          <cell r="AP1737">
            <v>0</v>
          </cell>
          <cell r="AQ1737">
            <v>0</v>
          </cell>
          <cell r="AR1737">
            <v>600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20572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 t="str">
            <v/>
          </cell>
          <cell r="BK1737">
            <v>4000</v>
          </cell>
          <cell r="BL1737" t="str">
            <v>0</v>
          </cell>
          <cell r="BM1737" t="str">
            <v>1</v>
          </cell>
          <cell r="BN1737" t="str">
            <v/>
          </cell>
          <cell r="BO1737" t="str">
            <v/>
          </cell>
        </row>
        <row r="1738">
          <cell r="A1738">
            <v>1</v>
          </cell>
          <cell r="B1738">
            <v>4295732</v>
          </cell>
          <cell r="C1738" t="str">
            <v>BOITES DE CARTON</v>
          </cell>
          <cell r="D1738" t="str">
            <v>1015734435</v>
          </cell>
          <cell r="E1738" t="str">
            <v>O</v>
          </cell>
          <cell r="F1738">
            <v>0</v>
          </cell>
          <cell r="G1738">
            <v>0</v>
          </cell>
          <cell r="H1738">
            <v>13295.2</v>
          </cell>
          <cell r="I1738">
            <v>17279.650000000001</v>
          </cell>
          <cell r="J1738">
            <v>3984.45</v>
          </cell>
          <cell r="K1738">
            <v>0</v>
          </cell>
          <cell r="L1738">
            <v>1335.9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1208.6099999999999</v>
          </cell>
          <cell r="U1738">
            <v>3619.47</v>
          </cell>
          <cell r="V1738">
            <v>6254.13</v>
          </cell>
          <cell r="W1738">
            <v>10130.879999999999</v>
          </cell>
          <cell r="X1738">
            <v>13295.2</v>
          </cell>
          <cell r="Y1738">
            <v>14631.1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2</v>
          </cell>
          <cell r="AN1738" t="str">
            <v/>
          </cell>
          <cell r="AO1738">
            <v>0</v>
          </cell>
          <cell r="AP1738">
            <v>0</v>
          </cell>
          <cell r="AQ1738">
            <v>0</v>
          </cell>
          <cell r="AR1738">
            <v>740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20573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 t="str">
            <v/>
          </cell>
          <cell r="BK1738">
            <v>6300</v>
          </cell>
          <cell r="BL1738" t="str">
            <v>0</v>
          </cell>
          <cell r="BM1738" t="str">
            <v>1</v>
          </cell>
          <cell r="BN1738" t="str">
            <v/>
          </cell>
          <cell r="BO1738" t="str">
            <v/>
          </cell>
        </row>
        <row r="1739">
          <cell r="A1739">
            <v>1</v>
          </cell>
          <cell r="B1739">
            <v>4291002</v>
          </cell>
          <cell r="C1739" t="str">
            <v>DIVISEUR PROD SHRINK</v>
          </cell>
          <cell r="D1739" t="str">
            <v xml:space="preserve">      4461</v>
          </cell>
          <cell r="E1739" t="str">
            <v>O</v>
          </cell>
          <cell r="F1739">
            <v>0</v>
          </cell>
          <cell r="G1739">
            <v>0</v>
          </cell>
          <cell r="H1739">
            <v>12426.32</v>
          </cell>
          <cell r="I1739">
            <v>15348.99</v>
          </cell>
          <cell r="J1739">
            <v>2922.67</v>
          </cell>
          <cell r="K1739">
            <v>0</v>
          </cell>
          <cell r="L1739">
            <v>13985.9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2266.9</v>
          </cell>
          <cell r="U1739">
            <v>4668.91</v>
          </cell>
          <cell r="V1739">
            <v>6607.1</v>
          </cell>
          <cell r="W1739">
            <v>9422.4699999999993</v>
          </cell>
          <cell r="X1739">
            <v>12426.32</v>
          </cell>
          <cell r="Y1739">
            <v>26412.22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0</v>
          </cell>
          <cell r="AK1739">
            <v>0</v>
          </cell>
          <cell r="AL1739">
            <v>0</v>
          </cell>
          <cell r="AM1739">
            <v>2</v>
          </cell>
          <cell r="AN1739" t="str">
            <v/>
          </cell>
          <cell r="AO1739">
            <v>0</v>
          </cell>
          <cell r="AP1739">
            <v>0</v>
          </cell>
          <cell r="AQ1739">
            <v>0</v>
          </cell>
          <cell r="AR1739">
            <v>740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1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 t="str">
            <v/>
          </cell>
          <cell r="BK1739">
            <v>6300</v>
          </cell>
          <cell r="BL1739" t="str">
            <v>0</v>
          </cell>
          <cell r="BM1739" t="str">
            <v>1</v>
          </cell>
          <cell r="BN1739" t="str">
            <v/>
          </cell>
          <cell r="BO1739" t="str">
            <v/>
          </cell>
        </row>
        <row r="1740">
          <cell r="A1740">
            <v>1</v>
          </cell>
          <cell r="B1740">
            <v>4295752</v>
          </cell>
          <cell r="C1740" t="str">
            <v>BOITES DE CARTON</v>
          </cell>
          <cell r="D1740" t="str">
            <v>1015754436</v>
          </cell>
          <cell r="E1740" t="str">
            <v>O</v>
          </cell>
          <cell r="F1740">
            <v>0</v>
          </cell>
          <cell r="G1740">
            <v>0</v>
          </cell>
          <cell r="H1740">
            <v>3889.06</v>
          </cell>
          <cell r="I1740">
            <v>4729.47</v>
          </cell>
          <cell r="J1740">
            <v>840.41</v>
          </cell>
          <cell r="K1740">
            <v>0</v>
          </cell>
          <cell r="L1740">
            <v>920.18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1466.54</v>
          </cell>
          <cell r="U1740">
            <v>1832.17</v>
          </cell>
          <cell r="V1740">
            <v>2345.21</v>
          </cell>
          <cell r="W1740">
            <v>3169.29</v>
          </cell>
          <cell r="X1740">
            <v>3889.06</v>
          </cell>
          <cell r="Y1740">
            <v>4809.24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>
            <v>0</v>
          </cell>
          <cell r="AL1740">
            <v>0</v>
          </cell>
          <cell r="AM1740">
            <v>2</v>
          </cell>
          <cell r="AN1740" t="str">
            <v/>
          </cell>
          <cell r="AO1740">
            <v>0</v>
          </cell>
          <cell r="AP1740">
            <v>0</v>
          </cell>
          <cell r="AQ1740">
            <v>0</v>
          </cell>
          <cell r="AR1740">
            <v>740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20575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 t="str">
            <v/>
          </cell>
          <cell r="BK1740">
            <v>6300</v>
          </cell>
          <cell r="BL1740" t="str">
            <v>0</v>
          </cell>
          <cell r="BM1740" t="str">
            <v>1</v>
          </cell>
          <cell r="BN1740" t="str">
            <v/>
          </cell>
          <cell r="BO1740" t="str">
            <v/>
          </cell>
        </row>
        <row r="1741">
          <cell r="A1741">
            <v>1</v>
          </cell>
          <cell r="B1741">
            <v>4295802</v>
          </cell>
          <cell r="C1741" t="str">
            <v>BOITES DE CARTON</v>
          </cell>
          <cell r="D1741" t="str">
            <v>101580</v>
          </cell>
          <cell r="E1741" t="str">
            <v>O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0</v>
          </cell>
          <cell r="AK1741">
            <v>0</v>
          </cell>
          <cell r="AL1741">
            <v>0</v>
          </cell>
          <cell r="AM1741">
            <v>2</v>
          </cell>
          <cell r="AN1741" t="str">
            <v/>
          </cell>
          <cell r="AO1741">
            <v>0</v>
          </cell>
          <cell r="AP1741">
            <v>0</v>
          </cell>
          <cell r="AQ1741">
            <v>0</v>
          </cell>
          <cell r="AR1741">
            <v>740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20580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 t="str">
            <v/>
          </cell>
          <cell r="BK1741">
            <v>6300</v>
          </cell>
          <cell r="BL1741" t="str">
            <v>0</v>
          </cell>
          <cell r="BM1741" t="str">
            <v>1</v>
          </cell>
          <cell r="BN1741" t="str">
            <v/>
          </cell>
          <cell r="BO1741" t="str">
            <v/>
          </cell>
        </row>
        <row r="1742">
          <cell r="A1742">
            <v>1</v>
          </cell>
          <cell r="B1742">
            <v>4298002</v>
          </cell>
          <cell r="C1742" t="str">
            <v>BOITES DE CARTON</v>
          </cell>
          <cell r="D1742" t="str">
            <v>1018004400</v>
          </cell>
          <cell r="E1742" t="str">
            <v>O</v>
          </cell>
          <cell r="F1742">
            <v>0</v>
          </cell>
          <cell r="G1742">
            <v>0</v>
          </cell>
          <cell r="H1742">
            <v>0.28999999999999998</v>
          </cell>
          <cell r="I1742">
            <v>0.28999999999999998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0.28999999999999998</v>
          </cell>
          <cell r="W1742">
            <v>0.28999999999999998</v>
          </cell>
          <cell r="X1742">
            <v>0.28999999999999998</v>
          </cell>
          <cell r="Y1742">
            <v>0.28999999999999998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>
            <v>0</v>
          </cell>
          <cell r="AL1742">
            <v>0</v>
          </cell>
          <cell r="AM1742">
            <v>2</v>
          </cell>
          <cell r="AN1742" t="str">
            <v/>
          </cell>
          <cell r="AO1742">
            <v>0</v>
          </cell>
          <cell r="AP1742">
            <v>0</v>
          </cell>
          <cell r="AQ1742">
            <v>0</v>
          </cell>
          <cell r="AR1742">
            <v>740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 t="str">
            <v/>
          </cell>
          <cell r="BK1742">
            <v>6300</v>
          </cell>
          <cell r="BL1742" t="str">
            <v>0</v>
          </cell>
          <cell r="BM1742" t="str">
            <v>1</v>
          </cell>
          <cell r="BN1742" t="str">
            <v/>
          </cell>
          <cell r="BO1742" t="str">
            <v/>
          </cell>
        </row>
        <row r="1743">
          <cell r="A1743">
            <v>1</v>
          </cell>
          <cell r="B1743">
            <v>4293082</v>
          </cell>
          <cell r="C1743" t="str">
            <v>BOITES DE CARTON</v>
          </cell>
          <cell r="D1743" t="str">
            <v>1013084462</v>
          </cell>
          <cell r="E1743" t="str">
            <v>O</v>
          </cell>
          <cell r="F1743">
            <v>0</v>
          </cell>
          <cell r="G1743">
            <v>0</v>
          </cell>
          <cell r="H1743">
            <v>4.72</v>
          </cell>
          <cell r="I1743">
            <v>4.72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4.72</v>
          </cell>
          <cell r="W1743">
            <v>4.72</v>
          </cell>
          <cell r="X1743">
            <v>4.72</v>
          </cell>
          <cell r="Y1743">
            <v>4.72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2</v>
          </cell>
          <cell r="AN1743" t="str">
            <v/>
          </cell>
          <cell r="AO1743">
            <v>0</v>
          </cell>
          <cell r="AP1743">
            <v>0</v>
          </cell>
          <cell r="AQ1743">
            <v>0</v>
          </cell>
          <cell r="AR1743">
            <v>740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20308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 t="str">
            <v/>
          </cell>
          <cell r="BK1743">
            <v>6300</v>
          </cell>
          <cell r="BL1743" t="str">
            <v>0</v>
          </cell>
          <cell r="BM1743" t="str">
            <v>1</v>
          </cell>
          <cell r="BN1743" t="str">
            <v/>
          </cell>
          <cell r="BO1743" t="str">
            <v/>
          </cell>
        </row>
        <row r="1744">
          <cell r="A1744">
            <v>1</v>
          </cell>
          <cell r="B1744">
            <v>4293072</v>
          </cell>
          <cell r="C1744" t="str">
            <v>BOITES DE CARTON</v>
          </cell>
          <cell r="D1744" t="str">
            <v>1013074437</v>
          </cell>
          <cell r="E1744" t="str">
            <v>O</v>
          </cell>
          <cell r="F1744">
            <v>0</v>
          </cell>
          <cell r="G1744">
            <v>0</v>
          </cell>
          <cell r="H1744">
            <v>616.41</v>
          </cell>
          <cell r="I1744">
            <v>629.28</v>
          </cell>
          <cell r="J1744">
            <v>12.87</v>
          </cell>
          <cell r="K1744">
            <v>0</v>
          </cell>
          <cell r="L1744">
            <v>387.65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629.28</v>
          </cell>
          <cell r="U1744">
            <v>629.28</v>
          </cell>
          <cell r="V1744">
            <v>616.41</v>
          </cell>
          <cell r="W1744">
            <v>616.41</v>
          </cell>
          <cell r="X1744">
            <v>616.41</v>
          </cell>
          <cell r="Y1744">
            <v>1004.06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>
            <v>0</v>
          </cell>
          <cell r="AL1744">
            <v>0</v>
          </cell>
          <cell r="AM1744">
            <v>2</v>
          </cell>
          <cell r="AN1744" t="str">
            <v/>
          </cell>
          <cell r="AO1744">
            <v>0</v>
          </cell>
          <cell r="AP1744">
            <v>0</v>
          </cell>
          <cell r="AQ1744">
            <v>0</v>
          </cell>
          <cell r="AR1744">
            <v>740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20307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 t="str">
            <v/>
          </cell>
          <cell r="BK1744">
            <v>6300</v>
          </cell>
          <cell r="BL1744" t="str">
            <v>0</v>
          </cell>
          <cell r="BM1744" t="str">
            <v>1</v>
          </cell>
          <cell r="BN1744" t="str">
            <v/>
          </cell>
          <cell r="BO1744" t="str">
            <v/>
          </cell>
        </row>
        <row r="1745">
          <cell r="A1745">
            <v>1</v>
          </cell>
          <cell r="B1745">
            <v>4233212</v>
          </cell>
          <cell r="C1745" t="str">
            <v>VENTE ENTRE DIVISION</v>
          </cell>
          <cell r="D1745" t="str">
            <v>BLANC 20 GRADE B</v>
          </cell>
          <cell r="E1745" t="str">
            <v>O</v>
          </cell>
          <cell r="F1745">
            <v>0</v>
          </cell>
          <cell r="G1745">
            <v>0</v>
          </cell>
          <cell r="H1745">
            <v>24104.29</v>
          </cell>
          <cell r="I1745">
            <v>24104.29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24104.29</v>
          </cell>
          <cell r="U1745">
            <v>24104.29</v>
          </cell>
          <cell r="V1745">
            <v>24104.29</v>
          </cell>
          <cell r="W1745">
            <v>24104.29</v>
          </cell>
          <cell r="X1745">
            <v>24104.29</v>
          </cell>
          <cell r="Y1745">
            <v>24104.29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>
            <v>0</v>
          </cell>
          <cell r="AL1745">
            <v>0</v>
          </cell>
          <cell r="AM1745">
            <v>2</v>
          </cell>
          <cell r="AN1745" t="str">
            <v/>
          </cell>
          <cell r="AO1745">
            <v>0</v>
          </cell>
          <cell r="AP1745">
            <v>0</v>
          </cell>
          <cell r="AQ1745">
            <v>0</v>
          </cell>
          <cell r="AR1745">
            <v>660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 t="str">
            <v/>
          </cell>
          <cell r="BK1745">
            <v>5000</v>
          </cell>
          <cell r="BL1745" t="str">
            <v>0</v>
          </cell>
          <cell r="BM1745" t="str">
            <v>1</v>
          </cell>
          <cell r="BN1745" t="str">
            <v/>
          </cell>
          <cell r="BO1745" t="str">
            <v/>
          </cell>
        </row>
        <row r="1746">
          <cell r="A1746">
            <v>1</v>
          </cell>
          <cell r="B1746">
            <v>4703211</v>
          </cell>
          <cell r="C1746" t="str">
            <v>VENTE ENTRE DIVISION</v>
          </cell>
          <cell r="D1746" t="str">
            <v>BLANC 20 GRADE B</v>
          </cell>
          <cell r="E1746" t="str">
            <v>N</v>
          </cell>
          <cell r="F1746">
            <v>0</v>
          </cell>
          <cell r="G1746">
            <v>0</v>
          </cell>
          <cell r="H1746">
            <v>24104.29</v>
          </cell>
          <cell r="I1746">
            <v>0</v>
          </cell>
          <cell r="J1746">
            <v>24104.29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24104.29</v>
          </cell>
          <cell r="U1746">
            <v>24104.29</v>
          </cell>
          <cell r="V1746">
            <v>24104.29</v>
          </cell>
          <cell r="W1746">
            <v>24104.29</v>
          </cell>
          <cell r="X1746">
            <v>24104.29</v>
          </cell>
          <cell r="Y1746">
            <v>24104.29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0</v>
          </cell>
          <cell r="AK1746">
            <v>0</v>
          </cell>
          <cell r="AL1746">
            <v>0</v>
          </cell>
          <cell r="AM1746">
            <v>1</v>
          </cell>
          <cell r="AN1746" t="str">
            <v/>
          </cell>
          <cell r="AO1746">
            <v>0</v>
          </cell>
          <cell r="AP1746">
            <v>0</v>
          </cell>
          <cell r="AQ1746">
            <v>0</v>
          </cell>
          <cell r="AR1746">
            <v>660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30620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 t="str">
            <v/>
          </cell>
          <cell r="BK1746">
            <v>5000</v>
          </cell>
          <cell r="BL1746" t="str">
            <v>0</v>
          </cell>
          <cell r="BM1746" t="str">
            <v>1</v>
          </cell>
          <cell r="BN1746" t="str">
            <v/>
          </cell>
          <cell r="BO1746" t="str">
            <v/>
          </cell>
        </row>
        <row r="1747">
          <cell r="A1747">
            <v>1</v>
          </cell>
          <cell r="B1747">
            <v>4143082</v>
          </cell>
          <cell r="C1747" t="str">
            <v>TRANSPORT</v>
          </cell>
          <cell r="D1747" t="str">
            <v>N.R. NAT PLI EN</v>
          </cell>
          <cell r="E1747" t="str">
            <v>O</v>
          </cell>
          <cell r="F1747">
            <v>0</v>
          </cell>
          <cell r="G1747">
            <v>0</v>
          </cell>
          <cell r="H1747">
            <v>128.63</v>
          </cell>
          <cell r="I1747">
            <v>128.63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50.71</v>
          </cell>
          <cell r="U1747">
            <v>73.709999999999994</v>
          </cell>
          <cell r="V1747">
            <v>73.709999999999994</v>
          </cell>
          <cell r="W1747">
            <v>101.67</v>
          </cell>
          <cell r="X1747">
            <v>128.63</v>
          </cell>
          <cell r="Y1747">
            <v>128.63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0</v>
          </cell>
          <cell r="AK1747">
            <v>0</v>
          </cell>
          <cell r="AL1747">
            <v>0</v>
          </cell>
          <cell r="AM1747">
            <v>2</v>
          </cell>
          <cell r="AN1747" t="str">
            <v/>
          </cell>
          <cell r="AO1747">
            <v>0</v>
          </cell>
          <cell r="AP1747">
            <v>0</v>
          </cell>
          <cell r="AQ1747">
            <v>0</v>
          </cell>
          <cell r="AR1747">
            <v>610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20308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 t="str">
            <v/>
          </cell>
          <cell r="BK1747">
            <v>4200</v>
          </cell>
          <cell r="BL1747" t="str">
            <v>0</v>
          </cell>
          <cell r="BM1747" t="str">
            <v>1</v>
          </cell>
          <cell r="BN1747" t="str">
            <v/>
          </cell>
          <cell r="BO1747" t="str">
            <v/>
          </cell>
        </row>
        <row r="1748">
          <cell r="A1748">
            <v>1</v>
          </cell>
          <cell r="B1748">
            <v>4460733</v>
          </cell>
          <cell r="C1748" t="str">
            <v>MECANICIENS     ENTRETIEN</v>
          </cell>
          <cell r="D1748" t="str">
            <v>SACS - IMPRIMERIE #73</v>
          </cell>
          <cell r="E1748" t="str">
            <v>O</v>
          </cell>
          <cell r="F1748">
            <v>0</v>
          </cell>
          <cell r="G1748">
            <v>0</v>
          </cell>
          <cell r="H1748">
            <v>1398.41</v>
          </cell>
          <cell r="I1748">
            <v>1827.49</v>
          </cell>
          <cell r="J1748">
            <v>429.08</v>
          </cell>
          <cell r="K1748">
            <v>0</v>
          </cell>
          <cell r="L1748">
            <v>481.46</v>
          </cell>
          <cell r="M1748">
            <v>267.97000000000003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1130.44</v>
          </cell>
          <cell r="X1748">
            <v>1398.41</v>
          </cell>
          <cell r="Y1748">
            <v>1611.9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3</v>
          </cell>
          <cell r="AN1748" t="str">
            <v/>
          </cell>
          <cell r="AO1748">
            <v>0</v>
          </cell>
          <cell r="AP1748">
            <v>0</v>
          </cell>
          <cell r="AQ1748">
            <v>0</v>
          </cell>
          <cell r="AR1748">
            <v>700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 t="str">
            <v/>
          </cell>
          <cell r="BK1748">
            <v>7000</v>
          </cell>
          <cell r="BL1748" t="str">
            <v>0</v>
          </cell>
          <cell r="BM1748" t="str">
            <v>1</v>
          </cell>
          <cell r="BN1748" t="str">
            <v/>
          </cell>
          <cell r="BO1748" t="str">
            <v/>
          </cell>
        </row>
        <row r="1749">
          <cell r="A1749">
            <v>1</v>
          </cell>
          <cell r="B1749">
            <v>4470673</v>
          </cell>
          <cell r="C1749" t="str">
            <v>ENTRETIEN ET RÉPARATIONS</v>
          </cell>
          <cell r="D1749" t="str">
            <v>SACS - IMPRIMERIE #67</v>
          </cell>
          <cell r="E1749" t="str">
            <v>O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0</v>
          </cell>
          <cell r="AK1749">
            <v>0</v>
          </cell>
          <cell r="AL1749">
            <v>0</v>
          </cell>
          <cell r="AM1749">
            <v>3</v>
          </cell>
          <cell r="AN1749" t="str">
            <v/>
          </cell>
          <cell r="AO1749">
            <v>0</v>
          </cell>
          <cell r="AP1749">
            <v>0</v>
          </cell>
          <cell r="AQ1749">
            <v>0</v>
          </cell>
          <cell r="AR1749">
            <v>720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 t="str">
            <v/>
          </cell>
          <cell r="BK1749">
            <v>7000</v>
          </cell>
          <cell r="BL1749" t="str">
            <v>0</v>
          </cell>
          <cell r="BM1749" t="str">
            <v>1</v>
          </cell>
          <cell r="BN1749" t="str">
            <v/>
          </cell>
          <cell r="BO1749" t="str">
            <v/>
          </cell>
        </row>
        <row r="1750">
          <cell r="A1750">
            <v>1</v>
          </cell>
          <cell r="B1750">
            <v>4470773</v>
          </cell>
          <cell r="C1750" t="str">
            <v>ENTRETIEN ET RÉPARATIONS</v>
          </cell>
          <cell r="D1750" t="str">
            <v>SACS - IMPRIMERIE #77</v>
          </cell>
          <cell r="E1750" t="str">
            <v>O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>
            <v>0</v>
          </cell>
          <cell r="AL1750">
            <v>0</v>
          </cell>
          <cell r="AM1750">
            <v>3</v>
          </cell>
          <cell r="AN1750" t="str">
            <v/>
          </cell>
          <cell r="AO1750">
            <v>0</v>
          </cell>
          <cell r="AP1750">
            <v>0</v>
          </cell>
          <cell r="AQ1750">
            <v>0</v>
          </cell>
          <cell r="AR1750">
            <v>720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 t="str">
            <v/>
          </cell>
          <cell r="BK1750">
            <v>7000</v>
          </cell>
          <cell r="BL1750" t="str">
            <v>0</v>
          </cell>
          <cell r="BM1750" t="str">
            <v>1</v>
          </cell>
          <cell r="BN1750" t="str">
            <v/>
          </cell>
          <cell r="BO1750" t="str">
            <v/>
          </cell>
        </row>
        <row r="1751">
          <cell r="A1751">
            <v>1</v>
          </cell>
          <cell r="B1751">
            <v>4470753</v>
          </cell>
          <cell r="C1751" t="str">
            <v>ENTRETIEN ET RÉPARATIONS</v>
          </cell>
          <cell r="D1751" t="str">
            <v>SACS - IMPRIMERIE #75</v>
          </cell>
          <cell r="E1751" t="str">
            <v>O</v>
          </cell>
          <cell r="F1751">
            <v>0</v>
          </cell>
          <cell r="G1751">
            <v>0</v>
          </cell>
          <cell r="H1751">
            <v>289.93</v>
          </cell>
          <cell r="I1751">
            <v>289.93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289.93</v>
          </cell>
          <cell r="Y1751">
            <v>289.93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>
            <v>0</v>
          </cell>
          <cell r="AL1751">
            <v>0</v>
          </cell>
          <cell r="AM1751">
            <v>3</v>
          </cell>
          <cell r="AN1751" t="str">
            <v/>
          </cell>
          <cell r="AO1751">
            <v>0</v>
          </cell>
          <cell r="AP1751">
            <v>0</v>
          </cell>
          <cell r="AQ1751">
            <v>0</v>
          </cell>
          <cell r="AR1751">
            <v>720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 t="str">
            <v/>
          </cell>
          <cell r="BK1751">
            <v>7000</v>
          </cell>
          <cell r="BL1751" t="str">
            <v>0</v>
          </cell>
          <cell r="BM1751" t="str">
            <v>1</v>
          </cell>
          <cell r="BN1751" t="str">
            <v/>
          </cell>
          <cell r="BO1751" t="str">
            <v/>
          </cell>
        </row>
        <row r="1752">
          <cell r="A1752">
            <v>1</v>
          </cell>
          <cell r="B1752">
            <v>4470833</v>
          </cell>
          <cell r="C1752" t="str">
            <v>ENTRETIEN ET RÉPARATIONS</v>
          </cell>
          <cell r="D1752" t="str">
            <v>SACS - IMPRIMERIE #83</v>
          </cell>
          <cell r="E1752" t="str">
            <v>O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>
            <v>0</v>
          </cell>
          <cell r="AL1752">
            <v>0</v>
          </cell>
          <cell r="AM1752">
            <v>3</v>
          </cell>
          <cell r="AN1752" t="str">
            <v/>
          </cell>
          <cell r="AO1752">
            <v>0</v>
          </cell>
          <cell r="AP1752">
            <v>0</v>
          </cell>
          <cell r="AQ1752">
            <v>0</v>
          </cell>
          <cell r="AR1752">
            <v>720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 t="str">
            <v/>
          </cell>
          <cell r="BK1752">
            <v>7000</v>
          </cell>
          <cell r="BL1752" t="str">
            <v>0</v>
          </cell>
          <cell r="BM1752" t="str">
            <v>1</v>
          </cell>
          <cell r="BN1752" t="str">
            <v/>
          </cell>
          <cell r="BO1752" t="str">
            <v/>
          </cell>
        </row>
        <row r="1753">
          <cell r="A1753">
            <v>1</v>
          </cell>
          <cell r="B1753">
            <v>4470793</v>
          </cell>
          <cell r="C1753" t="str">
            <v>ENTRETIEN ET RÉPARATIONS</v>
          </cell>
          <cell r="D1753" t="str">
            <v>SACS - IMPRIMERIE #79</v>
          </cell>
          <cell r="E1753" t="str">
            <v>O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3</v>
          </cell>
          <cell r="AN1753" t="str">
            <v/>
          </cell>
          <cell r="AO1753">
            <v>0</v>
          </cell>
          <cell r="AP1753">
            <v>0</v>
          </cell>
          <cell r="AQ1753">
            <v>0</v>
          </cell>
          <cell r="AR1753">
            <v>720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 t="str">
            <v/>
          </cell>
          <cell r="BK1753">
            <v>7000</v>
          </cell>
          <cell r="BL1753" t="str">
            <v>0</v>
          </cell>
          <cell r="BM1753" t="str">
            <v>1</v>
          </cell>
          <cell r="BN1753" t="str">
            <v/>
          </cell>
          <cell r="BO1753" t="str">
            <v/>
          </cell>
        </row>
        <row r="1754">
          <cell r="A1754">
            <v>1</v>
          </cell>
          <cell r="B1754">
            <v>4470683</v>
          </cell>
          <cell r="C1754" t="str">
            <v>ENTRETIEN ET RÉPARATIONS</v>
          </cell>
          <cell r="D1754" t="str">
            <v>SACS - IMPRIMERIE #68</v>
          </cell>
          <cell r="E1754" t="str">
            <v>O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0</v>
          </cell>
          <cell r="AK1754">
            <v>0</v>
          </cell>
          <cell r="AL1754">
            <v>0</v>
          </cell>
          <cell r="AM1754">
            <v>3</v>
          </cell>
          <cell r="AN1754" t="str">
            <v/>
          </cell>
          <cell r="AO1754">
            <v>0</v>
          </cell>
          <cell r="AP1754">
            <v>0</v>
          </cell>
          <cell r="AQ1754">
            <v>0</v>
          </cell>
          <cell r="AR1754">
            <v>720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 t="str">
            <v/>
          </cell>
          <cell r="BK1754">
            <v>7000</v>
          </cell>
          <cell r="BL1754" t="str">
            <v>0</v>
          </cell>
          <cell r="BM1754" t="str">
            <v>1</v>
          </cell>
          <cell r="BN1754" t="str">
            <v/>
          </cell>
          <cell r="BO1754" t="str">
            <v/>
          </cell>
        </row>
        <row r="1755">
          <cell r="A1755">
            <v>1</v>
          </cell>
          <cell r="B1755">
            <v>4470703</v>
          </cell>
          <cell r="C1755" t="str">
            <v>ENTRETIEN ET RÉPARATIONS</v>
          </cell>
          <cell r="D1755" t="str">
            <v>SACS - IMPRIMERIE #70</v>
          </cell>
          <cell r="E1755" t="str">
            <v>O</v>
          </cell>
          <cell r="F1755">
            <v>0</v>
          </cell>
          <cell r="G1755">
            <v>0</v>
          </cell>
          <cell r="H1755">
            <v>658</v>
          </cell>
          <cell r="I1755">
            <v>658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348</v>
          </cell>
          <cell r="X1755">
            <v>658</v>
          </cell>
          <cell r="Y1755">
            <v>658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3</v>
          </cell>
          <cell r="AN1755" t="str">
            <v/>
          </cell>
          <cell r="AO1755">
            <v>0</v>
          </cell>
          <cell r="AP1755">
            <v>0</v>
          </cell>
          <cell r="AQ1755">
            <v>0</v>
          </cell>
          <cell r="AR1755">
            <v>720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 t="str">
            <v/>
          </cell>
          <cell r="BK1755">
            <v>7000</v>
          </cell>
          <cell r="BL1755" t="str">
            <v>0</v>
          </cell>
          <cell r="BM1755" t="str">
            <v>1</v>
          </cell>
          <cell r="BN1755" t="str">
            <v/>
          </cell>
          <cell r="BO1755" t="str">
            <v/>
          </cell>
        </row>
        <row r="1756">
          <cell r="A1756">
            <v>1</v>
          </cell>
          <cell r="B1756">
            <v>4470693</v>
          </cell>
          <cell r="C1756" t="str">
            <v>ENTRETIEN ET RÉPARATIONS</v>
          </cell>
          <cell r="D1756" t="str">
            <v>SACS - IMPRIMERIE #69</v>
          </cell>
          <cell r="E1756" t="str">
            <v>O</v>
          </cell>
          <cell r="F1756">
            <v>0</v>
          </cell>
          <cell r="G1756">
            <v>0</v>
          </cell>
          <cell r="H1756">
            <v>310</v>
          </cell>
          <cell r="I1756">
            <v>310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310</v>
          </cell>
          <cell r="Y1756">
            <v>310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>
            <v>0</v>
          </cell>
          <cell r="AL1756">
            <v>0</v>
          </cell>
          <cell r="AM1756">
            <v>3</v>
          </cell>
          <cell r="AN1756" t="str">
            <v/>
          </cell>
          <cell r="AO1756">
            <v>0</v>
          </cell>
          <cell r="AP1756">
            <v>0</v>
          </cell>
          <cell r="AQ1756">
            <v>0</v>
          </cell>
          <cell r="AR1756">
            <v>720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 t="str">
            <v/>
          </cell>
          <cell r="BK1756">
            <v>7000</v>
          </cell>
          <cell r="BL1756" t="str">
            <v>0</v>
          </cell>
          <cell r="BM1756" t="str">
            <v>1</v>
          </cell>
          <cell r="BN1756" t="str">
            <v/>
          </cell>
          <cell r="BO1756" t="str">
            <v/>
          </cell>
        </row>
        <row r="1757">
          <cell r="A1757">
            <v>1</v>
          </cell>
          <cell r="B1757">
            <v>4470783</v>
          </cell>
          <cell r="C1757" t="str">
            <v>ENTRETIEN ET RÉPARATIONS</v>
          </cell>
          <cell r="D1757" t="str">
            <v>SACS - IMPRIMERIE #78</v>
          </cell>
          <cell r="E1757" t="str">
            <v>O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3</v>
          </cell>
          <cell r="AN1757" t="str">
            <v/>
          </cell>
          <cell r="AO1757">
            <v>0</v>
          </cell>
          <cell r="AP1757">
            <v>0</v>
          </cell>
          <cell r="AQ1757">
            <v>0</v>
          </cell>
          <cell r="AR1757">
            <v>720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 t="str">
            <v/>
          </cell>
          <cell r="BK1757">
            <v>7000</v>
          </cell>
          <cell r="BL1757" t="str">
            <v>0</v>
          </cell>
          <cell r="BM1757" t="str">
            <v>1</v>
          </cell>
          <cell r="BN1757" t="str">
            <v/>
          </cell>
          <cell r="BO1757" t="str">
            <v/>
          </cell>
        </row>
        <row r="1758">
          <cell r="A1758">
            <v>1</v>
          </cell>
          <cell r="B1758">
            <v>4470743</v>
          </cell>
          <cell r="C1758" t="str">
            <v>ENTRETIEN ET RÉPARATIONS</v>
          </cell>
          <cell r="D1758" t="str">
            <v>SACS - IMPRIMERIE #74</v>
          </cell>
          <cell r="E1758" t="str">
            <v>O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3</v>
          </cell>
          <cell r="AN1758" t="str">
            <v/>
          </cell>
          <cell r="AO1758">
            <v>0</v>
          </cell>
          <cell r="AP1758">
            <v>0</v>
          </cell>
          <cell r="AQ1758">
            <v>0</v>
          </cell>
          <cell r="AR1758">
            <v>720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 t="str">
            <v/>
          </cell>
          <cell r="BK1758">
            <v>7000</v>
          </cell>
          <cell r="BL1758" t="str">
            <v>0</v>
          </cell>
          <cell r="BM1758" t="str">
            <v>1</v>
          </cell>
          <cell r="BN1758" t="str">
            <v/>
          </cell>
          <cell r="BO1758" t="str">
            <v/>
          </cell>
        </row>
        <row r="1759">
          <cell r="A1759">
            <v>1</v>
          </cell>
          <cell r="B1759">
            <v>4470823</v>
          </cell>
          <cell r="C1759" t="str">
            <v>ENTRETIEN ET RÉPARATIONS</v>
          </cell>
          <cell r="D1759" t="str">
            <v>SACS - IMPRIMERIE #82</v>
          </cell>
          <cell r="E1759" t="str">
            <v>O</v>
          </cell>
          <cell r="F1759">
            <v>0</v>
          </cell>
          <cell r="G1759">
            <v>0</v>
          </cell>
          <cell r="H1759">
            <v>684.63</v>
          </cell>
          <cell r="I1759">
            <v>684.63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684.63</v>
          </cell>
          <cell r="X1759">
            <v>684.63</v>
          </cell>
          <cell r="Y1759">
            <v>684.63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>
            <v>0</v>
          </cell>
          <cell r="AL1759">
            <v>0</v>
          </cell>
          <cell r="AM1759">
            <v>3</v>
          </cell>
          <cell r="AN1759" t="str">
            <v/>
          </cell>
          <cell r="AO1759">
            <v>0</v>
          </cell>
          <cell r="AP1759">
            <v>0</v>
          </cell>
          <cell r="AQ1759">
            <v>0</v>
          </cell>
          <cell r="AR1759">
            <v>720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 t="str">
            <v/>
          </cell>
          <cell r="BK1759">
            <v>7000</v>
          </cell>
          <cell r="BL1759" t="str">
            <v>0</v>
          </cell>
          <cell r="BM1759" t="str">
            <v>1</v>
          </cell>
          <cell r="BN1759" t="str">
            <v/>
          </cell>
          <cell r="BO1759" t="str">
            <v/>
          </cell>
        </row>
        <row r="1760">
          <cell r="A1760">
            <v>1</v>
          </cell>
          <cell r="B1760">
            <v>4470763</v>
          </cell>
          <cell r="C1760" t="str">
            <v>ENTRETIEN ET RÉPARATIONS</v>
          </cell>
          <cell r="D1760" t="str">
            <v>SACS - IMPRIMERIE #76</v>
          </cell>
          <cell r="E1760" t="str">
            <v>O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>
            <v>0</v>
          </cell>
          <cell r="AL1760">
            <v>0</v>
          </cell>
          <cell r="AM1760">
            <v>3</v>
          </cell>
          <cell r="AN1760" t="str">
            <v/>
          </cell>
          <cell r="AO1760">
            <v>0</v>
          </cell>
          <cell r="AP1760">
            <v>0</v>
          </cell>
          <cell r="AQ1760">
            <v>0</v>
          </cell>
          <cell r="AR1760">
            <v>720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 t="str">
            <v/>
          </cell>
          <cell r="BK1760">
            <v>7000</v>
          </cell>
          <cell r="BL1760" t="str">
            <v>0</v>
          </cell>
          <cell r="BM1760" t="str">
            <v>1</v>
          </cell>
          <cell r="BN1760" t="str">
            <v/>
          </cell>
          <cell r="BO1760" t="str">
            <v/>
          </cell>
        </row>
        <row r="1761">
          <cell r="A1761">
            <v>1</v>
          </cell>
          <cell r="B1761">
            <v>4470733</v>
          </cell>
          <cell r="C1761" t="str">
            <v>ENTRETIEN ET RÉPARATIONS</v>
          </cell>
          <cell r="D1761" t="str">
            <v>SACS - IMPRIMERIE #73</v>
          </cell>
          <cell r="E1761" t="str">
            <v>O</v>
          </cell>
          <cell r="F1761">
            <v>0</v>
          </cell>
          <cell r="G1761">
            <v>0</v>
          </cell>
          <cell r="H1761">
            <v>26.3</v>
          </cell>
          <cell r="I1761">
            <v>26.3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26.3</v>
          </cell>
          <cell r="Y1761">
            <v>26.3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0</v>
          </cell>
          <cell r="AK1761">
            <v>0</v>
          </cell>
          <cell r="AL1761">
            <v>0</v>
          </cell>
          <cell r="AM1761">
            <v>3</v>
          </cell>
          <cell r="AN1761" t="str">
            <v/>
          </cell>
          <cell r="AO1761">
            <v>0</v>
          </cell>
          <cell r="AP1761">
            <v>0</v>
          </cell>
          <cell r="AQ1761">
            <v>0</v>
          </cell>
          <cell r="AR1761">
            <v>720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 t="str">
            <v/>
          </cell>
          <cell r="BK1761">
            <v>7000</v>
          </cell>
          <cell r="BL1761" t="str">
            <v>0</v>
          </cell>
          <cell r="BM1761" t="str">
            <v>1</v>
          </cell>
          <cell r="BN1761" t="str">
            <v/>
          </cell>
          <cell r="BO1761" t="str">
            <v/>
          </cell>
        </row>
        <row r="1762">
          <cell r="A1762">
            <v>2</v>
          </cell>
          <cell r="B1762">
            <v>4467003</v>
          </cell>
          <cell r="C1762" t="str">
            <v>MECANICIENS    PREVENTION</v>
          </cell>
          <cell r="D1762" t="str">
            <v>SACS - MACHINES</v>
          </cell>
          <cell r="E1762" t="str">
            <v>O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3</v>
          </cell>
          <cell r="AN1762" t="str">
            <v/>
          </cell>
          <cell r="AO1762">
            <v>0</v>
          </cell>
          <cell r="AP1762">
            <v>0</v>
          </cell>
          <cell r="AQ1762">
            <v>0</v>
          </cell>
          <cell r="AR1762">
            <v>700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 t="str">
            <v/>
          </cell>
          <cell r="BK1762">
            <v>7000</v>
          </cell>
          <cell r="BL1762" t="str">
            <v>0</v>
          </cell>
          <cell r="BM1762" t="str">
            <v>1</v>
          </cell>
          <cell r="BN1762" t="str">
            <v/>
          </cell>
          <cell r="BO1762" t="str">
            <v/>
          </cell>
        </row>
        <row r="1763">
          <cell r="A1763">
            <v>1</v>
          </cell>
          <cell r="B1763">
            <v>4477003</v>
          </cell>
          <cell r="C1763" t="str">
            <v>ENTRETIEN      PREVENTION</v>
          </cell>
          <cell r="D1763" t="str">
            <v>SACS - MACHINES</v>
          </cell>
          <cell r="E1763" t="str">
            <v>O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3</v>
          </cell>
          <cell r="AN1763" t="str">
            <v/>
          </cell>
          <cell r="AO1763">
            <v>0</v>
          </cell>
          <cell r="AP1763">
            <v>0</v>
          </cell>
          <cell r="AQ1763">
            <v>0</v>
          </cell>
          <cell r="AR1763">
            <v>720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 t="str">
            <v/>
          </cell>
          <cell r="BK1763">
            <v>7000</v>
          </cell>
          <cell r="BL1763" t="str">
            <v>0</v>
          </cell>
          <cell r="BM1763" t="str">
            <v>1</v>
          </cell>
          <cell r="BN1763" t="str">
            <v/>
          </cell>
          <cell r="BO1763" t="str">
            <v/>
          </cell>
        </row>
        <row r="1764">
          <cell r="A1764">
            <v>1</v>
          </cell>
          <cell r="B1764">
            <v>1373620</v>
          </cell>
          <cell r="C1764" t="str">
            <v>MATERIEL ROULANT</v>
          </cell>
          <cell r="D1764" t="str">
            <v>CAMION COUR FORD RANGER</v>
          </cell>
          <cell r="E1764" t="str">
            <v>O</v>
          </cell>
          <cell r="F1764">
            <v>0</v>
          </cell>
          <cell r="G1764">
            <v>0</v>
          </cell>
          <cell r="H1764">
            <v>17090</v>
          </cell>
          <cell r="I1764">
            <v>17090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17090</v>
          </cell>
          <cell r="W1764">
            <v>17090</v>
          </cell>
          <cell r="X1764">
            <v>17090</v>
          </cell>
          <cell r="Y1764">
            <v>17090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>
            <v>0</v>
          </cell>
          <cell r="AR1764">
            <v>320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60</v>
          </cell>
          <cell r="BJ1764" t="str">
            <v/>
          </cell>
          <cell r="BK1764">
            <v>1700</v>
          </cell>
          <cell r="BL1764" t="str">
            <v>1</v>
          </cell>
          <cell r="BM1764" t="str">
            <v>1</v>
          </cell>
          <cell r="BN1764" t="str">
            <v/>
          </cell>
          <cell r="BO1764" t="str">
            <v/>
          </cell>
        </row>
        <row r="1765">
          <cell r="A1765">
            <v>1</v>
          </cell>
          <cell r="B1765">
            <v>5021071</v>
          </cell>
          <cell r="C1765" t="str">
            <v>FRAIS DE BUREAU</v>
          </cell>
          <cell r="D1765" t="str">
            <v>DIVERS-BUREAU</v>
          </cell>
          <cell r="E1765" t="str">
            <v>O</v>
          </cell>
          <cell r="F1765">
            <v>0</v>
          </cell>
          <cell r="G1765">
            <v>0</v>
          </cell>
          <cell r="H1765">
            <v>58.95</v>
          </cell>
          <cell r="I1765">
            <v>117.9</v>
          </cell>
          <cell r="J1765">
            <v>58.95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58.95</v>
          </cell>
          <cell r="W1765">
            <v>117.9</v>
          </cell>
          <cell r="X1765">
            <v>58.95</v>
          </cell>
          <cell r="Y1765">
            <v>58.95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1</v>
          </cell>
          <cell r="AN1765" t="str">
            <v/>
          </cell>
          <cell r="AO1765">
            <v>0</v>
          </cell>
          <cell r="AP1765">
            <v>0</v>
          </cell>
          <cell r="AQ1765">
            <v>0</v>
          </cell>
          <cell r="AR1765">
            <v>810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 t="str">
            <v/>
          </cell>
          <cell r="BK1765">
            <v>7200</v>
          </cell>
          <cell r="BL1765" t="str">
            <v>0</v>
          </cell>
          <cell r="BM1765" t="str">
            <v>1</v>
          </cell>
          <cell r="BN1765" t="str">
            <v/>
          </cell>
          <cell r="BO1765" t="str">
            <v/>
          </cell>
        </row>
        <row r="1766">
          <cell r="A1766">
            <v>1</v>
          </cell>
          <cell r="B1766">
            <v>4110001</v>
          </cell>
          <cell r="C1766" t="str">
            <v>MARIE-CLAUDE CONSTANTIN</v>
          </cell>
          <cell r="D1766" t="str">
            <v>NE PAS UTILISER</v>
          </cell>
          <cell r="E1766" t="str">
            <v>O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>
            <v>0</v>
          </cell>
          <cell r="AL1766">
            <v>0</v>
          </cell>
          <cell r="AM1766">
            <v>1</v>
          </cell>
          <cell r="AN1766" t="str">
            <v/>
          </cell>
          <cell r="AO1766">
            <v>0</v>
          </cell>
          <cell r="AP1766">
            <v>0</v>
          </cell>
          <cell r="AQ1766">
            <v>0</v>
          </cell>
          <cell r="AR1766">
            <v>600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 t="str">
            <v/>
          </cell>
          <cell r="BK1766">
            <v>4000</v>
          </cell>
          <cell r="BL1766" t="str">
            <v>0</v>
          </cell>
          <cell r="BM1766" t="str">
            <v>1</v>
          </cell>
          <cell r="BN1766" t="str">
            <v/>
          </cell>
          <cell r="BO1766" t="str">
            <v/>
          </cell>
        </row>
        <row r="1767">
          <cell r="A1767">
            <v>1</v>
          </cell>
          <cell r="B1767">
            <v>2591000</v>
          </cell>
          <cell r="C1767" t="str">
            <v>DEFICIT ACTUAR. F.PENSION</v>
          </cell>
          <cell r="D1767" t="str">
            <v/>
          </cell>
          <cell r="E1767" t="str">
            <v>O</v>
          </cell>
          <cell r="F1767">
            <v>0</v>
          </cell>
          <cell r="G1767">
            <v>0</v>
          </cell>
          <cell r="H1767">
            <v>1212568</v>
          </cell>
          <cell r="I1767">
            <v>0</v>
          </cell>
          <cell r="J1767">
            <v>1212568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1212568</v>
          </cell>
          <cell r="W1767">
            <v>1212568</v>
          </cell>
          <cell r="X1767">
            <v>1212568</v>
          </cell>
          <cell r="Y1767">
            <v>1212568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0</v>
          </cell>
          <cell r="AK1767">
            <v>0</v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>
            <v>0</v>
          </cell>
          <cell r="AR1767">
            <v>555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 t="str">
            <v/>
          </cell>
          <cell r="BK1767">
            <v>2200</v>
          </cell>
          <cell r="BL1767" t="str">
            <v>0</v>
          </cell>
          <cell r="BM1767" t="str">
            <v>1</v>
          </cell>
          <cell r="BN1767" t="str">
            <v/>
          </cell>
          <cell r="BO1767" t="str">
            <v/>
          </cell>
        </row>
        <row r="1768">
          <cell r="A1768">
            <v>1</v>
          </cell>
          <cell r="B1768">
            <v>2591010</v>
          </cell>
          <cell r="C1768" t="str">
            <v>AVANTAGES POST-RETRAITE</v>
          </cell>
          <cell r="D1768" t="str">
            <v/>
          </cell>
          <cell r="E1768" t="str">
            <v>O</v>
          </cell>
          <cell r="F1768">
            <v>0</v>
          </cell>
          <cell r="G1768">
            <v>0</v>
          </cell>
          <cell r="H1768">
            <v>691057</v>
          </cell>
          <cell r="I1768">
            <v>32161</v>
          </cell>
          <cell r="J1768">
            <v>723218</v>
          </cell>
          <cell r="K1768">
            <v>0</v>
          </cell>
          <cell r="L1768">
            <v>7262</v>
          </cell>
          <cell r="M1768">
            <v>11433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700352</v>
          </cell>
          <cell r="W1768">
            <v>691057</v>
          </cell>
          <cell r="X1768">
            <v>691057</v>
          </cell>
          <cell r="Y1768">
            <v>695228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>
            <v>0</v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>
            <v>0</v>
          </cell>
          <cell r="AR1768">
            <v>556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 t="str">
            <v/>
          </cell>
          <cell r="BK1768">
            <v>2200</v>
          </cell>
          <cell r="BL1768" t="str">
            <v>0</v>
          </cell>
          <cell r="BM1768" t="str">
            <v>1</v>
          </cell>
          <cell r="BN1768" t="str">
            <v/>
          </cell>
          <cell r="BO1768" t="str">
            <v/>
          </cell>
        </row>
        <row r="1769">
          <cell r="A1769">
            <v>1</v>
          </cell>
          <cell r="B1769">
            <v>4257991</v>
          </cell>
          <cell r="C1769" t="str">
            <v>CHARGE DE RETRAITE</v>
          </cell>
          <cell r="D1769" t="str">
            <v/>
          </cell>
          <cell r="E1769" t="str">
            <v>O</v>
          </cell>
          <cell r="F1769">
            <v>0</v>
          </cell>
          <cell r="G1769">
            <v>0</v>
          </cell>
          <cell r="H1769">
            <v>5833.81</v>
          </cell>
          <cell r="I1769">
            <v>60975</v>
          </cell>
          <cell r="J1769">
            <v>55141.19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5833.81</v>
          </cell>
          <cell r="W1769">
            <v>5833.81</v>
          </cell>
          <cell r="X1769">
            <v>5833.81</v>
          </cell>
          <cell r="Y1769">
            <v>5833.81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>
            <v>0</v>
          </cell>
          <cell r="AL1769">
            <v>0</v>
          </cell>
          <cell r="AM1769">
            <v>1</v>
          </cell>
          <cell r="AN1769" t="str">
            <v/>
          </cell>
          <cell r="AO1769">
            <v>0</v>
          </cell>
          <cell r="AP1769">
            <v>0</v>
          </cell>
          <cell r="AQ1769">
            <v>0</v>
          </cell>
          <cell r="AR1769">
            <v>694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 t="str">
            <v/>
          </cell>
          <cell r="BK1769">
            <v>6000</v>
          </cell>
          <cell r="BL1769" t="str">
            <v>0</v>
          </cell>
          <cell r="BM1769" t="str">
            <v>1</v>
          </cell>
          <cell r="BN1769" t="str">
            <v/>
          </cell>
          <cell r="BO1769" t="str">
            <v/>
          </cell>
        </row>
        <row r="1770">
          <cell r="A1770">
            <v>1</v>
          </cell>
          <cell r="B1770">
            <v>4257981</v>
          </cell>
          <cell r="C1770" t="str">
            <v>CHARGES POST-RETRAITE</v>
          </cell>
          <cell r="D1770" t="str">
            <v/>
          </cell>
          <cell r="E1770" t="str">
            <v>O</v>
          </cell>
          <cell r="F1770">
            <v>0</v>
          </cell>
          <cell r="G1770">
            <v>0</v>
          </cell>
          <cell r="H1770">
            <v>8220.36</v>
          </cell>
          <cell r="I1770">
            <v>67105</v>
          </cell>
          <cell r="J1770">
            <v>58884.639999999999</v>
          </cell>
          <cell r="K1770">
            <v>0</v>
          </cell>
          <cell r="L1770">
            <v>2226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5994.36</v>
          </cell>
          <cell r="W1770">
            <v>8220.36</v>
          </cell>
          <cell r="X1770">
            <v>8220.36</v>
          </cell>
          <cell r="Y1770">
            <v>10446.36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>
            <v>0</v>
          </cell>
          <cell r="AL1770">
            <v>0</v>
          </cell>
          <cell r="AM1770">
            <v>1</v>
          </cell>
          <cell r="AN1770" t="str">
            <v/>
          </cell>
          <cell r="AO1770">
            <v>0</v>
          </cell>
          <cell r="AP1770">
            <v>0</v>
          </cell>
          <cell r="AQ1770">
            <v>0</v>
          </cell>
          <cell r="AR1770">
            <v>695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 t="str">
            <v/>
          </cell>
          <cell r="BK1770">
            <v>6000</v>
          </cell>
          <cell r="BL1770" t="str">
            <v>0</v>
          </cell>
          <cell r="BM1770" t="str">
            <v>1</v>
          </cell>
          <cell r="BN1770" t="str">
            <v/>
          </cell>
          <cell r="BO1770" t="str">
            <v/>
          </cell>
        </row>
        <row r="1771">
          <cell r="A1771">
            <v>1</v>
          </cell>
          <cell r="B1771">
            <v>4257982</v>
          </cell>
          <cell r="C1771" t="str">
            <v>CHARGES POST-RETRAITE</v>
          </cell>
          <cell r="D1771" t="str">
            <v/>
          </cell>
          <cell r="E1771" t="str">
            <v>O</v>
          </cell>
          <cell r="F1771">
            <v>0</v>
          </cell>
          <cell r="G1771">
            <v>0</v>
          </cell>
          <cell r="H1771">
            <v>44178.16</v>
          </cell>
          <cell r="I1771">
            <v>49237.16</v>
          </cell>
          <cell r="J1771">
            <v>5059</v>
          </cell>
          <cell r="K1771">
            <v>0</v>
          </cell>
          <cell r="L1771">
            <v>5059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39119.160000000003</v>
          </cell>
          <cell r="W1771">
            <v>44178.16</v>
          </cell>
          <cell r="X1771">
            <v>44178.16</v>
          </cell>
          <cell r="Y1771">
            <v>49237.16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2</v>
          </cell>
          <cell r="AN1771" t="str">
            <v/>
          </cell>
          <cell r="AO1771">
            <v>0</v>
          </cell>
          <cell r="AP1771">
            <v>0</v>
          </cell>
          <cell r="AQ1771">
            <v>0</v>
          </cell>
          <cell r="AR1771">
            <v>695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 t="str">
            <v/>
          </cell>
          <cell r="BK1771">
            <v>6000</v>
          </cell>
          <cell r="BL1771" t="str">
            <v>0</v>
          </cell>
          <cell r="BM1771" t="str">
            <v>1</v>
          </cell>
          <cell r="BN1771" t="str">
            <v/>
          </cell>
          <cell r="BO1771" t="str">
            <v/>
          </cell>
        </row>
        <row r="1772">
          <cell r="A1772">
            <v>1</v>
          </cell>
          <cell r="B1772">
            <v>4257983</v>
          </cell>
          <cell r="C1772" t="str">
            <v>CHARGES POST-RETRAITE</v>
          </cell>
          <cell r="D1772" t="str">
            <v/>
          </cell>
          <cell r="E1772" t="str">
            <v>O</v>
          </cell>
          <cell r="F1772">
            <v>0</v>
          </cell>
          <cell r="G1772">
            <v>0</v>
          </cell>
          <cell r="H1772">
            <v>21687.48</v>
          </cell>
          <cell r="I1772">
            <v>25835.48</v>
          </cell>
          <cell r="J1772">
            <v>4148</v>
          </cell>
          <cell r="K1772">
            <v>0</v>
          </cell>
          <cell r="L1772">
            <v>4148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17539.48</v>
          </cell>
          <cell r="W1772">
            <v>21687.48</v>
          </cell>
          <cell r="X1772">
            <v>21687.48</v>
          </cell>
          <cell r="Y1772">
            <v>25835.48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>
            <v>0</v>
          </cell>
          <cell r="AL1772">
            <v>0</v>
          </cell>
          <cell r="AM1772">
            <v>3</v>
          </cell>
          <cell r="AN1772" t="str">
            <v/>
          </cell>
          <cell r="AO1772">
            <v>0</v>
          </cell>
          <cell r="AP1772">
            <v>0</v>
          </cell>
          <cell r="AQ1772">
            <v>0</v>
          </cell>
          <cell r="AR1772">
            <v>695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 t="str">
            <v/>
          </cell>
          <cell r="BK1772">
            <v>6000</v>
          </cell>
          <cell r="BL1772" t="str">
            <v>0</v>
          </cell>
          <cell r="BM1772" t="str">
            <v>1</v>
          </cell>
          <cell r="BN1772" t="str">
            <v/>
          </cell>
          <cell r="BO1772" t="str">
            <v/>
          </cell>
        </row>
        <row r="1773">
          <cell r="A1773">
            <v>1</v>
          </cell>
          <cell r="B1773">
            <v>4257992</v>
          </cell>
          <cell r="C1773" t="str">
            <v>CHARGE DE RETRAITE</v>
          </cell>
          <cell r="D1773" t="str">
            <v/>
          </cell>
          <cell r="E1773" t="str">
            <v>O</v>
          </cell>
          <cell r="F1773">
            <v>0</v>
          </cell>
          <cell r="G1773">
            <v>0</v>
          </cell>
          <cell r="H1773">
            <v>38071.46</v>
          </cell>
          <cell r="I1773">
            <v>38071.46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38071.46</v>
          </cell>
          <cell r="W1773">
            <v>38071.46</v>
          </cell>
          <cell r="X1773">
            <v>38071.46</v>
          </cell>
          <cell r="Y1773">
            <v>38071.46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2</v>
          </cell>
          <cell r="AN1773" t="str">
            <v/>
          </cell>
          <cell r="AO1773">
            <v>0</v>
          </cell>
          <cell r="AP1773">
            <v>0</v>
          </cell>
          <cell r="AQ1773">
            <v>0</v>
          </cell>
          <cell r="AR1773">
            <v>694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 t="str">
            <v/>
          </cell>
          <cell r="BK1773">
            <v>6000</v>
          </cell>
          <cell r="BL1773" t="str">
            <v>0</v>
          </cell>
          <cell r="BM1773" t="str">
            <v>1</v>
          </cell>
          <cell r="BN1773" t="str">
            <v/>
          </cell>
          <cell r="BO1773" t="str">
            <v/>
          </cell>
        </row>
        <row r="1774">
          <cell r="A1774">
            <v>1</v>
          </cell>
          <cell r="B1774">
            <v>4257993</v>
          </cell>
          <cell r="C1774" t="str">
            <v>CHARGE DE RETRAITE</v>
          </cell>
          <cell r="D1774" t="str">
            <v/>
          </cell>
          <cell r="E1774" t="str">
            <v>O</v>
          </cell>
          <cell r="F1774">
            <v>0</v>
          </cell>
          <cell r="G1774">
            <v>0</v>
          </cell>
          <cell r="H1774">
            <v>17069.73</v>
          </cell>
          <cell r="I1774">
            <v>17069.73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17069.73</v>
          </cell>
          <cell r="W1774">
            <v>17069.73</v>
          </cell>
          <cell r="X1774">
            <v>17069.73</v>
          </cell>
          <cell r="Y1774">
            <v>17069.73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0</v>
          </cell>
          <cell r="AK1774">
            <v>0</v>
          </cell>
          <cell r="AL1774">
            <v>0</v>
          </cell>
          <cell r="AM1774">
            <v>3</v>
          </cell>
          <cell r="AN1774" t="str">
            <v/>
          </cell>
          <cell r="AO1774">
            <v>0</v>
          </cell>
          <cell r="AP1774">
            <v>0</v>
          </cell>
          <cell r="AQ1774">
            <v>0</v>
          </cell>
          <cell r="AR1774">
            <v>694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 t="str">
            <v/>
          </cell>
          <cell r="BK1774">
            <v>6000</v>
          </cell>
          <cell r="BL1774" t="str">
            <v>0</v>
          </cell>
          <cell r="BM1774" t="str">
            <v>1</v>
          </cell>
          <cell r="BN1774" t="str">
            <v/>
          </cell>
          <cell r="BO1774" t="str">
            <v/>
          </cell>
        </row>
        <row r="1775">
          <cell r="A1775">
            <v>1</v>
          </cell>
          <cell r="B1775">
            <v>4461003</v>
          </cell>
          <cell r="C1775" t="str">
            <v>MECANICIENS     ENTRETIEN</v>
          </cell>
          <cell r="D1775" t="str">
            <v>REP. MAJEURES SYS. COLLE</v>
          </cell>
          <cell r="E1775" t="str">
            <v>O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>
            <v>0</v>
          </cell>
          <cell r="AL1775">
            <v>0</v>
          </cell>
          <cell r="AM1775">
            <v>3</v>
          </cell>
          <cell r="AN1775" t="str">
            <v/>
          </cell>
          <cell r="AO1775">
            <v>0</v>
          </cell>
          <cell r="AP1775">
            <v>0</v>
          </cell>
          <cell r="AQ1775">
            <v>0</v>
          </cell>
          <cell r="AR1775">
            <v>700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 t="str">
            <v/>
          </cell>
          <cell r="BK1775">
            <v>7000</v>
          </cell>
          <cell r="BL1775" t="str">
            <v>0</v>
          </cell>
          <cell r="BM1775" t="str">
            <v>1</v>
          </cell>
          <cell r="BN1775" t="str">
            <v/>
          </cell>
          <cell r="BO1775" t="str">
            <v/>
          </cell>
        </row>
        <row r="1776">
          <cell r="A1776">
            <v>1</v>
          </cell>
          <cell r="B1776">
            <v>4471003</v>
          </cell>
          <cell r="C1776" t="str">
            <v>ENT. ET REP. MAJEURS</v>
          </cell>
          <cell r="D1776" t="str">
            <v>SYSTEME DE COLLE</v>
          </cell>
          <cell r="E1776" t="str">
            <v>O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0</v>
          </cell>
          <cell r="AK1776">
            <v>0</v>
          </cell>
          <cell r="AL1776">
            <v>0</v>
          </cell>
          <cell r="AM1776">
            <v>3</v>
          </cell>
          <cell r="AN1776" t="str">
            <v/>
          </cell>
          <cell r="AO1776">
            <v>0</v>
          </cell>
          <cell r="AP1776">
            <v>0</v>
          </cell>
          <cell r="AQ1776">
            <v>0</v>
          </cell>
          <cell r="AR1776">
            <v>720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 t="str">
            <v/>
          </cell>
          <cell r="BK1776">
            <v>7000</v>
          </cell>
          <cell r="BL1776" t="str">
            <v>0</v>
          </cell>
          <cell r="BM1776" t="str">
            <v>1</v>
          </cell>
          <cell r="BN1776" t="str">
            <v/>
          </cell>
          <cell r="BO1776" t="str">
            <v/>
          </cell>
        </row>
        <row r="1777">
          <cell r="A1777">
            <v>1</v>
          </cell>
          <cell r="B1777">
            <v>4296502</v>
          </cell>
          <cell r="C1777" t="str">
            <v>CORRUGUÉS AFFEX</v>
          </cell>
          <cell r="D1777" t="str">
            <v>1102514483</v>
          </cell>
          <cell r="E1777" t="str">
            <v>O</v>
          </cell>
          <cell r="F1777">
            <v>0</v>
          </cell>
          <cell r="G1777">
            <v>0</v>
          </cell>
          <cell r="H1777">
            <v>2886.47</v>
          </cell>
          <cell r="I1777">
            <v>3967.32</v>
          </cell>
          <cell r="J1777">
            <v>1080.8499999999999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744.33</v>
          </cell>
          <cell r="W1777">
            <v>1825.18</v>
          </cell>
          <cell r="X1777">
            <v>2886.47</v>
          </cell>
          <cell r="Y1777">
            <v>2886.47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>
            <v>0</v>
          </cell>
          <cell r="AL1777">
            <v>0</v>
          </cell>
          <cell r="AM1777">
            <v>2</v>
          </cell>
          <cell r="AN1777" t="str">
            <v/>
          </cell>
          <cell r="AO1777">
            <v>0</v>
          </cell>
          <cell r="AP1777">
            <v>0</v>
          </cell>
          <cell r="AQ1777">
            <v>0</v>
          </cell>
          <cell r="AR1777">
            <v>740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21251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 t="str">
            <v/>
          </cell>
          <cell r="BK1777">
            <v>6300</v>
          </cell>
          <cell r="BL1777" t="str">
            <v>0</v>
          </cell>
          <cell r="BM1777" t="str">
            <v>1</v>
          </cell>
          <cell r="BN1777" t="str">
            <v/>
          </cell>
          <cell r="BO1777" t="str">
            <v/>
          </cell>
        </row>
        <row r="1778">
          <cell r="A1778">
            <v>1</v>
          </cell>
          <cell r="B1778">
            <v>4296512</v>
          </cell>
          <cell r="C1778" t="str">
            <v>CORRUGUES AFFEX</v>
          </cell>
          <cell r="D1778" t="str">
            <v>1102534485</v>
          </cell>
          <cell r="E1778" t="str">
            <v>O</v>
          </cell>
          <cell r="F1778">
            <v>0</v>
          </cell>
          <cell r="G1778">
            <v>0</v>
          </cell>
          <cell r="H1778">
            <v>4843.38</v>
          </cell>
          <cell r="I1778">
            <v>5837.15</v>
          </cell>
          <cell r="J1778">
            <v>993.77</v>
          </cell>
          <cell r="K1778">
            <v>0</v>
          </cell>
          <cell r="L1778">
            <v>911.53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1402.51</v>
          </cell>
          <cell r="W1778">
            <v>2396.2800000000002</v>
          </cell>
          <cell r="X1778">
            <v>4843.38</v>
          </cell>
          <cell r="Y1778">
            <v>5754.91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>
            <v>0</v>
          </cell>
          <cell r="AL1778">
            <v>0</v>
          </cell>
          <cell r="AM1778">
            <v>2</v>
          </cell>
          <cell r="AN1778" t="str">
            <v/>
          </cell>
          <cell r="AO1778">
            <v>0</v>
          </cell>
          <cell r="AP1778">
            <v>0</v>
          </cell>
          <cell r="AQ1778">
            <v>0</v>
          </cell>
          <cell r="AR1778">
            <v>740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21253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 t="str">
            <v/>
          </cell>
          <cell r="BK1778">
            <v>6300</v>
          </cell>
          <cell r="BL1778" t="str">
            <v>0</v>
          </cell>
          <cell r="BM1778" t="str">
            <v>1</v>
          </cell>
          <cell r="BN1778" t="str">
            <v/>
          </cell>
          <cell r="BO1778" t="str">
            <v/>
          </cell>
        </row>
        <row r="1779">
          <cell r="A1779">
            <v>1</v>
          </cell>
          <cell r="B1779">
            <v>4296542</v>
          </cell>
          <cell r="C1779" t="str">
            <v>CORRUGUÉS AFFEX</v>
          </cell>
          <cell r="D1779" t="str">
            <v>1102564488</v>
          </cell>
          <cell r="E1779" t="str">
            <v>O</v>
          </cell>
          <cell r="F1779">
            <v>0</v>
          </cell>
          <cell r="G1779">
            <v>0</v>
          </cell>
          <cell r="H1779">
            <v>981.85</v>
          </cell>
          <cell r="I1779">
            <v>981.85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981.85</v>
          </cell>
          <cell r="W1779">
            <v>981.85</v>
          </cell>
          <cell r="X1779">
            <v>981.85</v>
          </cell>
          <cell r="Y1779">
            <v>981.85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0</v>
          </cell>
          <cell r="AK1779">
            <v>0</v>
          </cell>
          <cell r="AL1779">
            <v>0</v>
          </cell>
          <cell r="AM1779">
            <v>2</v>
          </cell>
          <cell r="AN1779" t="str">
            <v/>
          </cell>
          <cell r="AO1779">
            <v>0</v>
          </cell>
          <cell r="AP1779">
            <v>0</v>
          </cell>
          <cell r="AQ1779">
            <v>0</v>
          </cell>
          <cell r="AR1779">
            <v>740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21256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 t="str">
            <v/>
          </cell>
          <cell r="BK1779">
            <v>6300</v>
          </cell>
          <cell r="BL1779" t="str">
            <v>0</v>
          </cell>
          <cell r="BM1779" t="str">
            <v>1</v>
          </cell>
          <cell r="BN1779" t="str">
            <v/>
          </cell>
          <cell r="BO1779" t="str">
            <v/>
          </cell>
        </row>
        <row r="1780">
          <cell r="A1780">
            <v>1</v>
          </cell>
          <cell r="B1780">
            <v>4296592</v>
          </cell>
          <cell r="C1780" t="str">
            <v>CORRUGUES AFFEX</v>
          </cell>
          <cell r="D1780" t="str">
            <v>1102544486</v>
          </cell>
          <cell r="E1780" t="str">
            <v>O</v>
          </cell>
          <cell r="F1780">
            <v>0</v>
          </cell>
          <cell r="G1780">
            <v>0</v>
          </cell>
          <cell r="H1780">
            <v>2439.09</v>
          </cell>
          <cell r="I1780">
            <v>3187.68</v>
          </cell>
          <cell r="J1780">
            <v>748.59</v>
          </cell>
          <cell r="K1780">
            <v>0</v>
          </cell>
          <cell r="L1780">
            <v>959.02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1690.5</v>
          </cell>
          <cell r="W1780">
            <v>2439.09</v>
          </cell>
          <cell r="X1780">
            <v>2439.09</v>
          </cell>
          <cell r="Y1780">
            <v>3398.11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2</v>
          </cell>
          <cell r="AN1780" t="str">
            <v/>
          </cell>
          <cell r="AO1780">
            <v>0</v>
          </cell>
          <cell r="AP1780">
            <v>0</v>
          </cell>
          <cell r="AQ1780">
            <v>0</v>
          </cell>
          <cell r="AR1780">
            <v>740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21254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 t="str">
            <v/>
          </cell>
          <cell r="BK1780">
            <v>6300</v>
          </cell>
          <cell r="BL1780" t="str">
            <v>0</v>
          </cell>
          <cell r="BM1780" t="str">
            <v>1</v>
          </cell>
          <cell r="BN1780" t="str">
            <v/>
          </cell>
          <cell r="BO1780" t="str">
            <v/>
          </cell>
        </row>
        <row r="1781">
          <cell r="A1781">
            <v>1</v>
          </cell>
          <cell r="B1781">
            <v>4296642</v>
          </cell>
          <cell r="C1781" t="str">
            <v>CORRUGUES AFFEX</v>
          </cell>
          <cell r="D1781" t="str">
            <v>1102554487</v>
          </cell>
          <cell r="E1781" t="str">
            <v>O</v>
          </cell>
          <cell r="F1781">
            <v>0</v>
          </cell>
          <cell r="G1781">
            <v>0</v>
          </cell>
          <cell r="H1781">
            <v>5503.62</v>
          </cell>
          <cell r="I1781">
            <v>7486.81</v>
          </cell>
          <cell r="J1781">
            <v>1983.19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3520.43</v>
          </cell>
          <cell r="W1781">
            <v>5503.62</v>
          </cell>
          <cell r="X1781">
            <v>5503.62</v>
          </cell>
          <cell r="Y1781">
            <v>5503.62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0</v>
          </cell>
          <cell r="AK1781">
            <v>0</v>
          </cell>
          <cell r="AL1781">
            <v>0</v>
          </cell>
          <cell r="AM1781">
            <v>2</v>
          </cell>
          <cell r="AN1781" t="str">
            <v/>
          </cell>
          <cell r="AO1781">
            <v>0</v>
          </cell>
          <cell r="AP1781">
            <v>0</v>
          </cell>
          <cell r="AQ1781">
            <v>0</v>
          </cell>
          <cell r="AR1781">
            <v>740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21255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 t="str">
            <v/>
          </cell>
          <cell r="BK1781">
            <v>6300</v>
          </cell>
          <cell r="BL1781" t="str">
            <v>0</v>
          </cell>
          <cell r="BM1781" t="str">
            <v>1</v>
          </cell>
          <cell r="BN1781" t="str">
            <v/>
          </cell>
          <cell r="BO1781" t="str">
            <v/>
          </cell>
        </row>
        <row r="1782">
          <cell r="A1782">
            <v>1</v>
          </cell>
          <cell r="B1782">
            <v>4296662</v>
          </cell>
          <cell r="C1782" t="str">
            <v>CORRUGUES AFFEX</v>
          </cell>
          <cell r="D1782" t="str">
            <v>1102524484</v>
          </cell>
          <cell r="E1782" t="str">
            <v>O</v>
          </cell>
          <cell r="F1782">
            <v>0</v>
          </cell>
          <cell r="G1782">
            <v>0</v>
          </cell>
          <cell r="H1782">
            <v>1936.36</v>
          </cell>
          <cell r="I1782">
            <v>3017.21</v>
          </cell>
          <cell r="J1782">
            <v>1080.8499999999999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855.51</v>
          </cell>
          <cell r="W1782">
            <v>1936.36</v>
          </cell>
          <cell r="X1782">
            <v>1936.36</v>
          </cell>
          <cell r="Y1782">
            <v>1936.36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0</v>
          </cell>
          <cell r="AK1782">
            <v>0</v>
          </cell>
          <cell r="AL1782">
            <v>0</v>
          </cell>
          <cell r="AM1782">
            <v>2</v>
          </cell>
          <cell r="AN1782" t="str">
            <v/>
          </cell>
          <cell r="AO1782">
            <v>0</v>
          </cell>
          <cell r="AP1782">
            <v>0</v>
          </cell>
          <cell r="AQ1782">
            <v>0</v>
          </cell>
          <cell r="AR1782">
            <v>740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21252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 t="str">
            <v/>
          </cell>
          <cell r="BK1782">
            <v>6300</v>
          </cell>
          <cell r="BL1782" t="str">
            <v>0</v>
          </cell>
          <cell r="BM1782" t="str">
            <v>1</v>
          </cell>
          <cell r="BN1782" t="str">
            <v/>
          </cell>
          <cell r="BO1782" t="str">
            <v/>
          </cell>
        </row>
        <row r="1783">
          <cell r="A1783">
            <v>1</v>
          </cell>
          <cell r="B1783">
            <v>4462001</v>
          </cell>
          <cell r="C1783" t="str">
            <v>MECANICIENS &amp; ELECTRICIEN</v>
          </cell>
          <cell r="D1783" t="str">
            <v>SHUT DOWN ELECTRIQUE</v>
          </cell>
          <cell r="E1783" t="str">
            <v>O</v>
          </cell>
          <cell r="F1783">
            <v>0</v>
          </cell>
          <cell r="G1783">
            <v>0</v>
          </cell>
          <cell r="H1783">
            <v>2509.8200000000002</v>
          </cell>
          <cell r="I1783">
            <v>2706.05</v>
          </cell>
          <cell r="J1783">
            <v>196.23</v>
          </cell>
          <cell r="K1783">
            <v>0</v>
          </cell>
          <cell r="L1783">
            <v>196.23</v>
          </cell>
          <cell r="M1783">
            <v>215.85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2293.9699999999998</v>
          </cell>
          <cell r="X1783">
            <v>2509.8200000000002</v>
          </cell>
          <cell r="Y1783">
            <v>2490.1999999999998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0</v>
          </cell>
          <cell r="AK1783">
            <v>0</v>
          </cell>
          <cell r="AL1783">
            <v>0</v>
          </cell>
          <cell r="AM1783">
            <v>1</v>
          </cell>
          <cell r="AN1783" t="str">
            <v/>
          </cell>
          <cell r="AO1783">
            <v>0</v>
          </cell>
          <cell r="AP1783">
            <v>0</v>
          </cell>
          <cell r="AQ1783">
            <v>0</v>
          </cell>
          <cell r="AR1783">
            <v>700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 t="str">
            <v/>
          </cell>
          <cell r="BK1783">
            <v>7000</v>
          </cell>
          <cell r="BL1783" t="str">
            <v>0</v>
          </cell>
          <cell r="BM1783" t="str">
            <v>1</v>
          </cell>
          <cell r="BN1783" t="str">
            <v/>
          </cell>
          <cell r="BO1783" t="str">
            <v/>
          </cell>
        </row>
        <row r="1784">
          <cell r="A1784">
            <v>1</v>
          </cell>
          <cell r="B1784">
            <v>4472001</v>
          </cell>
          <cell r="C1784" t="str">
            <v>ENTRETIEN ET REPARATION</v>
          </cell>
          <cell r="D1784" t="str">
            <v>SHUT DOWN ELECTRIQUE</v>
          </cell>
          <cell r="E1784" t="str">
            <v>O</v>
          </cell>
          <cell r="F1784">
            <v>0</v>
          </cell>
          <cell r="G1784">
            <v>0</v>
          </cell>
          <cell r="H1784">
            <v>28976.73</v>
          </cell>
          <cell r="I1784">
            <v>30264.42</v>
          </cell>
          <cell r="J1784">
            <v>1287.69</v>
          </cell>
          <cell r="K1784">
            <v>0</v>
          </cell>
          <cell r="L1784">
            <v>1078.6300000000001</v>
          </cell>
          <cell r="M1784">
            <v>1078.6300000000001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26661.38</v>
          </cell>
          <cell r="X1784">
            <v>28976.73</v>
          </cell>
          <cell r="Y1784">
            <v>28976.73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1</v>
          </cell>
          <cell r="AN1784" t="str">
            <v/>
          </cell>
          <cell r="AO1784">
            <v>0</v>
          </cell>
          <cell r="AP1784">
            <v>0</v>
          </cell>
          <cell r="AQ1784">
            <v>0</v>
          </cell>
          <cell r="AR1784">
            <v>720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 t="str">
            <v/>
          </cell>
          <cell r="BK1784">
            <v>7000</v>
          </cell>
          <cell r="BL1784" t="str">
            <v>0</v>
          </cell>
          <cell r="BM1784" t="str">
            <v>1</v>
          </cell>
          <cell r="BN1784" t="str">
            <v/>
          </cell>
          <cell r="BO1784" t="str">
            <v/>
          </cell>
        </row>
        <row r="1785">
          <cell r="A1785">
            <v>1</v>
          </cell>
          <cell r="B1785">
            <v>4295762</v>
          </cell>
          <cell r="C1785" t="str">
            <v>BOITE DE CARTON</v>
          </cell>
          <cell r="D1785" t="str">
            <v>1015764449</v>
          </cell>
          <cell r="E1785" t="str">
            <v>O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2</v>
          </cell>
          <cell r="AN1785" t="str">
            <v/>
          </cell>
          <cell r="AO1785">
            <v>0</v>
          </cell>
          <cell r="AP1785">
            <v>0</v>
          </cell>
          <cell r="AQ1785">
            <v>0</v>
          </cell>
          <cell r="AR1785">
            <v>740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20576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 t="str">
            <v/>
          </cell>
          <cell r="BK1785">
            <v>6300</v>
          </cell>
          <cell r="BL1785" t="str">
            <v>0</v>
          </cell>
          <cell r="BM1785" t="str">
            <v>1</v>
          </cell>
          <cell r="BN1785" t="str">
            <v/>
          </cell>
          <cell r="BO1785" t="str">
            <v/>
          </cell>
        </row>
        <row r="1786">
          <cell r="A1786">
            <v>1</v>
          </cell>
          <cell r="B1786">
            <v>1373630</v>
          </cell>
          <cell r="C1786" t="str">
            <v>MATERIEL ROULANT</v>
          </cell>
          <cell r="D1786" t="str">
            <v>BOBCAT</v>
          </cell>
          <cell r="E1786" t="str">
            <v>O</v>
          </cell>
          <cell r="F1786">
            <v>0</v>
          </cell>
          <cell r="G1786">
            <v>22000</v>
          </cell>
          <cell r="H1786">
            <v>19000</v>
          </cell>
          <cell r="I1786">
            <v>19000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19000</v>
          </cell>
          <cell r="Y1786">
            <v>19000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>
            <v>0</v>
          </cell>
          <cell r="AR1786">
            <v>320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60</v>
          </cell>
          <cell r="BJ1786" t="str">
            <v/>
          </cell>
          <cell r="BK1786">
            <v>1700</v>
          </cell>
          <cell r="BL1786" t="str">
            <v>1</v>
          </cell>
          <cell r="BM1786" t="str">
            <v>1</v>
          </cell>
          <cell r="BN1786" t="str">
            <v/>
          </cell>
          <cell r="BO1786" t="str">
            <v/>
          </cell>
        </row>
        <row r="1787">
          <cell r="A1787">
            <v>1</v>
          </cell>
          <cell r="B1787">
            <v>4552971</v>
          </cell>
          <cell r="C1787" t="str">
            <v>MATERIEL ROULANT</v>
          </cell>
          <cell r="D1787" t="str">
            <v>ENT. CHARIOTS -LIFT 297</v>
          </cell>
          <cell r="E1787" t="str">
            <v>O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1</v>
          </cell>
          <cell r="AN1787" t="str">
            <v/>
          </cell>
          <cell r="AO1787">
            <v>0</v>
          </cell>
          <cell r="AP1787">
            <v>0</v>
          </cell>
          <cell r="AQ1787">
            <v>0</v>
          </cell>
          <cell r="AR1787">
            <v>750</v>
          </cell>
          <cell r="AS1787">
            <v>0</v>
          </cell>
          <cell r="AT1787" t="str">
            <v/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 t="str">
            <v/>
          </cell>
          <cell r="BK1787">
            <v>7000</v>
          </cell>
          <cell r="BL1787" t="str">
            <v>0</v>
          </cell>
          <cell r="BM1787" t="str">
            <v>1</v>
          </cell>
          <cell r="BN1787" t="str">
            <v/>
          </cell>
          <cell r="BO1787" t="str">
            <v/>
          </cell>
        </row>
        <row r="1788">
          <cell r="A1788">
            <v>1</v>
          </cell>
          <cell r="B1788">
            <v>4461473</v>
          </cell>
          <cell r="C1788" t="str">
            <v>REPARATIONS MAJEURES  MOI</v>
          </cell>
          <cell r="D1788" t="str">
            <v>SACS - MACHINE 47</v>
          </cell>
          <cell r="E1788" t="str">
            <v>O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3</v>
          </cell>
          <cell r="AN1788" t="str">
            <v/>
          </cell>
          <cell r="AO1788">
            <v>0</v>
          </cell>
          <cell r="AP1788">
            <v>0</v>
          </cell>
          <cell r="AQ1788">
            <v>0</v>
          </cell>
          <cell r="AR1788">
            <v>700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 t="str">
            <v/>
          </cell>
          <cell r="BK1788">
            <v>7000</v>
          </cell>
          <cell r="BL1788" t="str">
            <v>0</v>
          </cell>
          <cell r="BM1788" t="str">
            <v>1</v>
          </cell>
          <cell r="BN1788" t="str">
            <v/>
          </cell>
          <cell r="BO1788" t="str">
            <v/>
          </cell>
        </row>
        <row r="1789">
          <cell r="A1789">
            <v>1</v>
          </cell>
          <cell r="B1789">
            <v>4633001</v>
          </cell>
          <cell r="C1789" t="str">
            <v>ENTREPOSAGE</v>
          </cell>
          <cell r="D1789" t="str">
            <v>FRAIS DE DETENTION</v>
          </cell>
          <cell r="E1789" t="str">
            <v>O</v>
          </cell>
          <cell r="F1789">
            <v>0</v>
          </cell>
          <cell r="G1789">
            <v>0</v>
          </cell>
          <cell r="H1789">
            <v>980</v>
          </cell>
          <cell r="I1789">
            <v>1085</v>
          </cell>
          <cell r="J1789">
            <v>105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980</v>
          </cell>
          <cell r="X1789">
            <v>980</v>
          </cell>
          <cell r="Y1789">
            <v>980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1</v>
          </cell>
          <cell r="AN1789" t="str">
            <v/>
          </cell>
          <cell r="AO1789">
            <v>0</v>
          </cell>
          <cell r="AP1789">
            <v>0</v>
          </cell>
          <cell r="AQ1789">
            <v>0</v>
          </cell>
          <cell r="AR1789">
            <v>710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 t="str">
            <v/>
          </cell>
          <cell r="BK1789">
            <v>7000</v>
          </cell>
          <cell r="BL1789" t="str">
            <v>0</v>
          </cell>
          <cell r="BM1789" t="str">
            <v>1</v>
          </cell>
          <cell r="BN1789" t="str">
            <v/>
          </cell>
          <cell r="BO1789" t="str">
            <v/>
          </cell>
        </row>
        <row r="1790">
          <cell r="A1790">
            <v>1</v>
          </cell>
          <cell r="B1790">
            <v>4471901</v>
          </cell>
          <cell r="C1790" t="str">
            <v>ENTRETIEN ET REPARATIONS</v>
          </cell>
          <cell r="D1790" t="str">
            <v>ROBOT PALETTISEUR</v>
          </cell>
          <cell r="E1790" t="str">
            <v>O</v>
          </cell>
          <cell r="F1790">
            <v>0</v>
          </cell>
          <cell r="G1790">
            <v>0</v>
          </cell>
          <cell r="H1790">
            <v>142.85</v>
          </cell>
          <cell r="I1790">
            <v>142.85</v>
          </cell>
          <cell r="J1790">
            <v>0</v>
          </cell>
          <cell r="K1790">
            <v>0</v>
          </cell>
          <cell r="L1790">
            <v>1189.29</v>
          </cell>
          <cell r="M1790">
            <v>2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142.85</v>
          </cell>
          <cell r="Y1790">
            <v>1330.14</v>
          </cell>
          <cell r="Z1790">
            <v>0</v>
          </cell>
          <cell r="AA1790">
            <v>0</v>
          </cell>
          <cell r="AB1790">
            <v>0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1</v>
          </cell>
          <cell r="AN1790" t="str">
            <v/>
          </cell>
          <cell r="AO1790">
            <v>0</v>
          </cell>
          <cell r="AP1790">
            <v>0</v>
          </cell>
          <cell r="AQ1790">
            <v>0</v>
          </cell>
          <cell r="AR1790">
            <v>720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 t="str">
            <v/>
          </cell>
          <cell r="BK1790">
            <v>7000</v>
          </cell>
          <cell r="BL1790" t="str">
            <v>0</v>
          </cell>
          <cell r="BM1790" t="str">
            <v>1</v>
          </cell>
          <cell r="BN1790" t="str">
            <v/>
          </cell>
          <cell r="BO1790" t="str">
            <v/>
          </cell>
        </row>
        <row r="1791">
          <cell r="A1791">
            <v>1</v>
          </cell>
          <cell r="B1791">
            <v>4461901</v>
          </cell>
          <cell r="C1791" t="str">
            <v>MECANICIENS &amp; ELECTRICIEN</v>
          </cell>
          <cell r="D1791" t="str">
            <v>ROBOT PALETTISEUR</v>
          </cell>
          <cell r="E1791" t="str">
            <v>O</v>
          </cell>
          <cell r="F1791">
            <v>0</v>
          </cell>
          <cell r="G1791">
            <v>0</v>
          </cell>
          <cell r="H1791">
            <v>12129.1</v>
          </cell>
          <cell r="I1791">
            <v>26024.1</v>
          </cell>
          <cell r="J1791">
            <v>13895</v>
          </cell>
          <cell r="K1791">
            <v>0</v>
          </cell>
          <cell r="L1791">
            <v>20563.91</v>
          </cell>
          <cell r="M1791">
            <v>12129.1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12129.1</v>
          </cell>
          <cell r="Y1791">
            <v>20563.91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0</v>
          </cell>
          <cell r="AK1791">
            <v>0</v>
          </cell>
          <cell r="AL1791">
            <v>0</v>
          </cell>
          <cell r="AM1791">
            <v>1</v>
          </cell>
          <cell r="AN1791" t="str">
            <v/>
          </cell>
          <cell r="AO1791">
            <v>0</v>
          </cell>
          <cell r="AP1791">
            <v>0</v>
          </cell>
          <cell r="AQ1791">
            <v>0</v>
          </cell>
          <cell r="AR1791">
            <v>700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 t="str">
            <v/>
          </cell>
          <cell r="BK1791">
            <v>7000</v>
          </cell>
          <cell r="BL1791" t="str">
            <v>0</v>
          </cell>
          <cell r="BM1791" t="str">
            <v>1</v>
          </cell>
          <cell r="BN1791" t="str">
            <v/>
          </cell>
          <cell r="BO1791" t="str">
            <v/>
          </cell>
        </row>
        <row r="1792">
          <cell r="A1792">
            <v>1</v>
          </cell>
          <cell r="B1792">
            <v>1333641</v>
          </cell>
          <cell r="C1792" t="str">
            <v>SYSTEME DE REGLETTES</v>
          </cell>
          <cell r="D1792" t="str">
            <v/>
          </cell>
          <cell r="E1792" t="str">
            <v>O</v>
          </cell>
          <cell r="F1792">
            <v>0</v>
          </cell>
          <cell r="G1792">
            <v>25000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22794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22794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0</v>
          </cell>
          <cell r="AK1792">
            <v>0</v>
          </cell>
          <cell r="AL1792">
            <v>0</v>
          </cell>
          <cell r="AM1792">
            <v>1</v>
          </cell>
          <cell r="AN1792" t="str">
            <v/>
          </cell>
          <cell r="AO1792">
            <v>0</v>
          </cell>
          <cell r="AP1792">
            <v>0</v>
          </cell>
          <cell r="AQ1792">
            <v>0</v>
          </cell>
          <cell r="AR1792">
            <v>290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240</v>
          </cell>
          <cell r="BJ1792" t="str">
            <v/>
          </cell>
          <cell r="BK1792">
            <v>1700</v>
          </cell>
          <cell r="BL1792" t="str">
            <v>1</v>
          </cell>
          <cell r="BM1792" t="str">
            <v>1</v>
          </cell>
          <cell r="BN1792" t="str">
            <v/>
          </cell>
          <cell r="BO1792" t="str">
            <v/>
          </cell>
        </row>
        <row r="1793">
          <cell r="A1793">
            <v>1</v>
          </cell>
          <cell r="B1793">
            <v>1333651</v>
          </cell>
          <cell r="C1793" t="str">
            <v>EQUIPEMENT DE JOLIETTE</v>
          </cell>
          <cell r="D1793" t="str">
            <v/>
          </cell>
          <cell r="E1793" t="str">
            <v>O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14200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14200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0</v>
          </cell>
          <cell r="AK1793">
            <v>0</v>
          </cell>
          <cell r="AL1793">
            <v>0</v>
          </cell>
          <cell r="AM1793">
            <v>1</v>
          </cell>
          <cell r="AN1793" t="str">
            <v/>
          </cell>
          <cell r="AO1793">
            <v>0</v>
          </cell>
          <cell r="AP1793">
            <v>0</v>
          </cell>
          <cell r="AQ1793">
            <v>0</v>
          </cell>
          <cell r="AR1793">
            <v>290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240</v>
          </cell>
          <cell r="BJ1793" t="str">
            <v/>
          </cell>
          <cell r="BK1793">
            <v>1700</v>
          </cell>
          <cell r="BL1793" t="str">
            <v>1</v>
          </cell>
          <cell r="BM1793" t="str">
            <v>1</v>
          </cell>
          <cell r="BN1793" t="str">
            <v/>
          </cell>
          <cell r="BO1793" t="str">
            <v/>
          </cell>
        </row>
        <row r="1794">
          <cell r="A1794">
            <v>1</v>
          </cell>
          <cell r="B1794">
            <v>2111031</v>
          </cell>
          <cell r="C1794" t="str">
            <v>C.A.P.</v>
          </cell>
          <cell r="D1794" t="str">
            <v>ACCRUS ECHANGE CP INTERCO</v>
          </cell>
          <cell r="E1794" t="str">
            <v>N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32641.66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32641.66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0</v>
          </cell>
          <cell r="AK1794">
            <v>0</v>
          </cell>
          <cell r="AL1794">
            <v>0</v>
          </cell>
          <cell r="AM1794">
            <v>1</v>
          </cell>
          <cell r="AN1794" t="str">
            <v/>
          </cell>
          <cell r="AO1794">
            <v>0</v>
          </cell>
          <cell r="AP1794">
            <v>0</v>
          </cell>
          <cell r="AQ1794">
            <v>0</v>
          </cell>
          <cell r="AR1794">
            <v>430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 t="str">
            <v/>
          </cell>
          <cell r="BK1794">
            <v>2100</v>
          </cell>
          <cell r="BL1794" t="str">
            <v>0</v>
          </cell>
          <cell r="BM1794" t="str">
            <v>1</v>
          </cell>
          <cell r="BN1794" t="str">
            <v/>
          </cell>
          <cell r="BO1794" t="str">
            <v/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Validation"/>
      <sheetName val="TOC"/>
      <sheetName val="Info3"/>
      <sheetName val="Info3a"/>
      <sheetName val="Questions"/>
      <sheetName val="Info8"/>
      <sheetName val="A5"/>
      <sheetName val="A1b"/>
      <sheetName val="ScheduleB"/>
      <sheetName val="C1"/>
      <sheetName val="C3"/>
      <sheetName val="C5"/>
      <sheetName val="F2"/>
      <sheetName val="F2RP (1)"/>
      <sheetName val="F2RP (2)"/>
      <sheetName val="F2RP (3)"/>
      <sheetName val="F2RP (4)"/>
      <sheetName val="F2RP (5)"/>
      <sheetName val="F2RP (6)"/>
      <sheetName val="F2RP (7)"/>
      <sheetName val="F2RP (8)"/>
      <sheetName val="F2RP (9)"/>
      <sheetName val="F2RP (10)"/>
      <sheetName val="G1"/>
      <sheetName val="G2"/>
      <sheetName val="G3"/>
      <sheetName val="G12"/>
      <sheetName val="G14"/>
      <sheetName val="G15"/>
      <sheetName val="I1"/>
      <sheetName val="K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M12"/>
      <sheetName val="M13"/>
      <sheetName val="M14"/>
      <sheetName val="M35(a)"/>
      <sheetName val="M35(b)"/>
      <sheetName val="M35(c)"/>
      <sheetName val="M35(d)"/>
      <sheetName val="M35(e)"/>
      <sheetName val="M35(f)"/>
      <sheetName val="M35(g)"/>
      <sheetName val="M35(h)"/>
      <sheetName val="M35(i)"/>
      <sheetName val="M35(j)"/>
      <sheetName val="M50"/>
      <sheetName val="M80"/>
      <sheetName val="M120"/>
      <sheetName val="M180"/>
      <sheetName val="N1"/>
      <sheetName val="O1"/>
      <sheetName val="O2 (1)"/>
      <sheetName val="O2 (2)"/>
      <sheetName val="O2 (3)"/>
      <sheetName val="O2 (4)"/>
      <sheetName val="O2 (5)"/>
      <sheetName val="O2 (6)"/>
      <sheetName val="O2 (7)"/>
      <sheetName val="O2 (8)"/>
      <sheetName val="O2 (9)"/>
      <sheetName val="O2 (10)"/>
      <sheetName val="O3"/>
      <sheetName val="S2"/>
      <sheetName val="S3"/>
      <sheetName val="Custom (1)"/>
      <sheetName val="Custom (2)"/>
      <sheetName val="Custom (3)"/>
      <sheetName val="Custom (4)"/>
      <sheetName val="Custom (5)"/>
      <sheetName val="Custom (6)"/>
      <sheetName val="Custom (7)"/>
      <sheetName val="Custom (8)"/>
      <sheetName val="Custom (9)"/>
      <sheetName val="Custom (10)"/>
      <sheetName val="Custom (11)"/>
      <sheetName val="Custom (12)"/>
      <sheetName val="Custom (13)"/>
      <sheetName val="Custom (14)"/>
      <sheetName val="Custom (15)"/>
      <sheetName val="Custom (16)"/>
      <sheetName val="Custom (17)"/>
      <sheetName val="Custom (18)"/>
      <sheetName val="Custom (19)"/>
      <sheetName val="Custom (20)"/>
      <sheetName val="Custom (21)"/>
      <sheetName val="Custom (22)"/>
      <sheetName val="Custom (23)"/>
      <sheetName val="Custom (24)"/>
      <sheetName val="Custom (25)"/>
      <sheetName val="F2RP_(1)"/>
      <sheetName val="F2RP_(2)"/>
      <sheetName val="F2RP_(3)"/>
      <sheetName val="F2RP_(4)"/>
      <sheetName val="F2RP_(5)"/>
      <sheetName val="F2RP_(6)"/>
      <sheetName val="F2RP_(7)"/>
      <sheetName val="F2RP_(8)"/>
      <sheetName val="F2RP_(9)"/>
      <sheetName val="F2RP_(10)"/>
      <sheetName val="O2_(1)"/>
      <sheetName val="O2_(2)"/>
      <sheetName val="O2_(3)"/>
      <sheetName val="O2_(4)"/>
      <sheetName val="O2_(5)"/>
      <sheetName val="O2_(6)"/>
      <sheetName val="O2_(7)"/>
      <sheetName val="O2_(8)"/>
      <sheetName val="O2_(9)"/>
      <sheetName val="O2_(10)"/>
      <sheetName val="Custom_(1)"/>
      <sheetName val="Custom_(2)"/>
      <sheetName val="Custom_(3)"/>
      <sheetName val="Custom_(4)"/>
      <sheetName val="Custom_(5)"/>
      <sheetName val="Custom_(6)"/>
      <sheetName val="Custom_(7)"/>
      <sheetName val="Custom_(8)"/>
      <sheetName val="Custom_(9)"/>
      <sheetName val="Custom_(10)"/>
      <sheetName val="Custom_(11)"/>
      <sheetName val="Custom_(12)"/>
      <sheetName val="Custom_(13)"/>
      <sheetName val="Custom_(14)"/>
      <sheetName val="Custom_(15)"/>
      <sheetName val="Custom_(16)"/>
      <sheetName val="Custom_(17)"/>
      <sheetName val="Custom_(18)"/>
      <sheetName val="Custom_(19)"/>
      <sheetName val="Custom_(20)"/>
      <sheetName val="Custom_(21)"/>
      <sheetName val="Custom_(22)"/>
      <sheetName val="Custom_(23)"/>
      <sheetName val="Custom_(24)"/>
      <sheetName val="Custom_(2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"/>
      <sheetName val="MandInfo"/>
      <sheetName val="Index"/>
      <sheetName val="Info3"/>
      <sheetName val="Info3a"/>
      <sheetName val="Info4"/>
      <sheetName val="Info8"/>
      <sheetName val="Info9"/>
      <sheetName val="A1"/>
      <sheetName val="A1Info"/>
      <sheetName val="A1a"/>
      <sheetName val="A1b"/>
      <sheetName val="ScheduleB"/>
      <sheetName val="A1ba"/>
      <sheetName val="A1bReport"/>
      <sheetName val="A1bSI"/>
      <sheetName val="A3"/>
      <sheetName val="A3a"/>
      <sheetName val="A3b"/>
      <sheetName val="A4"/>
      <sheetName val="A4a"/>
      <sheetName val="A4b"/>
      <sheetName val="A5"/>
      <sheetName val="TccMcc"/>
      <sheetName val="A6"/>
      <sheetName val="A7"/>
      <sheetName val="C1"/>
      <sheetName val="C3"/>
      <sheetName val="C5"/>
      <sheetName val="C10"/>
      <sheetName val="F2"/>
      <sheetName val="F2RP"/>
      <sheetName val="F4"/>
      <sheetName val="G1"/>
      <sheetName val="G2"/>
      <sheetName val="G3"/>
      <sheetName val="G3NEW"/>
      <sheetName val="G8"/>
      <sheetName val="G12"/>
      <sheetName val="G14"/>
      <sheetName val="G15"/>
      <sheetName val="I1"/>
      <sheetName val="K1"/>
      <sheetName val="K3"/>
      <sheetName val="M1"/>
      <sheetName val="Px"/>
      <sheetName val="My"/>
      <sheetName val="M50"/>
      <sheetName val="N1"/>
      <sheetName val="O1"/>
      <sheetName val="O2"/>
      <sheetName val="O3"/>
      <sheetName val="S2"/>
      <sheetName val="S3"/>
      <sheetName val="S6"/>
      <sheetName val="CAndB"/>
      <sheetName val="Validation"/>
      <sheetName val="M3list"/>
      <sheetName val="Notes"/>
      <sheetName val="Custom 1"/>
      <sheetName val="Custom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5.bin"/><Relationship Id="rId1" Type="http://schemas.openxmlformats.org/officeDocument/2006/relationships/hyperlink" Target="https://www.bankofcanada.ca/rates/exchange/daily-exchange-rates-lookup/?lookupPage=lookup_daily_exchange_rates_2017.php&amp;startRange=2017-01-01&amp;series%5B%5D=FXUSDCAD&amp;lookupPage=lookup_daily_exchange_rates_2017.php&amp;startRange=2017-01-01&amp;rangeType=range&amp;rangeValue=&amp;dFrom=2023-01-01&amp;dTo=2023-12-31&amp;submit_button=Subm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3E8C-D8DA-429F-9770-63A61F65D794}">
  <sheetPr>
    <tabColor rgb="FFFF0000"/>
  </sheetPr>
  <dimension ref="A1"/>
  <sheetViews>
    <sheetView workbookViewId="0"/>
  </sheetViews>
  <sheetFormatPr baseColWidth="10" defaultColWidth="8.88671875" defaultRowHeight="14.4"/>
  <sheetData/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07E9-872B-4C6D-8B49-71EBA936176F}">
  <dimension ref="A1:K199"/>
  <sheetViews>
    <sheetView tabSelected="1" topLeftCell="A3" workbookViewId="0">
      <selection activeCell="A4" sqref="A4:J4"/>
    </sheetView>
  </sheetViews>
  <sheetFormatPr baseColWidth="10" defaultColWidth="8.77734375" defaultRowHeight="10.199999999999999"/>
  <cols>
    <col min="1" max="1" width="53.21875" style="1" bestFit="1" customWidth="1"/>
    <col min="2" max="2" width="11.21875" style="1" bestFit="1" customWidth="1"/>
    <col min="3" max="3" width="27.5546875" style="1" customWidth="1"/>
    <col min="4" max="4" width="12.21875" style="1" bestFit="1" customWidth="1"/>
    <col min="5" max="5" width="12.5546875" style="1" bestFit="1" customWidth="1"/>
    <col min="6" max="6" width="12.77734375" style="1" bestFit="1" customWidth="1"/>
    <col min="7" max="7" width="13.44140625" style="1" bestFit="1" customWidth="1"/>
    <col min="8" max="8" width="11.44140625" style="1" bestFit="1" customWidth="1"/>
    <col min="9" max="9" width="11" style="1" bestFit="1" customWidth="1"/>
    <col min="10" max="10" width="11.21875" style="1" bestFit="1" customWidth="1"/>
    <col min="11" max="11" width="9.5546875" style="1" bestFit="1" customWidth="1"/>
    <col min="12" max="16384" width="8.77734375" style="1"/>
  </cols>
  <sheetData>
    <row r="1" spans="1:10" ht="15.6">
      <c r="A1" s="41" t="s">
        <v>393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5.6">
      <c r="A2" s="41" t="s">
        <v>394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ht="17.399999999999999">
      <c r="A3" s="40" t="s">
        <v>330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ht="17.399999999999999">
      <c r="A4" s="40" t="s">
        <v>329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7.399999999999999">
      <c r="A5" s="40" t="s">
        <v>126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17.399999999999999">
      <c r="A6" s="40" t="s">
        <v>126</v>
      </c>
      <c r="B6" s="40"/>
      <c r="C6" s="40"/>
      <c r="D6" s="40"/>
      <c r="E6" s="40"/>
      <c r="F6" s="40"/>
      <c r="G6" s="40"/>
      <c r="H6" s="40"/>
      <c r="I6" s="40"/>
      <c r="J6" s="40"/>
    </row>
    <row r="7" spans="1:10">
      <c r="A7" s="5" t="s">
        <v>328</v>
      </c>
      <c r="B7" s="42" t="s">
        <v>417</v>
      </c>
      <c r="C7" s="42"/>
      <c r="D7" s="42"/>
      <c r="E7" s="42"/>
      <c r="F7" s="42"/>
      <c r="G7" s="42"/>
      <c r="H7" s="42"/>
      <c r="I7" s="42"/>
      <c r="J7" s="42"/>
    </row>
    <row r="8" spans="1:10">
      <c r="A8" s="5" t="s">
        <v>274</v>
      </c>
      <c r="B8" s="42" t="s">
        <v>395</v>
      </c>
      <c r="C8" s="42"/>
      <c r="D8" s="42"/>
      <c r="E8" s="42"/>
      <c r="F8" s="42"/>
      <c r="G8" s="42"/>
      <c r="H8" s="42"/>
      <c r="I8" s="42"/>
      <c r="J8" s="42"/>
    </row>
    <row r="9" spans="1:10">
      <c r="A9" s="5" t="s">
        <v>274</v>
      </c>
      <c r="B9" s="42" t="s">
        <v>396</v>
      </c>
      <c r="C9" s="42"/>
      <c r="D9" s="42"/>
      <c r="E9" s="42"/>
      <c r="F9" s="42"/>
      <c r="G9" s="42"/>
      <c r="H9" s="42"/>
      <c r="I9" s="42"/>
      <c r="J9" s="42"/>
    </row>
    <row r="10" spans="1:10">
      <c r="A10" s="5" t="s">
        <v>274</v>
      </c>
      <c r="B10" s="37" t="s">
        <v>396</v>
      </c>
      <c r="C10" s="4" t="s">
        <v>327</v>
      </c>
      <c r="D10" s="4" t="s">
        <v>326</v>
      </c>
      <c r="E10" s="4" t="s">
        <v>397</v>
      </c>
      <c r="F10" s="4" t="s">
        <v>398</v>
      </c>
      <c r="G10" s="4" t="s">
        <v>399</v>
      </c>
      <c r="H10" s="4" t="s">
        <v>400</v>
      </c>
      <c r="I10" s="4" t="s">
        <v>325</v>
      </c>
      <c r="J10" s="4" t="s">
        <v>0</v>
      </c>
    </row>
    <row r="11" spans="1:10">
      <c r="A11" s="5" t="s">
        <v>274</v>
      </c>
      <c r="B11" s="4" t="s">
        <v>1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</row>
    <row r="12" spans="1:10">
      <c r="A12" s="34" t="s">
        <v>324</v>
      </c>
      <c r="B12" s="30"/>
      <c r="C12" s="30"/>
      <c r="D12" s="30"/>
      <c r="E12" s="30"/>
      <c r="F12" s="30"/>
      <c r="G12" s="30"/>
      <c r="H12" s="30"/>
      <c r="I12" s="30"/>
      <c r="J12" s="30"/>
    </row>
    <row r="13" spans="1:10">
      <c r="A13" s="33" t="s">
        <v>323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>
      <c r="A14" s="32" t="s">
        <v>72</v>
      </c>
      <c r="B14" s="30"/>
      <c r="C14" s="30"/>
      <c r="D14" s="30"/>
      <c r="E14" s="30"/>
      <c r="F14" s="30"/>
      <c r="G14" s="30"/>
      <c r="H14" s="30"/>
      <c r="I14" s="30"/>
      <c r="J14" s="30"/>
    </row>
    <row r="15" spans="1:10">
      <c r="A15" s="31" t="s">
        <v>71</v>
      </c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29" t="s">
        <v>70</v>
      </c>
      <c r="B16" s="6">
        <v>89514670.019999996</v>
      </c>
      <c r="C16" s="6">
        <v>0</v>
      </c>
      <c r="D16" s="6">
        <v>5267848.54</v>
      </c>
      <c r="E16" s="6">
        <v>240971.50348646782</v>
      </c>
      <c r="F16" s="6">
        <v>0</v>
      </c>
      <c r="G16" s="6">
        <v>0</v>
      </c>
      <c r="H16" s="6">
        <v>3523095.1965712011</v>
      </c>
      <c r="I16" s="6">
        <v>0</v>
      </c>
      <c r="J16" s="6">
        <f>SUM(B16:I16)</f>
        <v>98546585.260057673</v>
      </c>
    </row>
    <row r="17" spans="1:10">
      <c r="A17" s="29" t="s">
        <v>204</v>
      </c>
      <c r="B17" s="6">
        <v>-2317.14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f>SUM(B17:I17)</f>
        <v>-2317.14</v>
      </c>
    </row>
    <row r="18" spans="1:10">
      <c r="A18" s="29" t="s">
        <v>322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24235.637048895096</v>
      </c>
      <c r="I18" s="6">
        <v>0</v>
      </c>
      <c r="J18" s="6">
        <f>SUM(B18:I18)</f>
        <v>24235.637048895096</v>
      </c>
    </row>
    <row r="19" spans="1:10">
      <c r="A19" s="29" t="s">
        <v>69</v>
      </c>
      <c r="B19" s="6">
        <v>515405.65</v>
      </c>
      <c r="C19" s="6">
        <v>0</v>
      </c>
      <c r="D19" s="6">
        <v>238779.25</v>
      </c>
      <c r="E19" s="6">
        <v>2493831.3835388636</v>
      </c>
      <c r="F19" s="6">
        <v>0</v>
      </c>
      <c r="G19" s="6">
        <v>0</v>
      </c>
      <c r="H19" s="6">
        <v>1793232.6639862154</v>
      </c>
      <c r="I19" s="6">
        <v>-5031218.21</v>
      </c>
      <c r="J19" s="6">
        <f>SUM(B19:I19)</f>
        <v>10030.737525078468</v>
      </c>
    </row>
    <row r="20" spans="1:10">
      <c r="A20" s="28" t="s">
        <v>68</v>
      </c>
      <c r="B20" s="25">
        <f t="shared" ref="B20:J20" si="0">SUM(B16:B19)</f>
        <v>90027758.530000001</v>
      </c>
      <c r="C20" s="25">
        <f t="shared" si="0"/>
        <v>0</v>
      </c>
      <c r="D20" s="25">
        <f t="shared" si="0"/>
        <v>5506627.79</v>
      </c>
      <c r="E20" s="25">
        <f t="shared" si="0"/>
        <v>2734802.8870253316</v>
      </c>
      <c r="F20" s="25">
        <f t="shared" si="0"/>
        <v>0</v>
      </c>
      <c r="G20" s="25">
        <f t="shared" si="0"/>
        <v>0</v>
      </c>
      <c r="H20" s="25">
        <f t="shared" si="0"/>
        <v>5340563.497606311</v>
      </c>
      <c r="I20" s="25">
        <f t="shared" si="0"/>
        <v>-5031218.21</v>
      </c>
      <c r="J20" s="25">
        <f t="shared" si="0"/>
        <v>98578534.494631648</v>
      </c>
    </row>
    <row r="21" spans="1:10">
      <c r="A21" s="31" t="s">
        <v>149</v>
      </c>
      <c r="B21" s="30"/>
      <c r="C21" s="30"/>
      <c r="D21" s="30"/>
      <c r="E21" s="30"/>
      <c r="F21" s="30"/>
      <c r="G21" s="30"/>
      <c r="H21" s="30"/>
      <c r="I21" s="30"/>
      <c r="J21" s="30"/>
    </row>
    <row r="22" spans="1:10">
      <c r="A22" s="29" t="s">
        <v>148</v>
      </c>
      <c r="B22" s="6">
        <v>-5436559.9699999997</v>
      </c>
      <c r="C22" s="6">
        <v>0</v>
      </c>
      <c r="D22" s="6">
        <v>61135.37</v>
      </c>
      <c r="E22" s="6">
        <v>-11448.279451419918</v>
      </c>
      <c r="F22" s="6">
        <v>0</v>
      </c>
      <c r="G22" s="6">
        <v>0</v>
      </c>
      <c r="H22" s="6">
        <v>118443.16209215806</v>
      </c>
      <c r="I22" s="6">
        <v>0</v>
      </c>
      <c r="J22" s="6">
        <f>SUM(B22:I22)</f>
        <v>-5268429.7173592616</v>
      </c>
    </row>
    <row r="23" spans="1:10">
      <c r="A23" s="28" t="s">
        <v>147</v>
      </c>
      <c r="B23" s="25">
        <f t="shared" ref="B23:J23" si="1">SUM(B22)</f>
        <v>-5436559.9699999997</v>
      </c>
      <c r="C23" s="25">
        <f t="shared" si="1"/>
        <v>0</v>
      </c>
      <c r="D23" s="25">
        <f t="shared" si="1"/>
        <v>61135.37</v>
      </c>
      <c r="E23" s="25">
        <f t="shared" si="1"/>
        <v>-11448.279451419918</v>
      </c>
      <c r="F23" s="25">
        <f t="shared" si="1"/>
        <v>0</v>
      </c>
      <c r="G23" s="25">
        <f t="shared" si="1"/>
        <v>0</v>
      </c>
      <c r="H23" s="25">
        <f t="shared" si="1"/>
        <v>118443.16209215806</v>
      </c>
      <c r="I23" s="25">
        <f t="shared" si="1"/>
        <v>0</v>
      </c>
      <c r="J23" s="25">
        <f t="shared" si="1"/>
        <v>-5268429.7173592616</v>
      </c>
    </row>
    <row r="24" spans="1:10">
      <c r="A24" s="31" t="s">
        <v>321</v>
      </c>
      <c r="B24" s="30"/>
      <c r="C24" s="30"/>
      <c r="D24" s="30"/>
      <c r="E24" s="30"/>
      <c r="F24" s="30"/>
      <c r="G24" s="30"/>
      <c r="H24" s="30"/>
      <c r="I24" s="30"/>
      <c r="J24" s="30"/>
    </row>
    <row r="25" spans="1:10">
      <c r="A25" s="29" t="s">
        <v>203</v>
      </c>
      <c r="B25" s="6">
        <v>105863.58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1511.3798943706133</v>
      </c>
      <c r="I25" s="6">
        <v>0</v>
      </c>
      <c r="J25" s="6">
        <f>SUM(B25:I25)</f>
        <v>107374.95989437061</v>
      </c>
    </row>
    <row r="26" spans="1:10">
      <c r="A26" s="29" t="s">
        <v>202</v>
      </c>
      <c r="B26" s="6">
        <v>678157.07</v>
      </c>
      <c r="C26" s="6">
        <v>36102.230000000003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f>SUM(B26:I26)</f>
        <v>714259.29999999993</v>
      </c>
    </row>
    <row r="27" spans="1:10">
      <c r="A27" s="28" t="s">
        <v>320</v>
      </c>
      <c r="B27" s="25">
        <f t="shared" ref="B27:J27" si="2">SUM(B25:B26)</f>
        <v>784020.64999999991</v>
      </c>
      <c r="C27" s="25">
        <f t="shared" si="2"/>
        <v>36102.230000000003</v>
      </c>
      <c r="D27" s="25">
        <f t="shared" si="2"/>
        <v>0</v>
      </c>
      <c r="E27" s="25">
        <f t="shared" si="2"/>
        <v>0</v>
      </c>
      <c r="F27" s="25">
        <f t="shared" si="2"/>
        <v>0</v>
      </c>
      <c r="G27" s="25">
        <f t="shared" si="2"/>
        <v>0</v>
      </c>
      <c r="H27" s="25">
        <f t="shared" si="2"/>
        <v>1511.3798943706133</v>
      </c>
      <c r="I27" s="25">
        <f t="shared" si="2"/>
        <v>0</v>
      </c>
      <c r="J27" s="25">
        <f t="shared" si="2"/>
        <v>821634.25989437057</v>
      </c>
    </row>
    <row r="28" spans="1:10">
      <c r="A28" s="27" t="s">
        <v>67</v>
      </c>
      <c r="B28" s="25">
        <f t="shared" ref="B28:J28" si="3">SUM(B20,B23,B27)</f>
        <v>85375219.210000008</v>
      </c>
      <c r="C28" s="25">
        <f t="shared" si="3"/>
        <v>36102.230000000003</v>
      </c>
      <c r="D28" s="25">
        <f t="shared" si="3"/>
        <v>5567763.1600000001</v>
      </c>
      <c r="E28" s="25">
        <f t="shared" si="3"/>
        <v>2723354.6075739115</v>
      </c>
      <c r="F28" s="25">
        <f t="shared" si="3"/>
        <v>0</v>
      </c>
      <c r="G28" s="25">
        <f t="shared" si="3"/>
        <v>0</v>
      </c>
      <c r="H28" s="25">
        <f t="shared" si="3"/>
        <v>5460518.0395928388</v>
      </c>
      <c r="I28" s="25">
        <f t="shared" si="3"/>
        <v>-5031218.21</v>
      </c>
      <c r="J28" s="25">
        <f t="shared" si="3"/>
        <v>94131739.037166759</v>
      </c>
    </row>
    <row r="29" spans="1:10">
      <c r="A29" s="26" t="s">
        <v>319</v>
      </c>
      <c r="B29" s="25">
        <f t="shared" ref="B29:J29" si="4">SUM(B28)</f>
        <v>85375219.210000008</v>
      </c>
      <c r="C29" s="25">
        <f t="shared" si="4"/>
        <v>36102.230000000003</v>
      </c>
      <c r="D29" s="25">
        <f t="shared" si="4"/>
        <v>5567763.1600000001</v>
      </c>
      <c r="E29" s="25">
        <f t="shared" si="4"/>
        <v>2723354.6075739115</v>
      </c>
      <c r="F29" s="25">
        <f t="shared" si="4"/>
        <v>0</v>
      </c>
      <c r="G29" s="25">
        <f t="shared" si="4"/>
        <v>0</v>
      </c>
      <c r="H29" s="25">
        <f t="shared" si="4"/>
        <v>5460518.0395928388</v>
      </c>
      <c r="I29" s="25">
        <f t="shared" si="4"/>
        <v>-5031218.21</v>
      </c>
      <c r="J29" s="25">
        <f t="shared" si="4"/>
        <v>94131739.037166759</v>
      </c>
    </row>
    <row r="30" spans="1:10">
      <c r="A30" s="33" t="s">
        <v>318</v>
      </c>
      <c r="B30" s="30"/>
      <c r="C30" s="30"/>
      <c r="D30" s="30"/>
      <c r="E30" s="30"/>
      <c r="F30" s="30"/>
      <c r="G30" s="30"/>
      <c r="H30" s="30"/>
      <c r="I30" s="30"/>
      <c r="J30" s="30"/>
    </row>
    <row r="31" spans="1:10">
      <c r="A31" s="32" t="s">
        <v>66</v>
      </c>
      <c r="B31" s="30"/>
      <c r="C31" s="30"/>
      <c r="D31" s="30"/>
      <c r="E31" s="30"/>
      <c r="F31" s="30"/>
      <c r="G31" s="30"/>
      <c r="H31" s="30"/>
      <c r="I31" s="30"/>
      <c r="J31" s="30"/>
    </row>
    <row r="32" spans="1:10">
      <c r="A32" s="31" t="s">
        <v>65</v>
      </c>
      <c r="B32" s="30"/>
      <c r="C32" s="30"/>
      <c r="D32" s="30"/>
      <c r="E32" s="30"/>
      <c r="F32" s="30"/>
      <c r="G32" s="30"/>
      <c r="H32" s="30"/>
      <c r="I32" s="30"/>
      <c r="J32" s="30"/>
    </row>
    <row r="33" spans="1:10">
      <c r="A33" s="29" t="s">
        <v>64</v>
      </c>
      <c r="B33" s="6">
        <v>37367274.469999999</v>
      </c>
      <c r="C33" s="6">
        <v>0</v>
      </c>
      <c r="D33" s="6">
        <v>3157005.74</v>
      </c>
      <c r="E33" s="6">
        <v>1196323.3748662383</v>
      </c>
      <c r="F33" s="6">
        <v>0</v>
      </c>
      <c r="G33" s="6">
        <v>0</v>
      </c>
      <c r="H33" s="6">
        <v>1830748.2952957116</v>
      </c>
      <c r="I33" s="6">
        <v>0</v>
      </c>
      <c r="J33" s="6">
        <f t="shared" ref="J33:J50" si="5">SUM(B33:I33)</f>
        <v>43551351.880161956</v>
      </c>
    </row>
    <row r="34" spans="1:10">
      <c r="A34" s="29" t="s">
        <v>317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15178.634234289284</v>
      </c>
      <c r="I34" s="6">
        <v>0</v>
      </c>
      <c r="J34" s="6">
        <f t="shared" si="5"/>
        <v>15178.634234289284</v>
      </c>
    </row>
    <row r="35" spans="1:10">
      <c r="A35" s="29" t="s">
        <v>201</v>
      </c>
      <c r="B35" s="6">
        <v>124784.05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f t="shared" si="5"/>
        <v>124784.05</v>
      </c>
    </row>
    <row r="36" spans="1:10">
      <c r="A36" s="29" t="s">
        <v>200</v>
      </c>
      <c r="B36" s="6">
        <v>1134845.97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f t="shared" si="5"/>
        <v>1134845.97</v>
      </c>
    </row>
    <row r="37" spans="1:10">
      <c r="A37" s="29" t="s">
        <v>62</v>
      </c>
      <c r="B37" s="6">
        <v>4058859.01</v>
      </c>
      <c r="C37" s="6">
        <v>0</v>
      </c>
      <c r="D37" s="6">
        <v>358919.13</v>
      </c>
      <c r="E37" s="6">
        <v>93571.575698410743</v>
      </c>
      <c r="F37" s="6">
        <v>0</v>
      </c>
      <c r="G37" s="6">
        <v>0</v>
      </c>
      <c r="H37" s="6">
        <v>0</v>
      </c>
      <c r="I37" s="6">
        <v>0</v>
      </c>
      <c r="J37" s="6">
        <f t="shared" si="5"/>
        <v>4511349.7156984108</v>
      </c>
    </row>
    <row r="38" spans="1:10">
      <c r="A38" s="29" t="s">
        <v>199</v>
      </c>
      <c r="B38" s="6">
        <v>11316.89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f t="shared" si="5"/>
        <v>11316.89</v>
      </c>
    </row>
    <row r="39" spans="1:10">
      <c r="A39" s="29" t="s">
        <v>316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440606.09271816007</v>
      </c>
      <c r="I39" s="6">
        <v>0</v>
      </c>
      <c r="J39" s="6">
        <f t="shared" si="5"/>
        <v>440606.09271816007</v>
      </c>
    </row>
    <row r="40" spans="1:10">
      <c r="A40" s="29" t="s">
        <v>315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11587.901420683527</v>
      </c>
      <c r="I40" s="6">
        <v>0</v>
      </c>
      <c r="J40" s="6">
        <f t="shared" si="5"/>
        <v>11587.901420683527</v>
      </c>
    </row>
    <row r="41" spans="1:10">
      <c r="A41" s="29" t="s">
        <v>314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29297.570943509116</v>
      </c>
      <c r="I41" s="6">
        <v>0</v>
      </c>
      <c r="J41" s="6">
        <f t="shared" si="5"/>
        <v>29297.570943509116</v>
      </c>
    </row>
    <row r="42" spans="1:10">
      <c r="A42" s="29" t="s">
        <v>313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337.76952552779846</v>
      </c>
      <c r="I42" s="6">
        <v>0</v>
      </c>
      <c r="J42" s="6">
        <f t="shared" si="5"/>
        <v>337.76952552779846</v>
      </c>
    </row>
    <row r="43" spans="1:10">
      <c r="A43" s="29" t="s">
        <v>312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189205.04104263254</v>
      </c>
      <c r="I43" s="6">
        <v>0</v>
      </c>
      <c r="J43" s="6">
        <f t="shared" si="5"/>
        <v>189205.04104263254</v>
      </c>
    </row>
    <row r="44" spans="1:10">
      <c r="A44" s="29" t="s">
        <v>311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113245.75849699709</v>
      </c>
      <c r="I44" s="6">
        <v>0</v>
      </c>
      <c r="J44" s="6">
        <f t="shared" si="5"/>
        <v>113245.75849699709</v>
      </c>
    </row>
    <row r="45" spans="1:10">
      <c r="A45" s="29" t="s">
        <v>310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117549.43023501964</v>
      </c>
      <c r="I45" s="6">
        <v>0</v>
      </c>
      <c r="J45" s="6">
        <f t="shared" si="5"/>
        <v>117549.43023501964</v>
      </c>
    </row>
    <row r="46" spans="1:10">
      <c r="A46" s="29" t="s">
        <v>60</v>
      </c>
      <c r="B46" s="6">
        <v>84132.32</v>
      </c>
      <c r="C46" s="6">
        <v>0</v>
      </c>
      <c r="D46" s="6">
        <v>10000</v>
      </c>
      <c r="E46" s="6">
        <v>205571.04224373843</v>
      </c>
      <c r="F46" s="6">
        <v>0</v>
      </c>
      <c r="G46" s="6">
        <v>0</v>
      </c>
      <c r="H46" s="6">
        <v>17580.550263829031</v>
      </c>
      <c r="I46" s="6">
        <v>0</v>
      </c>
      <c r="J46" s="6">
        <f t="shared" si="5"/>
        <v>317283.91250756744</v>
      </c>
    </row>
    <row r="47" spans="1:10">
      <c r="A47" s="29" t="s">
        <v>59</v>
      </c>
      <c r="B47" s="6">
        <v>709526.54</v>
      </c>
      <c r="C47" s="6">
        <v>0</v>
      </c>
      <c r="D47" s="6">
        <v>0</v>
      </c>
      <c r="E47" s="6">
        <v>48284.892265220682</v>
      </c>
      <c r="F47" s="6">
        <v>0</v>
      </c>
      <c r="G47" s="6">
        <v>0</v>
      </c>
      <c r="H47" s="6">
        <v>0</v>
      </c>
      <c r="I47" s="6">
        <v>0</v>
      </c>
      <c r="J47" s="6">
        <f t="shared" si="5"/>
        <v>757811.43226522068</v>
      </c>
    </row>
    <row r="48" spans="1:10">
      <c r="A48" s="29" t="s">
        <v>198</v>
      </c>
      <c r="B48" s="6">
        <v>7029.59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f t="shared" si="5"/>
        <v>7029.59</v>
      </c>
    </row>
    <row r="49" spans="1:10">
      <c r="A49" s="29" t="s">
        <v>58</v>
      </c>
      <c r="B49" s="6">
        <v>703662.93</v>
      </c>
      <c r="C49" s="6">
        <v>0</v>
      </c>
      <c r="D49" s="6">
        <v>63552.78</v>
      </c>
      <c r="E49" s="6">
        <v>59480.539512625044</v>
      </c>
      <c r="F49" s="6">
        <v>0</v>
      </c>
      <c r="G49" s="6">
        <v>0</v>
      </c>
      <c r="H49" s="6">
        <v>-2.5556092990558339</v>
      </c>
      <c r="I49" s="6">
        <v>0</v>
      </c>
      <c r="J49" s="6">
        <f t="shared" si="5"/>
        <v>826693.69390332606</v>
      </c>
    </row>
    <row r="50" spans="1:10">
      <c r="A50" s="29" t="s">
        <v>197</v>
      </c>
      <c r="B50" s="6">
        <v>5194.2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f t="shared" si="5"/>
        <v>5194.2</v>
      </c>
    </row>
    <row r="51" spans="1:10">
      <c r="A51" s="28" t="s">
        <v>57</v>
      </c>
      <c r="B51" s="25">
        <f t="shared" ref="B51:J51" si="6">SUM(B33:B50)</f>
        <v>44206625.969999999</v>
      </c>
      <c r="C51" s="25">
        <f t="shared" si="6"/>
        <v>0</v>
      </c>
      <c r="D51" s="25">
        <f t="shared" si="6"/>
        <v>3589477.65</v>
      </c>
      <c r="E51" s="25">
        <f t="shared" si="6"/>
        <v>1603231.424586233</v>
      </c>
      <c r="F51" s="25">
        <f t="shared" si="6"/>
        <v>0</v>
      </c>
      <c r="G51" s="25">
        <f t="shared" si="6"/>
        <v>0</v>
      </c>
      <c r="H51" s="25">
        <f t="shared" si="6"/>
        <v>2765334.4885670608</v>
      </c>
      <c r="I51" s="25">
        <f t="shared" si="6"/>
        <v>0</v>
      </c>
      <c r="J51" s="25">
        <f t="shared" si="6"/>
        <v>52164669.53315331</v>
      </c>
    </row>
    <row r="52" spans="1:10">
      <c r="A52" s="31" t="s">
        <v>309</v>
      </c>
      <c r="B52" s="30"/>
      <c r="C52" s="30"/>
      <c r="D52" s="30"/>
      <c r="E52" s="30"/>
      <c r="F52" s="30"/>
      <c r="G52" s="30"/>
      <c r="H52" s="30"/>
      <c r="I52" s="30"/>
      <c r="J52" s="30"/>
    </row>
    <row r="53" spans="1:10">
      <c r="A53" s="29" t="s">
        <v>146</v>
      </c>
      <c r="B53" s="6">
        <v>3536076.45</v>
      </c>
      <c r="C53" s="6">
        <v>0</v>
      </c>
      <c r="D53" s="6">
        <v>248751.16</v>
      </c>
      <c r="E53" s="6">
        <v>0</v>
      </c>
      <c r="F53" s="6">
        <v>0</v>
      </c>
      <c r="G53" s="6">
        <v>0</v>
      </c>
      <c r="H53" s="6">
        <v>137698.89325060055</v>
      </c>
      <c r="I53" s="6">
        <v>0</v>
      </c>
      <c r="J53" s="6">
        <f>SUM(B53:I53)</f>
        <v>3922526.5032506008</v>
      </c>
    </row>
    <row r="54" spans="1:10">
      <c r="A54" s="29" t="s">
        <v>196</v>
      </c>
      <c r="B54" s="6">
        <v>4541296.82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515198.30062400957</v>
      </c>
      <c r="I54" s="6">
        <v>-5056264.1500000004</v>
      </c>
      <c r="J54" s="6">
        <f>SUM(B54:I54)</f>
        <v>230.97062400914729</v>
      </c>
    </row>
    <row r="55" spans="1:10">
      <c r="A55" s="29" t="s">
        <v>195</v>
      </c>
      <c r="B55" s="6">
        <v>1569343.61</v>
      </c>
      <c r="C55" s="6">
        <v>0</v>
      </c>
      <c r="D55" s="6">
        <v>37981.56</v>
      </c>
      <c r="E55" s="6">
        <v>0</v>
      </c>
      <c r="F55" s="6">
        <v>0</v>
      </c>
      <c r="G55" s="6">
        <v>0</v>
      </c>
      <c r="H55" s="6">
        <v>46524.010491454384</v>
      </c>
      <c r="I55" s="6">
        <v>0</v>
      </c>
      <c r="J55" s="6">
        <f>SUM(B55:I55)</f>
        <v>1653849.1804914544</v>
      </c>
    </row>
    <row r="56" spans="1:10">
      <c r="A56" s="28" t="s">
        <v>308</v>
      </c>
      <c r="B56" s="25">
        <f t="shared" ref="B56:J56" si="7">SUM(B53:B55)</f>
        <v>9646716.8800000008</v>
      </c>
      <c r="C56" s="25">
        <f t="shared" si="7"/>
        <v>0</v>
      </c>
      <c r="D56" s="25">
        <f t="shared" si="7"/>
        <v>286732.71999999997</v>
      </c>
      <c r="E56" s="25">
        <f t="shared" si="7"/>
        <v>0</v>
      </c>
      <c r="F56" s="25">
        <f t="shared" si="7"/>
        <v>0</v>
      </c>
      <c r="G56" s="25">
        <f t="shared" si="7"/>
        <v>0</v>
      </c>
      <c r="H56" s="25">
        <f t="shared" si="7"/>
        <v>699421.20436606451</v>
      </c>
      <c r="I56" s="25">
        <f t="shared" si="7"/>
        <v>-5056264.1500000004</v>
      </c>
      <c r="J56" s="25">
        <f t="shared" si="7"/>
        <v>5576606.6543660648</v>
      </c>
    </row>
    <row r="57" spans="1:10">
      <c r="A57" s="31" t="s">
        <v>56</v>
      </c>
      <c r="B57" s="30"/>
      <c r="C57" s="30"/>
      <c r="D57" s="30"/>
      <c r="E57" s="30"/>
      <c r="F57" s="30"/>
      <c r="G57" s="30"/>
      <c r="H57" s="30"/>
      <c r="I57" s="30"/>
      <c r="J57" s="30"/>
    </row>
    <row r="58" spans="1:10">
      <c r="A58" s="29" t="s">
        <v>145</v>
      </c>
      <c r="B58" s="6">
        <v>228359.36</v>
      </c>
      <c r="C58" s="6">
        <v>0</v>
      </c>
      <c r="D58" s="6">
        <v>2033.63</v>
      </c>
      <c r="E58" s="6">
        <v>4928.6868800747279</v>
      </c>
      <c r="F58" s="6">
        <v>0</v>
      </c>
      <c r="G58" s="6">
        <v>0</v>
      </c>
      <c r="H58" s="6">
        <v>13789.918266932824</v>
      </c>
      <c r="I58" s="6">
        <v>0</v>
      </c>
      <c r="J58" s="6">
        <f t="shared" ref="J58:J65" si="8">SUM(B58:I58)</f>
        <v>249111.59514700755</v>
      </c>
    </row>
    <row r="59" spans="1:10">
      <c r="A59" s="29" t="s">
        <v>144</v>
      </c>
      <c r="B59" s="6">
        <v>638105.09</v>
      </c>
      <c r="C59" s="6">
        <v>0</v>
      </c>
      <c r="D59" s="6">
        <v>544.95000000000005</v>
      </c>
      <c r="E59" s="6">
        <v>3888.0237617650955</v>
      </c>
      <c r="F59" s="6">
        <v>0</v>
      </c>
      <c r="G59" s="6">
        <v>0</v>
      </c>
      <c r="H59" s="6">
        <v>76911.714256593739</v>
      </c>
      <c r="I59" s="6">
        <v>0</v>
      </c>
      <c r="J59" s="6">
        <f t="shared" si="8"/>
        <v>719449.77801835875</v>
      </c>
    </row>
    <row r="60" spans="1:10">
      <c r="A60" s="29" t="s">
        <v>55</v>
      </c>
      <c r="B60" s="6">
        <v>445408.57</v>
      </c>
      <c r="C60" s="6">
        <v>0</v>
      </c>
      <c r="D60" s="6">
        <v>12193.55</v>
      </c>
      <c r="E60" s="6">
        <v>2213.1257482417291</v>
      </c>
      <c r="F60" s="6">
        <v>0</v>
      </c>
      <c r="G60" s="6">
        <v>0</v>
      </c>
      <c r="H60" s="6">
        <v>4656.1464271217601</v>
      </c>
      <c r="I60" s="6">
        <v>0</v>
      </c>
      <c r="J60" s="6">
        <f t="shared" si="8"/>
        <v>464471.39217536349</v>
      </c>
    </row>
    <row r="61" spans="1:10">
      <c r="A61" s="29" t="s">
        <v>194</v>
      </c>
      <c r="B61" s="6">
        <v>234203.1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f t="shared" si="8"/>
        <v>234203.1</v>
      </c>
    </row>
    <row r="62" spans="1:10">
      <c r="A62" s="29" t="s">
        <v>193</v>
      </c>
      <c r="B62" s="6">
        <v>431436.03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f t="shared" si="8"/>
        <v>431436.03</v>
      </c>
    </row>
    <row r="63" spans="1:10">
      <c r="A63" s="29" t="s">
        <v>192</v>
      </c>
      <c r="B63" s="6">
        <v>23441.02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f t="shared" si="8"/>
        <v>23441.02</v>
      </c>
    </row>
    <row r="64" spans="1:10">
      <c r="A64" s="29" t="s">
        <v>191</v>
      </c>
      <c r="B64" s="6">
        <v>437307.94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f t="shared" si="8"/>
        <v>437307.94</v>
      </c>
    </row>
    <row r="65" spans="1:10">
      <c r="A65" s="29" t="s">
        <v>307</v>
      </c>
      <c r="B65" s="6">
        <v>-266922.28999999998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f t="shared" si="8"/>
        <v>-266922.28999999998</v>
      </c>
    </row>
    <row r="66" spans="1:10">
      <c r="A66" s="28" t="s">
        <v>54</v>
      </c>
      <c r="B66" s="25">
        <f t="shared" ref="B66:J66" si="9">SUM(B58:B65)</f>
        <v>2171338.8200000003</v>
      </c>
      <c r="C66" s="25">
        <f t="shared" si="9"/>
        <v>0</v>
      </c>
      <c r="D66" s="25">
        <f t="shared" si="9"/>
        <v>14772.13</v>
      </c>
      <c r="E66" s="25">
        <f t="shared" si="9"/>
        <v>11029.836390081553</v>
      </c>
      <c r="F66" s="25">
        <f t="shared" si="9"/>
        <v>0</v>
      </c>
      <c r="G66" s="25">
        <f t="shared" si="9"/>
        <v>0</v>
      </c>
      <c r="H66" s="25">
        <f t="shared" si="9"/>
        <v>95357.778950648324</v>
      </c>
      <c r="I66" s="25">
        <f t="shared" si="9"/>
        <v>0</v>
      </c>
      <c r="J66" s="25">
        <f t="shared" si="9"/>
        <v>2292498.5653407294</v>
      </c>
    </row>
    <row r="67" spans="1:10">
      <c r="A67" s="27" t="s">
        <v>53</v>
      </c>
      <c r="B67" s="25">
        <f t="shared" ref="B67:J67" si="10">SUM(B51,B56,B66)</f>
        <v>56024681.670000002</v>
      </c>
      <c r="C67" s="25">
        <f t="shared" si="10"/>
        <v>0</v>
      </c>
      <c r="D67" s="25">
        <f t="shared" si="10"/>
        <v>3890982.5</v>
      </c>
      <c r="E67" s="25">
        <f t="shared" si="10"/>
        <v>1614261.2609763145</v>
      </c>
      <c r="F67" s="25">
        <f t="shared" si="10"/>
        <v>0</v>
      </c>
      <c r="G67" s="25">
        <f t="shared" si="10"/>
        <v>0</v>
      </c>
      <c r="H67" s="25">
        <f t="shared" si="10"/>
        <v>3560113.4718837738</v>
      </c>
      <c r="I67" s="25">
        <f t="shared" si="10"/>
        <v>-5056264.1500000004</v>
      </c>
      <c r="J67" s="25">
        <f t="shared" si="10"/>
        <v>60033774.752860099</v>
      </c>
    </row>
    <row r="68" spans="1:10">
      <c r="A68" s="26" t="s">
        <v>306</v>
      </c>
      <c r="B68" s="25">
        <f t="shared" ref="B68:J68" si="11">SUM(B67)</f>
        <v>56024681.670000002</v>
      </c>
      <c r="C68" s="25">
        <f t="shared" si="11"/>
        <v>0</v>
      </c>
      <c r="D68" s="25">
        <f t="shared" si="11"/>
        <v>3890982.5</v>
      </c>
      <c r="E68" s="25">
        <f t="shared" si="11"/>
        <v>1614261.2609763145</v>
      </c>
      <c r="F68" s="25">
        <f t="shared" si="11"/>
        <v>0</v>
      </c>
      <c r="G68" s="25">
        <f t="shared" si="11"/>
        <v>0</v>
      </c>
      <c r="H68" s="25">
        <f t="shared" si="11"/>
        <v>3560113.4718837738</v>
      </c>
      <c r="I68" s="25">
        <f t="shared" si="11"/>
        <v>-5056264.1500000004</v>
      </c>
      <c r="J68" s="25">
        <f t="shared" si="11"/>
        <v>60033774.752860099</v>
      </c>
    </row>
    <row r="69" spans="1:10">
      <c r="A69" s="35" t="s">
        <v>305</v>
      </c>
      <c r="B69" s="23">
        <f t="shared" ref="B69:J69" si="12">B29-B68</f>
        <v>29350537.540000007</v>
      </c>
      <c r="C69" s="23">
        <f t="shared" si="12"/>
        <v>36102.230000000003</v>
      </c>
      <c r="D69" s="23">
        <f t="shared" si="12"/>
        <v>1676780.6600000001</v>
      </c>
      <c r="E69" s="23">
        <f t="shared" si="12"/>
        <v>1109093.346597597</v>
      </c>
      <c r="F69" s="23">
        <f t="shared" si="12"/>
        <v>0</v>
      </c>
      <c r="G69" s="23">
        <f t="shared" si="12"/>
        <v>0</v>
      </c>
      <c r="H69" s="23">
        <f t="shared" si="12"/>
        <v>1900404.567709065</v>
      </c>
      <c r="I69" s="23">
        <f t="shared" si="12"/>
        <v>25045.94000000041</v>
      </c>
      <c r="J69" s="23">
        <f t="shared" si="12"/>
        <v>34097964.28430666</v>
      </c>
    </row>
    <row r="70" spans="1:10">
      <c r="A70" s="33" t="s">
        <v>304</v>
      </c>
      <c r="B70" s="30"/>
      <c r="C70" s="30"/>
      <c r="D70" s="30"/>
      <c r="E70" s="30"/>
      <c r="F70" s="30"/>
      <c r="G70" s="30"/>
      <c r="H70" s="30"/>
      <c r="I70" s="30"/>
      <c r="J70" s="30"/>
    </row>
    <row r="71" spans="1:10">
      <c r="A71" s="32" t="s">
        <v>52</v>
      </c>
      <c r="B71" s="30"/>
      <c r="C71" s="30"/>
      <c r="D71" s="30"/>
      <c r="E71" s="30"/>
      <c r="F71" s="30"/>
      <c r="G71" s="30"/>
      <c r="H71" s="30"/>
      <c r="I71" s="30"/>
      <c r="J71" s="30"/>
    </row>
    <row r="72" spans="1:10">
      <c r="A72" s="3" t="s">
        <v>51</v>
      </c>
      <c r="B72" s="6">
        <v>11034208.34</v>
      </c>
      <c r="C72" s="6">
        <v>0</v>
      </c>
      <c r="D72" s="6">
        <v>940284.23</v>
      </c>
      <c r="E72" s="6">
        <v>100994.98000224344</v>
      </c>
      <c r="F72" s="6">
        <v>0</v>
      </c>
      <c r="G72" s="6">
        <v>0</v>
      </c>
      <c r="H72" s="6">
        <v>394667.15739331063</v>
      </c>
      <c r="I72" s="6">
        <v>0</v>
      </c>
      <c r="J72" s="6">
        <f t="shared" ref="J72:J86" si="13">SUM(B72:I72)</f>
        <v>12470154.707395554</v>
      </c>
    </row>
    <row r="73" spans="1:10">
      <c r="A73" s="3" t="s">
        <v>303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10574.917853874664</v>
      </c>
      <c r="I73" s="6">
        <v>0</v>
      </c>
      <c r="J73" s="6">
        <f t="shared" si="13"/>
        <v>10574.917853874664</v>
      </c>
    </row>
    <row r="74" spans="1:10">
      <c r="A74" s="3" t="s">
        <v>190</v>
      </c>
      <c r="B74" s="6">
        <v>14197.02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f t="shared" si="13"/>
        <v>14197.02</v>
      </c>
    </row>
    <row r="75" spans="1:10">
      <c r="A75" s="3" t="s">
        <v>49</v>
      </c>
      <c r="B75" s="6">
        <v>1117800.24</v>
      </c>
      <c r="C75" s="6">
        <v>0</v>
      </c>
      <c r="D75" s="6">
        <v>99057.57</v>
      </c>
      <c r="E75" s="6">
        <v>8592.9836263185971</v>
      </c>
      <c r="F75" s="6">
        <v>0</v>
      </c>
      <c r="G75" s="6">
        <v>0</v>
      </c>
      <c r="H75" s="6">
        <v>0</v>
      </c>
      <c r="I75" s="6">
        <v>0</v>
      </c>
      <c r="J75" s="6">
        <f t="shared" si="13"/>
        <v>1225450.7936263187</v>
      </c>
    </row>
    <row r="76" spans="1:10">
      <c r="A76" s="3" t="s">
        <v>302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96888.95953992843</v>
      </c>
      <c r="I76" s="6">
        <v>0</v>
      </c>
      <c r="J76" s="6">
        <f t="shared" si="13"/>
        <v>96888.95953992843</v>
      </c>
    </row>
    <row r="77" spans="1:10">
      <c r="A77" s="3" t="s">
        <v>301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2439.2914546610964</v>
      </c>
      <c r="I77" s="6">
        <v>0</v>
      </c>
      <c r="J77" s="6">
        <f t="shared" si="13"/>
        <v>2439.2914546610964</v>
      </c>
    </row>
    <row r="78" spans="1:10">
      <c r="A78" s="3" t="s">
        <v>300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7030.2676363878527</v>
      </c>
      <c r="I78" s="6">
        <v>0</v>
      </c>
      <c r="J78" s="6">
        <f t="shared" si="13"/>
        <v>7030.2676363878527</v>
      </c>
    </row>
    <row r="79" spans="1:10">
      <c r="A79" s="3" t="s">
        <v>299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326.74691351656668</v>
      </c>
      <c r="I79" s="6">
        <v>0</v>
      </c>
      <c r="J79" s="6">
        <f t="shared" si="13"/>
        <v>326.74691351656668</v>
      </c>
    </row>
    <row r="80" spans="1:10">
      <c r="A80" s="3" t="s">
        <v>298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39635.099199532648</v>
      </c>
      <c r="I80" s="6">
        <v>0</v>
      </c>
      <c r="J80" s="6">
        <f t="shared" si="13"/>
        <v>39635.099199532648</v>
      </c>
    </row>
    <row r="81" spans="1:10">
      <c r="A81" s="3" t="s">
        <v>297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16768.652638395575</v>
      </c>
      <c r="I81" s="6">
        <v>0</v>
      </c>
      <c r="J81" s="6">
        <f t="shared" si="13"/>
        <v>16768.652638395575</v>
      </c>
    </row>
    <row r="82" spans="1:10">
      <c r="A82" s="3" t="s">
        <v>296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423.3776814514863</v>
      </c>
      <c r="I82" s="6">
        <v>0</v>
      </c>
      <c r="J82" s="6">
        <f t="shared" si="13"/>
        <v>423.3776814514863</v>
      </c>
    </row>
    <row r="83" spans="1:10">
      <c r="A83" s="3" t="s">
        <v>189</v>
      </c>
      <c r="B83" s="6">
        <v>285302.19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f t="shared" si="13"/>
        <v>285302.19</v>
      </c>
    </row>
    <row r="84" spans="1:10">
      <c r="A84" s="3" t="s">
        <v>143</v>
      </c>
      <c r="B84" s="6">
        <v>249865.65</v>
      </c>
      <c r="C84" s="6">
        <v>0</v>
      </c>
      <c r="D84" s="6">
        <v>0</v>
      </c>
      <c r="E84" s="6">
        <v>6027.370332408188</v>
      </c>
      <c r="F84" s="6">
        <v>0</v>
      </c>
      <c r="G84" s="6">
        <v>0</v>
      </c>
      <c r="H84" s="6">
        <v>0</v>
      </c>
      <c r="I84" s="6">
        <v>0</v>
      </c>
      <c r="J84" s="6">
        <f t="shared" si="13"/>
        <v>255893.0203324082</v>
      </c>
    </row>
    <row r="85" spans="1:10">
      <c r="A85" s="3" t="s">
        <v>142</v>
      </c>
      <c r="B85" s="6">
        <v>170017.77</v>
      </c>
      <c r="C85" s="6">
        <v>0</v>
      </c>
      <c r="D85" s="6">
        <v>13620.02</v>
      </c>
      <c r="E85" s="6">
        <v>9962.4697293535974</v>
      </c>
      <c r="F85" s="6">
        <v>0</v>
      </c>
      <c r="G85" s="6">
        <v>0</v>
      </c>
      <c r="H85" s="6">
        <v>0</v>
      </c>
      <c r="I85" s="6">
        <v>0</v>
      </c>
      <c r="J85" s="6">
        <f t="shared" si="13"/>
        <v>193600.25972935357</v>
      </c>
    </row>
    <row r="86" spans="1:10">
      <c r="A86" s="3" t="s">
        <v>188</v>
      </c>
      <c r="B86" s="6">
        <v>-183000</v>
      </c>
      <c r="C86" s="6">
        <v>0</v>
      </c>
      <c r="D86" s="6">
        <v>183025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f t="shared" si="13"/>
        <v>25</v>
      </c>
    </row>
    <row r="87" spans="1:10">
      <c r="A87" s="27" t="s">
        <v>47</v>
      </c>
      <c r="B87" s="25">
        <f t="shared" ref="B87:J87" si="14">SUM(B72:B86)</f>
        <v>12688391.209999999</v>
      </c>
      <c r="C87" s="25">
        <f t="shared" si="14"/>
        <v>0</v>
      </c>
      <c r="D87" s="25">
        <f t="shared" si="14"/>
        <v>1235986.82</v>
      </c>
      <c r="E87" s="25">
        <f t="shared" si="14"/>
        <v>125577.80369032382</v>
      </c>
      <c r="F87" s="25">
        <f t="shared" si="14"/>
        <v>0</v>
      </c>
      <c r="G87" s="25">
        <f t="shared" si="14"/>
        <v>0</v>
      </c>
      <c r="H87" s="25">
        <f t="shared" si="14"/>
        <v>568754.47031105892</v>
      </c>
      <c r="I87" s="25">
        <f t="shared" si="14"/>
        <v>0</v>
      </c>
      <c r="J87" s="25">
        <f t="shared" si="14"/>
        <v>14618710.304001383</v>
      </c>
    </row>
    <row r="88" spans="1:10">
      <c r="A88" s="32" t="s">
        <v>46</v>
      </c>
      <c r="B88" s="30"/>
      <c r="C88" s="30"/>
      <c r="D88" s="30"/>
      <c r="E88" s="30"/>
      <c r="F88" s="30"/>
      <c r="G88" s="30"/>
      <c r="H88" s="30"/>
      <c r="I88" s="30"/>
      <c r="J88" s="30"/>
    </row>
    <row r="89" spans="1:10">
      <c r="A89" s="31" t="s">
        <v>45</v>
      </c>
      <c r="B89" s="30"/>
      <c r="C89" s="30"/>
      <c r="D89" s="30"/>
      <c r="E89" s="30"/>
      <c r="F89" s="30"/>
      <c r="G89" s="30"/>
      <c r="H89" s="30"/>
      <c r="I89" s="30"/>
      <c r="J89" s="30"/>
    </row>
    <row r="90" spans="1:10">
      <c r="A90" s="29" t="s">
        <v>44</v>
      </c>
      <c r="B90" s="6">
        <v>398209.98</v>
      </c>
      <c r="C90" s="6">
        <v>3638</v>
      </c>
      <c r="D90" s="6">
        <v>8814</v>
      </c>
      <c r="E90" s="6">
        <v>11923.191226678571</v>
      </c>
      <c r="F90" s="6">
        <v>8584.6692307597768</v>
      </c>
      <c r="G90" s="6">
        <v>0</v>
      </c>
      <c r="H90" s="6">
        <v>92081.042917727667</v>
      </c>
      <c r="I90" s="6">
        <v>0</v>
      </c>
      <c r="J90" s="6">
        <f>SUM(B90:I90)</f>
        <v>523250.88337516598</v>
      </c>
    </row>
    <row r="91" spans="1:10">
      <c r="A91" s="29" t="s">
        <v>43</v>
      </c>
      <c r="B91" s="6">
        <v>280366.65000000002</v>
      </c>
      <c r="C91" s="6">
        <v>0</v>
      </c>
      <c r="D91" s="6">
        <v>130.5</v>
      </c>
      <c r="E91" s="6">
        <v>17090.449347541853</v>
      </c>
      <c r="F91" s="6">
        <v>57.412807325626602</v>
      </c>
      <c r="G91" s="6">
        <v>0</v>
      </c>
      <c r="H91" s="6">
        <v>27904.599103701679</v>
      </c>
      <c r="I91" s="6">
        <v>0</v>
      </c>
      <c r="J91" s="6">
        <f>SUM(B91:I91)</f>
        <v>325549.61125856917</v>
      </c>
    </row>
    <row r="92" spans="1:10">
      <c r="A92" s="29" t="s">
        <v>141</v>
      </c>
      <c r="B92" s="6">
        <v>157559.94</v>
      </c>
      <c r="C92" s="6">
        <v>0</v>
      </c>
      <c r="D92" s="6">
        <v>15400</v>
      </c>
      <c r="E92" s="6">
        <v>19194.659101863079</v>
      </c>
      <c r="F92" s="6">
        <v>0</v>
      </c>
      <c r="G92" s="6">
        <v>0</v>
      </c>
      <c r="H92" s="6">
        <v>25652.659209876922</v>
      </c>
      <c r="I92" s="6">
        <v>0</v>
      </c>
      <c r="J92" s="6">
        <f>SUM(B92:I92)</f>
        <v>217807.25831174001</v>
      </c>
    </row>
    <row r="93" spans="1:10">
      <c r="A93" s="29" t="s">
        <v>187</v>
      </c>
      <c r="B93" s="6">
        <v>5533.89</v>
      </c>
      <c r="C93" s="6">
        <v>3725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f>SUM(B93:I93)</f>
        <v>9258.89</v>
      </c>
    </row>
    <row r="94" spans="1:10">
      <c r="A94" s="28" t="s">
        <v>42</v>
      </c>
      <c r="B94" s="25">
        <f t="shared" ref="B94:J94" si="15">SUM(B90:B93)</f>
        <v>841670.46000000008</v>
      </c>
      <c r="C94" s="25">
        <f t="shared" si="15"/>
        <v>7363</v>
      </c>
      <c r="D94" s="25">
        <f t="shared" si="15"/>
        <v>24344.5</v>
      </c>
      <c r="E94" s="25">
        <f t="shared" si="15"/>
        <v>48208.299676083501</v>
      </c>
      <c r="F94" s="25">
        <f t="shared" si="15"/>
        <v>8642.0820380854038</v>
      </c>
      <c r="G94" s="25">
        <f t="shared" si="15"/>
        <v>0</v>
      </c>
      <c r="H94" s="25">
        <f t="shared" si="15"/>
        <v>145638.30123130628</v>
      </c>
      <c r="I94" s="25">
        <f t="shared" si="15"/>
        <v>0</v>
      </c>
      <c r="J94" s="25">
        <f t="shared" si="15"/>
        <v>1075866.6429454752</v>
      </c>
    </row>
    <row r="95" spans="1:10">
      <c r="A95" s="31" t="s">
        <v>140</v>
      </c>
      <c r="B95" s="30"/>
      <c r="C95" s="30"/>
      <c r="D95" s="30"/>
      <c r="E95" s="30"/>
      <c r="F95" s="30"/>
      <c r="G95" s="30"/>
      <c r="H95" s="30"/>
      <c r="I95" s="30"/>
      <c r="J95" s="30"/>
    </row>
    <row r="96" spans="1:10">
      <c r="A96" s="29" t="s">
        <v>139</v>
      </c>
      <c r="B96" s="6">
        <v>365272.52</v>
      </c>
      <c r="C96" s="6">
        <v>0</v>
      </c>
      <c r="D96" s="6">
        <v>31115.19</v>
      </c>
      <c r="E96" s="6">
        <v>160.69782428906223</v>
      </c>
      <c r="F96" s="6">
        <v>0</v>
      </c>
      <c r="G96" s="6">
        <v>0</v>
      </c>
      <c r="H96" s="6">
        <v>9839.3786535518866</v>
      </c>
      <c r="I96" s="6">
        <v>0</v>
      </c>
      <c r="J96" s="6">
        <f>SUM(B96:I96)</f>
        <v>406387.78647784097</v>
      </c>
    </row>
    <row r="97" spans="1:10">
      <c r="A97" s="29" t="s">
        <v>186</v>
      </c>
      <c r="B97" s="6">
        <v>1031115.93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f>SUM(B97:I97)</f>
        <v>1031115.93</v>
      </c>
    </row>
    <row r="98" spans="1:10">
      <c r="A98" s="29" t="s">
        <v>185</v>
      </c>
      <c r="B98" s="6">
        <v>14622.88</v>
      </c>
      <c r="C98" s="6">
        <v>0</v>
      </c>
      <c r="D98" s="6">
        <v>5575.75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f>SUM(B98:I98)</f>
        <v>20198.629999999997</v>
      </c>
    </row>
    <row r="99" spans="1:10">
      <c r="A99" s="29" t="s">
        <v>184</v>
      </c>
      <c r="B99" s="6">
        <v>2927.95</v>
      </c>
      <c r="C99" s="6">
        <v>0</v>
      </c>
      <c r="D99" s="6">
        <v>33.67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f>SUM(B99:I99)</f>
        <v>2961.62</v>
      </c>
    </row>
    <row r="100" spans="1:10">
      <c r="A100" s="29" t="s">
        <v>183</v>
      </c>
      <c r="B100" s="6">
        <v>38553.769999999997</v>
      </c>
      <c r="C100" s="6">
        <v>0</v>
      </c>
      <c r="D100" s="6">
        <v>12252.85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f>SUM(B100:I100)</f>
        <v>50806.619999999995</v>
      </c>
    </row>
    <row r="101" spans="1:10">
      <c r="A101" s="28" t="s">
        <v>138</v>
      </c>
      <c r="B101" s="25">
        <f t="shared" ref="B101:J101" si="16">SUM(B96:B100)</f>
        <v>1452493.05</v>
      </c>
      <c r="C101" s="25">
        <f t="shared" si="16"/>
        <v>0</v>
      </c>
      <c r="D101" s="25">
        <f t="shared" si="16"/>
        <v>48977.46</v>
      </c>
      <c r="E101" s="25">
        <f t="shared" si="16"/>
        <v>160.69782428906223</v>
      </c>
      <c r="F101" s="25">
        <f t="shared" si="16"/>
        <v>0</v>
      </c>
      <c r="G101" s="25">
        <f t="shared" si="16"/>
        <v>0</v>
      </c>
      <c r="H101" s="25">
        <f t="shared" si="16"/>
        <v>9839.3786535518866</v>
      </c>
      <c r="I101" s="25">
        <f t="shared" si="16"/>
        <v>0</v>
      </c>
      <c r="J101" s="25">
        <f t="shared" si="16"/>
        <v>1511470.5864778413</v>
      </c>
    </row>
    <row r="102" spans="1:10">
      <c r="A102" s="31" t="s">
        <v>41</v>
      </c>
      <c r="B102" s="30"/>
      <c r="C102" s="30"/>
      <c r="D102" s="30"/>
      <c r="E102" s="30"/>
      <c r="F102" s="30"/>
      <c r="G102" s="30"/>
      <c r="H102" s="30"/>
      <c r="I102" s="30"/>
      <c r="J102" s="30"/>
    </row>
    <row r="103" spans="1:10">
      <c r="A103" s="29" t="s">
        <v>40</v>
      </c>
      <c r="B103" s="6">
        <v>105154.41</v>
      </c>
      <c r="C103" s="6">
        <v>0</v>
      </c>
      <c r="D103" s="6">
        <v>5870.87</v>
      </c>
      <c r="E103" s="6">
        <v>2211.5205746800266</v>
      </c>
      <c r="F103" s="6">
        <v>0</v>
      </c>
      <c r="G103" s="6">
        <v>0</v>
      </c>
      <c r="H103" s="6">
        <v>918.80970501934235</v>
      </c>
      <c r="I103" s="6">
        <v>0</v>
      </c>
      <c r="J103" s="6">
        <f>SUM(B103:I103)</f>
        <v>114155.61027969937</v>
      </c>
    </row>
    <row r="104" spans="1:10">
      <c r="A104" s="28" t="s">
        <v>39</v>
      </c>
      <c r="B104" s="25">
        <f t="shared" ref="B104:J104" si="17">SUM(B103)</f>
        <v>105154.41</v>
      </c>
      <c r="C104" s="25">
        <f t="shared" si="17"/>
        <v>0</v>
      </c>
      <c r="D104" s="25">
        <f t="shared" si="17"/>
        <v>5870.87</v>
      </c>
      <c r="E104" s="25">
        <f t="shared" si="17"/>
        <v>2211.5205746800266</v>
      </c>
      <c r="F104" s="25">
        <f t="shared" si="17"/>
        <v>0</v>
      </c>
      <c r="G104" s="25">
        <f t="shared" si="17"/>
        <v>0</v>
      </c>
      <c r="H104" s="25">
        <f t="shared" si="17"/>
        <v>918.80970501934235</v>
      </c>
      <c r="I104" s="25">
        <f t="shared" si="17"/>
        <v>0</v>
      </c>
      <c r="J104" s="25">
        <f t="shared" si="17"/>
        <v>114155.61027969937</v>
      </c>
    </row>
    <row r="105" spans="1:10">
      <c r="A105" s="31" t="s">
        <v>38</v>
      </c>
      <c r="B105" s="30"/>
      <c r="C105" s="30"/>
      <c r="D105" s="30"/>
      <c r="E105" s="30"/>
      <c r="F105" s="30"/>
      <c r="G105" s="30"/>
      <c r="H105" s="30"/>
      <c r="I105" s="30"/>
      <c r="J105" s="30"/>
    </row>
    <row r="106" spans="1:10">
      <c r="A106" s="29" t="s">
        <v>37</v>
      </c>
      <c r="B106" s="6">
        <v>340061.61</v>
      </c>
      <c r="C106" s="6">
        <v>0</v>
      </c>
      <c r="D106" s="6">
        <v>16127.89</v>
      </c>
      <c r="E106" s="6">
        <v>2753.6715618940802</v>
      </c>
      <c r="F106" s="6">
        <v>0</v>
      </c>
      <c r="G106" s="6">
        <v>0</v>
      </c>
      <c r="H106" s="6">
        <v>4452.0096350038602</v>
      </c>
      <c r="I106" s="6">
        <v>0</v>
      </c>
      <c r="J106" s="6">
        <f>SUM(B106:I106)</f>
        <v>363395.18119689793</v>
      </c>
    </row>
    <row r="107" spans="1:10">
      <c r="A107" s="29" t="s">
        <v>182</v>
      </c>
      <c r="B107" s="6">
        <v>10120.049999999999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f>SUM(B107:I107)</f>
        <v>10120.049999999999</v>
      </c>
    </row>
    <row r="108" spans="1:10">
      <c r="A108" s="29" t="s">
        <v>181</v>
      </c>
      <c r="B108" s="6">
        <v>12851.87</v>
      </c>
      <c r="C108" s="6">
        <v>0</v>
      </c>
      <c r="D108" s="6">
        <v>1219.68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f>SUM(B108:I108)</f>
        <v>14071.550000000001</v>
      </c>
    </row>
    <row r="109" spans="1:10">
      <c r="A109" s="28" t="s">
        <v>36</v>
      </c>
      <c r="B109" s="25">
        <f t="shared" ref="B109:J109" si="18">SUM(B106:B108)</f>
        <v>363033.52999999997</v>
      </c>
      <c r="C109" s="25">
        <f t="shared" si="18"/>
        <v>0</v>
      </c>
      <c r="D109" s="25">
        <f t="shared" si="18"/>
        <v>17347.57</v>
      </c>
      <c r="E109" s="25">
        <f t="shared" si="18"/>
        <v>2753.6715618940802</v>
      </c>
      <c r="F109" s="25">
        <f t="shared" si="18"/>
        <v>0</v>
      </c>
      <c r="G109" s="25">
        <f t="shared" si="18"/>
        <v>0</v>
      </c>
      <c r="H109" s="25">
        <f t="shared" si="18"/>
        <v>4452.0096350038602</v>
      </c>
      <c r="I109" s="25">
        <f t="shared" si="18"/>
        <v>0</v>
      </c>
      <c r="J109" s="25">
        <f t="shared" si="18"/>
        <v>387586.78119689791</v>
      </c>
    </row>
    <row r="110" spans="1:10">
      <c r="A110" s="31" t="s">
        <v>35</v>
      </c>
      <c r="B110" s="30"/>
      <c r="C110" s="30"/>
      <c r="D110" s="30"/>
      <c r="E110" s="30"/>
      <c r="F110" s="30"/>
      <c r="G110" s="30"/>
      <c r="H110" s="30"/>
      <c r="I110" s="30"/>
      <c r="J110" s="30"/>
    </row>
    <row r="111" spans="1:10">
      <c r="A111" s="29" t="s">
        <v>34</v>
      </c>
      <c r="B111" s="6">
        <v>2935255.31</v>
      </c>
      <c r="C111" s="6">
        <v>0</v>
      </c>
      <c r="D111" s="6">
        <v>158584.49</v>
      </c>
      <c r="E111" s="6">
        <v>447266.8789368766</v>
      </c>
      <c r="F111" s="6">
        <v>0</v>
      </c>
      <c r="G111" s="6">
        <v>0</v>
      </c>
      <c r="H111" s="6">
        <v>326303.31795117754</v>
      </c>
      <c r="I111" s="6">
        <v>0</v>
      </c>
      <c r="J111" s="6">
        <f t="shared" ref="J111:J121" si="19">SUM(B111:I111)</f>
        <v>3867409.9968880541</v>
      </c>
    </row>
    <row r="112" spans="1:10">
      <c r="A112" s="29" t="s">
        <v>33</v>
      </c>
      <c r="B112" s="6">
        <v>533073.74</v>
      </c>
      <c r="C112" s="6">
        <v>0</v>
      </c>
      <c r="D112" s="6">
        <v>1229.58</v>
      </c>
      <c r="E112" s="6">
        <v>21148.069888059868</v>
      </c>
      <c r="F112" s="6">
        <v>0</v>
      </c>
      <c r="G112" s="6">
        <v>0</v>
      </c>
      <c r="H112" s="6">
        <v>28267.86842954854</v>
      </c>
      <c r="I112" s="6">
        <v>0</v>
      </c>
      <c r="J112" s="6">
        <f t="shared" si="19"/>
        <v>583719.25831760839</v>
      </c>
    </row>
    <row r="113" spans="1:10">
      <c r="A113" s="29" t="s">
        <v>32</v>
      </c>
      <c r="B113" s="6">
        <v>91482.4</v>
      </c>
      <c r="C113" s="6">
        <v>0</v>
      </c>
      <c r="D113" s="6">
        <v>4810.01</v>
      </c>
      <c r="E113" s="6">
        <v>5214.281779123191</v>
      </c>
      <c r="F113" s="6">
        <v>0</v>
      </c>
      <c r="G113" s="6">
        <v>0</v>
      </c>
      <c r="H113" s="6">
        <v>0</v>
      </c>
      <c r="I113" s="6">
        <v>0</v>
      </c>
      <c r="J113" s="6">
        <f t="shared" si="19"/>
        <v>101506.69177912318</v>
      </c>
    </row>
    <row r="114" spans="1:10">
      <c r="A114" s="29" t="s">
        <v>180</v>
      </c>
      <c r="B114" s="6">
        <v>93747.66</v>
      </c>
      <c r="C114" s="6">
        <v>0</v>
      </c>
      <c r="D114" s="6">
        <v>25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f t="shared" si="19"/>
        <v>93772.66</v>
      </c>
    </row>
    <row r="115" spans="1:10">
      <c r="A115" s="29" t="s">
        <v>31</v>
      </c>
      <c r="B115" s="6">
        <v>547415.86</v>
      </c>
      <c r="C115" s="6">
        <v>0</v>
      </c>
      <c r="D115" s="6">
        <v>35140.629999999997</v>
      </c>
      <c r="E115" s="6">
        <v>50788.057295809995</v>
      </c>
      <c r="F115" s="6">
        <v>0</v>
      </c>
      <c r="G115" s="6">
        <v>0</v>
      </c>
      <c r="H115" s="6">
        <v>29175.414476926791</v>
      </c>
      <c r="I115" s="6">
        <v>0</v>
      </c>
      <c r="J115" s="6">
        <f t="shared" si="19"/>
        <v>662519.96177273674</v>
      </c>
    </row>
    <row r="116" spans="1:10">
      <c r="A116" s="29" t="s">
        <v>30</v>
      </c>
      <c r="B116" s="6">
        <v>44666.02</v>
      </c>
      <c r="C116" s="6">
        <v>0</v>
      </c>
      <c r="D116" s="6">
        <v>2075.92</v>
      </c>
      <c r="E116" s="6">
        <v>20197.875102467446</v>
      </c>
      <c r="F116" s="6">
        <v>0</v>
      </c>
      <c r="G116" s="6">
        <v>0</v>
      </c>
      <c r="H116" s="6">
        <v>4419.627198161751</v>
      </c>
      <c r="I116" s="6">
        <v>0</v>
      </c>
      <c r="J116" s="6">
        <f t="shared" si="19"/>
        <v>71359.442300629191</v>
      </c>
    </row>
    <row r="117" spans="1:10">
      <c r="A117" s="29" t="s">
        <v>29</v>
      </c>
      <c r="B117" s="6">
        <v>103394.64</v>
      </c>
      <c r="C117" s="6">
        <v>0</v>
      </c>
      <c r="D117" s="6">
        <v>2457.9699999999998</v>
      </c>
      <c r="E117" s="6">
        <v>3084.2054592753461</v>
      </c>
      <c r="F117" s="6">
        <v>0</v>
      </c>
      <c r="G117" s="6">
        <v>0</v>
      </c>
      <c r="H117" s="6">
        <v>2526.5481542724938</v>
      </c>
      <c r="I117" s="6">
        <v>0</v>
      </c>
      <c r="J117" s="6">
        <f t="shared" si="19"/>
        <v>111463.36361354783</v>
      </c>
    </row>
    <row r="118" spans="1:10">
      <c r="A118" s="29" t="s">
        <v>28</v>
      </c>
      <c r="B118" s="6">
        <v>564</v>
      </c>
      <c r="C118" s="6">
        <v>0</v>
      </c>
      <c r="D118" s="6">
        <v>0</v>
      </c>
      <c r="E118" s="6">
        <v>13425.934501474994</v>
      </c>
      <c r="F118" s="6">
        <v>0</v>
      </c>
      <c r="G118" s="6">
        <v>0</v>
      </c>
      <c r="H118" s="6">
        <v>0</v>
      </c>
      <c r="I118" s="6">
        <v>0</v>
      </c>
      <c r="J118" s="6">
        <f t="shared" si="19"/>
        <v>13989.934501474994</v>
      </c>
    </row>
    <row r="119" spans="1:10">
      <c r="A119" s="29" t="s">
        <v>295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14388.041878162705</v>
      </c>
      <c r="I119" s="6">
        <v>0</v>
      </c>
      <c r="J119" s="6">
        <f t="shared" si="19"/>
        <v>14388.041878162705</v>
      </c>
    </row>
    <row r="120" spans="1:10">
      <c r="A120" s="29" t="s">
        <v>137</v>
      </c>
      <c r="B120" s="6">
        <v>32578.06</v>
      </c>
      <c r="C120" s="6">
        <v>0</v>
      </c>
      <c r="D120" s="6">
        <v>342.54</v>
      </c>
      <c r="E120" s="6">
        <v>7652.8311999071675</v>
      </c>
      <c r="F120" s="6">
        <v>0</v>
      </c>
      <c r="G120" s="6">
        <v>0</v>
      </c>
      <c r="H120" s="6">
        <v>456.23562694545382</v>
      </c>
      <c r="I120" s="6">
        <v>0</v>
      </c>
      <c r="J120" s="6">
        <f t="shared" si="19"/>
        <v>41029.666826852619</v>
      </c>
    </row>
    <row r="121" spans="1:10">
      <c r="A121" s="29" t="s">
        <v>136</v>
      </c>
      <c r="B121" s="6">
        <v>100091.25</v>
      </c>
      <c r="C121" s="6">
        <v>0</v>
      </c>
      <c r="D121" s="6">
        <v>6111.14</v>
      </c>
      <c r="E121" s="6">
        <v>1439.2996025327127</v>
      </c>
      <c r="F121" s="6">
        <v>0</v>
      </c>
      <c r="G121" s="6">
        <v>0</v>
      </c>
      <c r="H121" s="6">
        <v>4445.8985521256773</v>
      </c>
      <c r="I121" s="6">
        <v>0</v>
      </c>
      <c r="J121" s="6">
        <f t="shared" si="19"/>
        <v>112087.5881546584</v>
      </c>
    </row>
    <row r="122" spans="1:10">
      <c r="A122" s="28" t="s">
        <v>27</v>
      </c>
      <c r="B122" s="25">
        <f t="shared" ref="B122:J122" si="20">SUM(B111:B121)</f>
        <v>4482268.9399999985</v>
      </c>
      <c r="C122" s="25">
        <f t="shared" si="20"/>
        <v>0</v>
      </c>
      <c r="D122" s="25">
        <f t="shared" si="20"/>
        <v>210777.28000000003</v>
      </c>
      <c r="E122" s="25">
        <f t="shared" si="20"/>
        <v>570217.43376552733</v>
      </c>
      <c r="F122" s="25">
        <f t="shared" si="20"/>
        <v>0</v>
      </c>
      <c r="G122" s="25">
        <f t="shared" si="20"/>
        <v>0</v>
      </c>
      <c r="H122" s="25">
        <f t="shared" si="20"/>
        <v>409982.95226732088</v>
      </c>
      <c r="I122" s="25">
        <f t="shared" si="20"/>
        <v>0</v>
      </c>
      <c r="J122" s="25">
        <f t="shared" si="20"/>
        <v>5673246.6060328493</v>
      </c>
    </row>
    <row r="123" spans="1:10">
      <c r="A123" s="31" t="s">
        <v>26</v>
      </c>
      <c r="B123" s="30"/>
      <c r="C123" s="30"/>
      <c r="D123" s="30"/>
      <c r="E123" s="30"/>
      <c r="F123" s="30"/>
      <c r="G123" s="30"/>
      <c r="H123" s="30"/>
      <c r="I123" s="30"/>
      <c r="J123" s="30"/>
    </row>
    <row r="124" spans="1:10">
      <c r="A124" s="29" t="s">
        <v>179</v>
      </c>
      <c r="B124" s="6">
        <v>27956.720000000001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f t="shared" ref="J124:J136" si="21">SUM(B124:I124)</f>
        <v>27956.720000000001</v>
      </c>
    </row>
    <row r="125" spans="1:10">
      <c r="A125" s="29" t="s">
        <v>178</v>
      </c>
      <c r="B125" s="6">
        <v>16523.05</v>
      </c>
      <c r="C125" s="6">
        <v>0</v>
      </c>
      <c r="D125" s="6">
        <v>4111.97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f t="shared" si="21"/>
        <v>20635.02</v>
      </c>
    </row>
    <row r="126" spans="1:10">
      <c r="A126" s="29" t="s">
        <v>177</v>
      </c>
      <c r="B126" s="6">
        <v>12899.34</v>
      </c>
      <c r="C126" s="6">
        <v>0</v>
      </c>
      <c r="D126" s="6">
        <v>221.07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f t="shared" si="21"/>
        <v>13120.41</v>
      </c>
    </row>
    <row r="127" spans="1:10">
      <c r="A127" s="29" t="s">
        <v>176</v>
      </c>
      <c r="B127" s="6">
        <v>10078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f t="shared" si="21"/>
        <v>10078</v>
      </c>
    </row>
    <row r="128" spans="1:10">
      <c r="A128" s="29" t="s">
        <v>175</v>
      </c>
      <c r="B128" s="6">
        <v>33666.410000000003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437.17862121478151</v>
      </c>
      <c r="I128" s="6">
        <v>0</v>
      </c>
      <c r="J128" s="6">
        <f t="shared" si="21"/>
        <v>34103.588621214782</v>
      </c>
    </row>
    <row r="129" spans="1:10">
      <c r="A129" s="29" t="s">
        <v>174</v>
      </c>
      <c r="B129" s="6">
        <v>29556.560000000001</v>
      </c>
      <c r="C129" s="6">
        <v>0</v>
      </c>
      <c r="D129" s="6">
        <v>8500</v>
      </c>
      <c r="E129" s="6">
        <v>0</v>
      </c>
      <c r="F129" s="6">
        <v>0</v>
      </c>
      <c r="G129" s="6">
        <v>0</v>
      </c>
      <c r="H129" s="6">
        <v>737.13351708111554</v>
      </c>
      <c r="I129" s="6">
        <v>0</v>
      </c>
      <c r="J129" s="6">
        <f t="shared" si="21"/>
        <v>38793.693517081112</v>
      </c>
    </row>
    <row r="130" spans="1:10">
      <c r="A130" s="29" t="s">
        <v>173</v>
      </c>
      <c r="B130" s="6">
        <v>109319.95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f t="shared" si="21"/>
        <v>109319.95</v>
      </c>
    </row>
    <row r="131" spans="1:10">
      <c r="A131" s="29" t="s">
        <v>135</v>
      </c>
      <c r="B131" s="6">
        <v>100128.56</v>
      </c>
      <c r="C131" s="6">
        <v>0</v>
      </c>
      <c r="D131" s="6">
        <v>5160.87</v>
      </c>
      <c r="E131" s="6">
        <v>345.06894955158378</v>
      </c>
      <c r="F131" s="6">
        <v>0</v>
      </c>
      <c r="G131" s="6">
        <v>0</v>
      </c>
      <c r="H131" s="6">
        <v>432.35548762358229</v>
      </c>
      <c r="I131" s="6">
        <v>0</v>
      </c>
      <c r="J131" s="6">
        <f t="shared" si="21"/>
        <v>106066.85443717516</v>
      </c>
    </row>
    <row r="132" spans="1:10">
      <c r="A132" s="29" t="s">
        <v>25</v>
      </c>
      <c r="B132" s="6">
        <v>209203.34</v>
      </c>
      <c r="C132" s="6">
        <v>0</v>
      </c>
      <c r="D132" s="6">
        <v>6936.14</v>
      </c>
      <c r="E132" s="6">
        <v>838.70180162697352</v>
      </c>
      <c r="F132" s="6">
        <v>0</v>
      </c>
      <c r="G132" s="6">
        <v>0</v>
      </c>
      <c r="H132" s="6">
        <v>6183.4736597999772</v>
      </c>
      <c r="I132" s="6">
        <v>0</v>
      </c>
      <c r="J132" s="6">
        <f t="shared" si="21"/>
        <v>223161.65546142697</v>
      </c>
    </row>
    <row r="133" spans="1:10">
      <c r="A133" s="29" t="s">
        <v>134</v>
      </c>
      <c r="B133" s="6">
        <v>34114.300000000003</v>
      </c>
      <c r="C133" s="6">
        <v>0</v>
      </c>
      <c r="D133" s="6">
        <v>5164.17</v>
      </c>
      <c r="E133" s="6">
        <v>0</v>
      </c>
      <c r="F133" s="6">
        <v>0</v>
      </c>
      <c r="G133" s="6">
        <v>0</v>
      </c>
      <c r="H133" s="6">
        <v>221.4488165904072</v>
      </c>
      <c r="I133" s="6">
        <v>0</v>
      </c>
      <c r="J133" s="6">
        <f t="shared" si="21"/>
        <v>39499.918816590405</v>
      </c>
    </row>
    <row r="134" spans="1:10">
      <c r="A134" s="29" t="s">
        <v>172</v>
      </c>
      <c r="B134" s="6">
        <v>38505.870000000003</v>
      </c>
      <c r="C134" s="6">
        <v>0</v>
      </c>
      <c r="D134" s="6">
        <v>1477.1</v>
      </c>
      <c r="E134" s="6">
        <v>0</v>
      </c>
      <c r="F134" s="6">
        <v>0</v>
      </c>
      <c r="G134" s="6">
        <v>0</v>
      </c>
      <c r="H134" s="6">
        <v>135.50141476746853</v>
      </c>
      <c r="I134" s="6">
        <v>0</v>
      </c>
      <c r="J134" s="6">
        <f t="shared" si="21"/>
        <v>40118.471414767468</v>
      </c>
    </row>
    <row r="135" spans="1:10">
      <c r="A135" s="29" t="s">
        <v>171</v>
      </c>
      <c r="B135" s="6">
        <v>30679.82</v>
      </c>
      <c r="C135" s="6">
        <v>0</v>
      </c>
      <c r="D135" s="6">
        <v>2609.6</v>
      </c>
      <c r="E135" s="6">
        <v>195.70759316488491</v>
      </c>
      <c r="F135" s="6">
        <v>0</v>
      </c>
      <c r="G135" s="6">
        <v>0</v>
      </c>
      <c r="H135" s="6">
        <v>5454.9328474370877</v>
      </c>
      <c r="I135" s="6">
        <v>0</v>
      </c>
      <c r="J135" s="6">
        <f t="shared" si="21"/>
        <v>38940.06044060197</v>
      </c>
    </row>
    <row r="136" spans="1:10">
      <c r="A136" s="29" t="s">
        <v>170</v>
      </c>
      <c r="B136" s="6">
        <v>411794.65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f t="shared" si="21"/>
        <v>411794.65</v>
      </c>
    </row>
    <row r="137" spans="1:10">
      <c r="A137" s="28" t="s">
        <v>24</v>
      </c>
      <c r="B137" s="25">
        <f t="shared" ref="B137:J137" si="22">SUM(B124:B136)</f>
        <v>1064426.5699999998</v>
      </c>
      <c r="C137" s="25">
        <f t="shared" si="22"/>
        <v>0</v>
      </c>
      <c r="D137" s="25">
        <f t="shared" si="22"/>
        <v>34180.92</v>
      </c>
      <c r="E137" s="25">
        <f t="shared" si="22"/>
        <v>1379.4783443434421</v>
      </c>
      <c r="F137" s="25">
        <f t="shared" si="22"/>
        <v>0</v>
      </c>
      <c r="G137" s="25">
        <f t="shared" si="22"/>
        <v>0</v>
      </c>
      <c r="H137" s="25">
        <f t="shared" si="22"/>
        <v>13602.024364514418</v>
      </c>
      <c r="I137" s="25">
        <f t="shared" si="22"/>
        <v>0</v>
      </c>
      <c r="J137" s="25">
        <f t="shared" si="22"/>
        <v>1113588.9927088581</v>
      </c>
    </row>
    <row r="138" spans="1:10">
      <c r="A138" s="31" t="s">
        <v>23</v>
      </c>
      <c r="B138" s="30"/>
      <c r="C138" s="30"/>
      <c r="D138" s="30"/>
      <c r="E138" s="30"/>
      <c r="F138" s="30"/>
      <c r="G138" s="30"/>
      <c r="H138" s="30"/>
      <c r="I138" s="30"/>
      <c r="J138" s="30"/>
    </row>
    <row r="139" spans="1:10">
      <c r="A139" s="29" t="s">
        <v>133</v>
      </c>
      <c r="B139" s="6">
        <v>100112.16</v>
      </c>
      <c r="C139" s="6">
        <v>0</v>
      </c>
      <c r="D139" s="6">
        <v>178.2</v>
      </c>
      <c r="E139" s="6">
        <v>0</v>
      </c>
      <c r="F139" s="6">
        <v>0</v>
      </c>
      <c r="G139" s="6">
        <v>0</v>
      </c>
      <c r="H139" s="6">
        <v>1697.6713954853919</v>
      </c>
      <c r="I139" s="6">
        <v>0</v>
      </c>
      <c r="J139" s="6">
        <f t="shared" ref="J139:J145" si="23">SUM(B139:I139)</f>
        <v>101988.03139548539</v>
      </c>
    </row>
    <row r="140" spans="1:10">
      <c r="A140" s="29" t="s">
        <v>169</v>
      </c>
      <c r="B140" s="6">
        <v>59912.58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f t="shared" si="23"/>
        <v>59912.58</v>
      </c>
    </row>
    <row r="141" spans="1:10">
      <c r="A141" s="29" t="s">
        <v>168</v>
      </c>
      <c r="B141" s="6">
        <v>214817.36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3516.1100527658064</v>
      </c>
      <c r="I141" s="6">
        <v>0</v>
      </c>
      <c r="J141" s="6">
        <f t="shared" si="23"/>
        <v>218333.4700527658</v>
      </c>
    </row>
    <row r="142" spans="1:10">
      <c r="A142" s="29" t="s">
        <v>167</v>
      </c>
      <c r="B142" s="6">
        <v>39219.160000000003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6382.3382963573922</v>
      </c>
      <c r="I142" s="6">
        <v>0</v>
      </c>
      <c r="J142" s="6">
        <f t="shared" si="23"/>
        <v>45601.498296357393</v>
      </c>
    </row>
    <row r="143" spans="1:10">
      <c r="A143" s="29" t="s">
        <v>22</v>
      </c>
      <c r="B143" s="6">
        <v>0</v>
      </c>
      <c r="C143" s="6">
        <v>0</v>
      </c>
      <c r="D143" s="6">
        <v>0</v>
      </c>
      <c r="E143" s="6">
        <v>4035.2864634302437</v>
      </c>
      <c r="F143" s="6">
        <v>0</v>
      </c>
      <c r="G143" s="6">
        <v>0</v>
      </c>
      <c r="H143" s="6">
        <v>0</v>
      </c>
      <c r="I143" s="6">
        <v>0</v>
      </c>
      <c r="J143" s="6">
        <f t="shared" si="23"/>
        <v>4035.2864634302437</v>
      </c>
    </row>
    <row r="144" spans="1:10">
      <c r="A144" s="29" t="s">
        <v>21</v>
      </c>
      <c r="B144" s="6">
        <v>0</v>
      </c>
      <c r="C144" s="6">
        <v>0</v>
      </c>
      <c r="D144" s="6">
        <v>3579.8</v>
      </c>
      <c r="E144" s="6">
        <v>12430.943123522282</v>
      </c>
      <c r="F144" s="6">
        <v>0</v>
      </c>
      <c r="G144" s="6">
        <v>1139.5872357889255</v>
      </c>
      <c r="H144" s="6">
        <v>0</v>
      </c>
      <c r="I144" s="6">
        <v>0</v>
      </c>
      <c r="J144" s="6">
        <f t="shared" si="23"/>
        <v>17150.330359311207</v>
      </c>
    </row>
    <row r="145" spans="1:10">
      <c r="A145" s="29" t="s">
        <v>132</v>
      </c>
      <c r="B145" s="6">
        <v>91978.2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4434.8037029096813</v>
      </c>
      <c r="I145" s="6">
        <v>0</v>
      </c>
      <c r="J145" s="6">
        <f t="shared" si="23"/>
        <v>96413.003702909686</v>
      </c>
    </row>
    <row r="146" spans="1:10">
      <c r="A146" s="28" t="s">
        <v>20</v>
      </c>
      <c r="B146" s="25">
        <f t="shared" ref="B146:J146" si="24">SUM(B139:B145)</f>
        <v>506039.46</v>
      </c>
      <c r="C146" s="25">
        <f t="shared" si="24"/>
        <v>0</v>
      </c>
      <c r="D146" s="25">
        <f t="shared" si="24"/>
        <v>3758</v>
      </c>
      <c r="E146" s="25">
        <f t="shared" si="24"/>
        <v>16466.229586952526</v>
      </c>
      <c r="F146" s="25">
        <f t="shared" si="24"/>
        <v>0</v>
      </c>
      <c r="G146" s="25">
        <f t="shared" si="24"/>
        <v>1139.5872357889255</v>
      </c>
      <c r="H146" s="25">
        <f t="shared" si="24"/>
        <v>16030.923447518271</v>
      </c>
      <c r="I146" s="25">
        <f t="shared" si="24"/>
        <v>0</v>
      </c>
      <c r="J146" s="25">
        <f t="shared" si="24"/>
        <v>543434.20027025975</v>
      </c>
    </row>
    <row r="147" spans="1:10">
      <c r="A147" s="31" t="s">
        <v>19</v>
      </c>
      <c r="B147" s="30"/>
      <c r="C147" s="30"/>
      <c r="D147" s="30"/>
      <c r="E147" s="30"/>
      <c r="F147" s="30"/>
      <c r="G147" s="30"/>
      <c r="H147" s="30"/>
      <c r="I147" s="30"/>
      <c r="J147" s="30"/>
    </row>
    <row r="148" spans="1:10">
      <c r="A148" s="29" t="s">
        <v>18</v>
      </c>
      <c r="B148" s="6">
        <v>214858.23999999999</v>
      </c>
      <c r="C148" s="6">
        <v>0</v>
      </c>
      <c r="D148" s="6">
        <v>35059.980000000003</v>
      </c>
      <c r="E148" s="6">
        <v>26441.043637260726</v>
      </c>
      <c r="F148" s="6">
        <v>0</v>
      </c>
      <c r="G148" s="6">
        <v>0</v>
      </c>
      <c r="H148" s="6">
        <v>11648.439007498031</v>
      </c>
      <c r="I148" s="6">
        <v>0</v>
      </c>
      <c r="J148" s="6">
        <f t="shared" ref="J148:J155" si="25">SUM(B148:I148)</f>
        <v>288007.70264475874</v>
      </c>
    </row>
    <row r="149" spans="1:10">
      <c r="A149" s="29" t="s">
        <v>294</v>
      </c>
      <c r="B149" s="6">
        <v>0</v>
      </c>
      <c r="C149" s="6">
        <v>0</v>
      </c>
      <c r="D149" s="6">
        <v>113507.23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f t="shared" si="25"/>
        <v>113507.23</v>
      </c>
    </row>
    <row r="150" spans="1:10">
      <c r="A150" s="29" t="s">
        <v>153</v>
      </c>
      <c r="B150" s="6">
        <v>102409.94</v>
      </c>
      <c r="C150" s="6">
        <v>0</v>
      </c>
      <c r="D150" s="6">
        <v>0</v>
      </c>
      <c r="E150" s="6">
        <v>25637.31726675573</v>
      </c>
      <c r="F150" s="6">
        <v>0</v>
      </c>
      <c r="G150" s="6">
        <v>0</v>
      </c>
      <c r="H150" s="6">
        <v>4346.9079097167178</v>
      </c>
      <c r="I150" s="6">
        <v>0</v>
      </c>
      <c r="J150" s="6">
        <f t="shared" si="25"/>
        <v>132394.16517647245</v>
      </c>
    </row>
    <row r="151" spans="1:10">
      <c r="A151" s="29" t="s">
        <v>166</v>
      </c>
      <c r="B151" s="6">
        <v>1419608.43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f t="shared" si="25"/>
        <v>1419608.43</v>
      </c>
    </row>
    <row r="152" spans="1:10">
      <c r="A152" s="29" t="s">
        <v>165</v>
      </c>
      <c r="B152" s="6">
        <v>3697781.67</v>
      </c>
      <c r="C152" s="6">
        <v>0</v>
      </c>
      <c r="D152" s="6">
        <v>119326.13</v>
      </c>
      <c r="E152" s="6">
        <v>129.59598333704247</v>
      </c>
      <c r="F152" s="6">
        <v>0</v>
      </c>
      <c r="G152" s="6">
        <v>0</v>
      </c>
      <c r="H152" s="6">
        <v>3047.8515449339657</v>
      </c>
      <c r="I152" s="6">
        <v>0</v>
      </c>
      <c r="J152" s="6">
        <f t="shared" si="25"/>
        <v>3820285.2475282708</v>
      </c>
    </row>
    <row r="153" spans="1:10">
      <c r="A153" s="29" t="s">
        <v>164</v>
      </c>
      <c r="B153" s="6">
        <v>1247169.26</v>
      </c>
      <c r="C153" s="6">
        <v>0</v>
      </c>
      <c r="D153" s="6">
        <v>15618.31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f t="shared" si="25"/>
        <v>1262787.57</v>
      </c>
    </row>
    <row r="154" spans="1:10">
      <c r="A154" s="29" t="s">
        <v>163</v>
      </c>
      <c r="B154" s="6">
        <v>648799.69999999995</v>
      </c>
      <c r="C154" s="6">
        <v>0</v>
      </c>
      <c r="D154" s="6">
        <v>20850.330000000002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f t="shared" si="25"/>
        <v>669650.02999999991</v>
      </c>
    </row>
    <row r="155" spans="1:10">
      <c r="A155" s="29" t="s">
        <v>17</v>
      </c>
      <c r="B155" s="6">
        <v>81473.06</v>
      </c>
      <c r="C155" s="6">
        <v>0</v>
      </c>
      <c r="D155" s="6">
        <v>3184.29</v>
      </c>
      <c r="E155" s="6">
        <v>6613.7491731180417</v>
      </c>
      <c r="F155" s="6">
        <v>0</v>
      </c>
      <c r="G155" s="6">
        <v>0</v>
      </c>
      <c r="H155" s="6">
        <v>18770.005078526108</v>
      </c>
      <c r="I155" s="6">
        <v>0</v>
      </c>
      <c r="J155" s="6">
        <f t="shared" si="25"/>
        <v>110041.10425164415</v>
      </c>
    </row>
    <row r="156" spans="1:10">
      <c r="A156" s="28" t="s">
        <v>16</v>
      </c>
      <c r="B156" s="25">
        <f t="shared" ref="B156:J156" si="26">SUM(B148:B155)</f>
        <v>7412100.2999999989</v>
      </c>
      <c r="C156" s="25">
        <f t="shared" si="26"/>
        <v>0</v>
      </c>
      <c r="D156" s="25">
        <f t="shared" si="26"/>
        <v>307546.26999999996</v>
      </c>
      <c r="E156" s="25">
        <f t="shared" si="26"/>
        <v>58821.706060471544</v>
      </c>
      <c r="F156" s="25">
        <f t="shared" si="26"/>
        <v>0</v>
      </c>
      <c r="G156" s="25">
        <f t="shared" si="26"/>
        <v>0</v>
      </c>
      <c r="H156" s="25">
        <f t="shared" si="26"/>
        <v>37813.203540674818</v>
      </c>
      <c r="I156" s="25">
        <f t="shared" si="26"/>
        <v>0</v>
      </c>
      <c r="J156" s="25">
        <f t="shared" si="26"/>
        <v>7816281.4796011467</v>
      </c>
    </row>
    <row r="157" spans="1:10">
      <c r="A157" s="27" t="s">
        <v>15</v>
      </c>
      <c r="B157" s="25">
        <f t="shared" ref="B157:J157" si="27">SUM(B94,B101,B104,B109,B122,B137,B146,B156)</f>
        <v>16227186.719999999</v>
      </c>
      <c r="C157" s="25">
        <f t="shared" si="27"/>
        <v>7363</v>
      </c>
      <c r="D157" s="25">
        <f t="shared" si="27"/>
        <v>652802.87</v>
      </c>
      <c r="E157" s="25">
        <f t="shared" si="27"/>
        <v>700219.03739424155</v>
      </c>
      <c r="F157" s="25">
        <f t="shared" si="27"/>
        <v>8642.0820380854038</v>
      </c>
      <c r="G157" s="25">
        <f t="shared" si="27"/>
        <v>1139.5872357889255</v>
      </c>
      <c r="H157" s="25">
        <f t="shared" si="27"/>
        <v>638277.60284490976</v>
      </c>
      <c r="I157" s="25">
        <f t="shared" si="27"/>
        <v>0</v>
      </c>
      <c r="J157" s="25">
        <f t="shared" si="27"/>
        <v>18235630.899513029</v>
      </c>
    </row>
    <row r="158" spans="1:10">
      <c r="A158" s="32" t="s">
        <v>293</v>
      </c>
      <c r="B158" s="30"/>
      <c r="C158" s="30"/>
      <c r="D158" s="30"/>
      <c r="E158" s="30"/>
      <c r="F158" s="30"/>
      <c r="G158" s="30"/>
      <c r="H158" s="30"/>
      <c r="I158" s="30"/>
      <c r="J158" s="30"/>
    </row>
    <row r="159" spans="1:10">
      <c r="A159" s="3" t="s">
        <v>162</v>
      </c>
      <c r="B159" s="6">
        <v>-1991369.04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f>SUM(B159:I159)</f>
        <v>-1991369.04</v>
      </c>
    </row>
    <row r="160" spans="1:10">
      <c r="A160" s="3" t="s">
        <v>161</v>
      </c>
      <c r="B160" s="6">
        <v>-37191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f>SUM(B160:I160)</f>
        <v>-37191</v>
      </c>
    </row>
    <row r="161" spans="1:10">
      <c r="A161" s="27" t="s">
        <v>292</v>
      </c>
      <c r="B161" s="25">
        <f t="shared" ref="B161:J161" si="28">SUM(B159:B160)</f>
        <v>-2028560.04</v>
      </c>
      <c r="C161" s="25">
        <f t="shared" si="28"/>
        <v>0</v>
      </c>
      <c r="D161" s="25">
        <f t="shared" si="28"/>
        <v>0</v>
      </c>
      <c r="E161" s="25">
        <f t="shared" si="28"/>
        <v>0</v>
      </c>
      <c r="F161" s="25">
        <f t="shared" si="28"/>
        <v>0</v>
      </c>
      <c r="G161" s="25">
        <f t="shared" si="28"/>
        <v>0</v>
      </c>
      <c r="H161" s="25">
        <f t="shared" si="28"/>
        <v>0</v>
      </c>
      <c r="I161" s="25">
        <f t="shared" si="28"/>
        <v>0</v>
      </c>
      <c r="J161" s="25">
        <f t="shared" si="28"/>
        <v>-2028560.04</v>
      </c>
    </row>
    <row r="162" spans="1:10">
      <c r="A162" s="26" t="s">
        <v>291</v>
      </c>
      <c r="B162" s="25">
        <f t="shared" ref="B162:J162" si="29">SUM(B87,B157,B161)</f>
        <v>26887017.890000001</v>
      </c>
      <c r="C162" s="25">
        <f t="shared" si="29"/>
        <v>7363</v>
      </c>
      <c r="D162" s="25">
        <f t="shared" si="29"/>
        <v>1888789.69</v>
      </c>
      <c r="E162" s="25">
        <f t="shared" si="29"/>
        <v>825796.84108456539</v>
      </c>
      <c r="F162" s="25">
        <f t="shared" si="29"/>
        <v>8642.0820380854038</v>
      </c>
      <c r="G162" s="25">
        <f t="shared" si="29"/>
        <v>1139.5872357889255</v>
      </c>
      <c r="H162" s="25">
        <f t="shared" si="29"/>
        <v>1207032.0731559687</v>
      </c>
      <c r="I162" s="25">
        <f t="shared" si="29"/>
        <v>0</v>
      </c>
      <c r="J162" s="25">
        <f t="shared" si="29"/>
        <v>30825781.163514413</v>
      </c>
    </row>
    <row r="163" spans="1:10">
      <c r="A163" s="24" t="s">
        <v>290</v>
      </c>
      <c r="B163" s="23">
        <f t="shared" ref="B163:J163" si="30">B69-B162</f>
        <v>2463519.650000006</v>
      </c>
      <c r="C163" s="23">
        <f t="shared" si="30"/>
        <v>28739.230000000003</v>
      </c>
      <c r="D163" s="23">
        <f t="shared" si="30"/>
        <v>-212009.0299999998</v>
      </c>
      <c r="E163" s="23">
        <f t="shared" si="30"/>
        <v>283296.50551303162</v>
      </c>
      <c r="F163" s="23">
        <f t="shared" si="30"/>
        <v>-8642.0820380854038</v>
      </c>
      <c r="G163" s="23">
        <f t="shared" si="30"/>
        <v>-1139.5872357889255</v>
      </c>
      <c r="H163" s="23">
        <f t="shared" si="30"/>
        <v>693372.49455309636</v>
      </c>
      <c r="I163" s="23">
        <f t="shared" si="30"/>
        <v>25045.94000000041</v>
      </c>
      <c r="J163" s="23">
        <f t="shared" si="30"/>
        <v>3272183.1207922474</v>
      </c>
    </row>
    <row r="164" spans="1:10">
      <c r="A164" s="34" t="s">
        <v>289</v>
      </c>
      <c r="B164" s="30"/>
      <c r="C164" s="30"/>
      <c r="D164" s="30"/>
      <c r="E164" s="30"/>
      <c r="F164" s="30"/>
      <c r="G164" s="30"/>
      <c r="H164" s="30"/>
      <c r="I164" s="30"/>
      <c r="J164" s="30"/>
    </row>
    <row r="165" spans="1:10">
      <c r="A165" s="33" t="s">
        <v>288</v>
      </c>
      <c r="B165" s="30"/>
      <c r="C165" s="30"/>
      <c r="D165" s="30"/>
      <c r="E165" s="30"/>
      <c r="F165" s="30"/>
      <c r="G165" s="30"/>
      <c r="H165" s="30"/>
      <c r="I165" s="30"/>
      <c r="J165" s="30"/>
    </row>
    <row r="166" spans="1:10">
      <c r="A166" s="32" t="s">
        <v>287</v>
      </c>
      <c r="B166" s="30"/>
      <c r="C166" s="30"/>
      <c r="D166" s="30"/>
      <c r="E166" s="30"/>
      <c r="F166" s="30"/>
      <c r="G166" s="30"/>
      <c r="H166" s="30"/>
      <c r="I166" s="30"/>
      <c r="J166" s="30"/>
    </row>
    <row r="167" spans="1:10">
      <c r="A167" s="3" t="s">
        <v>286</v>
      </c>
      <c r="B167" s="6">
        <v>750000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-750000</v>
      </c>
      <c r="J167" s="6">
        <f>SUM(B167:I167)</f>
        <v>0</v>
      </c>
    </row>
    <row r="168" spans="1:10">
      <c r="A168" s="27" t="s">
        <v>285</v>
      </c>
      <c r="B168" s="25">
        <f t="shared" ref="B168:J169" si="31">SUM(B167)</f>
        <v>750000</v>
      </c>
      <c r="C168" s="25">
        <f t="shared" si="31"/>
        <v>0</v>
      </c>
      <c r="D168" s="25">
        <f t="shared" si="31"/>
        <v>0</v>
      </c>
      <c r="E168" s="25">
        <f t="shared" si="31"/>
        <v>0</v>
      </c>
      <c r="F168" s="25">
        <f t="shared" si="31"/>
        <v>0</v>
      </c>
      <c r="G168" s="25">
        <f t="shared" si="31"/>
        <v>0</v>
      </c>
      <c r="H168" s="25">
        <f t="shared" si="31"/>
        <v>0</v>
      </c>
      <c r="I168" s="25">
        <f t="shared" si="31"/>
        <v>-750000</v>
      </c>
      <c r="J168" s="25">
        <f t="shared" si="31"/>
        <v>0</v>
      </c>
    </row>
    <row r="169" spans="1:10">
      <c r="A169" s="26" t="s">
        <v>284</v>
      </c>
      <c r="B169" s="25">
        <f t="shared" si="31"/>
        <v>750000</v>
      </c>
      <c r="C169" s="25">
        <f t="shared" si="31"/>
        <v>0</v>
      </c>
      <c r="D169" s="25">
        <f t="shared" si="31"/>
        <v>0</v>
      </c>
      <c r="E169" s="25">
        <f t="shared" si="31"/>
        <v>0</v>
      </c>
      <c r="F169" s="25">
        <f t="shared" si="31"/>
        <v>0</v>
      </c>
      <c r="G169" s="25">
        <f t="shared" si="31"/>
        <v>0</v>
      </c>
      <c r="H169" s="25">
        <f t="shared" si="31"/>
        <v>0</v>
      </c>
      <c r="I169" s="25">
        <f t="shared" si="31"/>
        <v>-750000</v>
      </c>
      <c r="J169" s="25">
        <f t="shared" si="31"/>
        <v>0</v>
      </c>
    </row>
    <row r="170" spans="1:10">
      <c r="A170" s="33" t="s">
        <v>283</v>
      </c>
      <c r="B170" s="30"/>
      <c r="C170" s="30"/>
      <c r="D170" s="30"/>
      <c r="E170" s="30"/>
      <c r="F170" s="30"/>
      <c r="G170" s="30"/>
      <c r="H170" s="30"/>
      <c r="I170" s="30"/>
      <c r="J170" s="30"/>
    </row>
    <row r="171" spans="1:10">
      <c r="A171" s="32" t="s">
        <v>14</v>
      </c>
      <c r="B171" s="30"/>
      <c r="C171" s="30"/>
      <c r="D171" s="30"/>
      <c r="E171" s="30"/>
      <c r="F171" s="30"/>
      <c r="G171" s="30"/>
      <c r="H171" s="30"/>
      <c r="I171" s="30"/>
      <c r="J171" s="30"/>
    </row>
    <row r="172" spans="1:10">
      <c r="A172" s="31" t="s">
        <v>13</v>
      </c>
      <c r="B172" s="30"/>
      <c r="C172" s="30"/>
      <c r="D172" s="30"/>
      <c r="E172" s="30"/>
      <c r="F172" s="30"/>
      <c r="G172" s="30"/>
      <c r="H172" s="30"/>
      <c r="I172" s="30"/>
      <c r="J172" s="30"/>
    </row>
    <row r="173" spans="1:10">
      <c r="A173" s="29" t="s">
        <v>12</v>
      </c>
      <c r="B173" s="6">
        <v>4316896.49</v>
      </c>
      <c r="C173" s="6">
        <v>0</v>
      </c>
      <c r="D173" s="6">
        <v>89605.04</v>
      </c>
      <c r="E173" s="6">
        <v>69189.198853530164</v>
      </c>
      <c r="F173" s="6">
        <v>0</v>
      </c>
      <c r="G173" s="6">
        <v>0</v>
      </c>
      <c r="H173" s="6">
        <v>107972.79624309117</v>
      </c>
      <c r="I173" s="6">
        <v>0</v>
      </c>
      <c r="J173" s="6">
        <f>SUM(B173:I173)</f>
        <v>4583663.5250966214</v>
      </c>
    </row>
    <row r="174" spans="1:10">
      <c r="A174" s="29" t="s">
        <v>11</v>
      </c>
      <c r="B174" s="6">
        <v>446214.93</v>
      </c>
      <c r="C174" s="6">
        <v>0</v>
      </c>
      <c r="D174" s="6">
        <v>14273.66</v>
      </c>
      <c r="E174" s="6">
        <v>789.99350759303911</v>
      </c>
      <c r="F174" s="6">
        <v>0</v>
      </c>
      <c r="G174" s="6">
        <v>0</v>
      </c>
      <c r="H174" s="6">
        <v>0</v>
      </c>
      <c r="I174" s="6">
        <v>0</v>
      </c>
      <c r="J174" s="6">
        <f>SUM(B174:I174)</f>
        <v>461278.58350759302</v>
      </c>
    </row>
    <row r="175" spans="1:10">
      <c r="A175" s="28" t="s">
        <v>10</v>
      </c>
      <c r="B175" s="25">
        <f t="shared" ref="B175:J175" si="32">SUM(B173:B174)</f>
        <v>4763111.42</v>
      </c>
      <c r="C175" s="25">
        <f t="shared" si="32"/>
        <v>0</v>
      </c>
      <c r="D175" s="25">
        <f t="shared" si="32"/>
        <v>103878.7</v>
      </c>
      <c r="E175" s="25">
        <f t="shared" si="32"/>
        <v>69979.192361123205</v>
      </c>
      <c r="F175" s="25">
        <f t="shared" si="32"/>
        <v>0</v>
      </c>
      <c r="G175" s="25">
        <f t="shared" si="32"/>
        <v>0</v>
      </c>
      <c r="H175" s="25">
        <f t="shared" si="32"/>
        <v>107972.79624309117</v>
      </c>
      <c r="I175" s="25">
        <f t="shared" si="32"/>
        <v>0</v>
      </c>
      <c r="J175" s="25">
        <f t="shared" si="32"/>
        <v>5044942.1086042142</v>
      </c>
    </row>
    <row r="176" spans="1:10">
      <c r="A176" s="31" t="s">
        <v>9</v>
      </c>
      <c r="B176" s="30"/>
      <c r="C176" s="30"/>
      <c r="D176" s="30"/>
      <c r="E176" s="30"/>
      <c r="F176" s="30"/>
      <c r="G176" s="30"/>
      <c r="H176" s="30"/>
      <c r="I176" s="30"/>
      <c r="J176" s="30"/>
    </row>
    <row r="177" spans="1:10">
      <c r="A177" s="29" t="s">
        <v>8</v>
      </c>
      <c r="B177" s="6">
        <v>33587.21</v>
      </c>
      <c r="C177" s="6">
        <v>120.29</v>
      </c>
      <c r="D177" s="6">
        <v>2463.1</v>
      </c>
      <c r="E177" s="6">
        <v>2323.9010065156267</v>
      </c>
      <c r="F177" s="6">
        <v>3564.6078727815957</v>
      </c>
      <c r="G177" s="6">
        <v>581.51916323224032</v>
      </c>
      <c r="H177" s="6">
        <v>16293.04286761567</v>
      </c>
      <c r="I177" s="6">
        <v>0</v>
      </c>
      <c r="J177" s="6">
        <f>SUM(B177:I177)</f>
        <v>58933.670910145127</v>
      </c>
    </row>
    <row r="178" spans="1:10">
      <c r="A178" s="29" t="s">
        <v>160</v>
      </c>
      <c r="B178" s="6">
        <v>237095.27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f>SUM(B178:I178)</f>
        <v>237095.27</v>
      </c>
    </row>
    <row r="179" spans="1:10">
      <c r="A179" s="29" t="s">
        <v>7</v>
      </c>
      <c r="B179" s="6">
        <v>4202.96</v>
      </c>
      <c r="C179" s="6">
        <v>57.2</v>
      </c>
      <c r="D179" s="6">
        <v>103.21</v>
      </c>
      <c r="E179" s="6">
        <v>0</v>
      </c>
      <c r="F179" s="6">
        <v>0</v>
      </c>
      <c r="G179" s="6">
        <v>6.3210235742533509</v>
      </c>
      <c r="H179" s="6">
        <v>0.91874964699256956</v>
      </c>
      <c r="I179" s="6">
        <v>0</v>
      </c>
      <c r="J179" s="6">
        <f>SUM(B179:I179)</f>
        <v>4370.6097732212456</v>
      </c>
    </row>
    <row r="180" spans="1:10">
      <c r="A180" s="28" t="s">
        <v>6</v>
      </c>
      <c r="B180" s="25">
        <f t="shared" ref="B180:J180" si="33">SUM(B177:B179)</f>
        <v>274885.44</v>
      </c>
      <c r="C180" s="25">
        <f t="shared" si="33"/>
        <v>177.49</v>
      </c>
      <c r="D180" s="25">
        <f t="shared" si="33"/>
        <v>2566.31</v>
      </c>
      <c r="E180" s="25">
        <f t="shared" si="33"/>
        <v>2323.9010065156267</v>
      </c>
      <c r="F180" s="25">
        <f t="shared" si="33"/>
        <v>3564.6078727815957</v>
      </c>
      <c r="G180" s="25">
        <f t="shared" si="33"/>
        <v>587.84018680649365</v>
      </c>
      <c r="H180" s="25">
        <f t="shared" si="33"/>
        <v>16293.961617262663</v>
      </c>
      <c r="I180" s="25">
        <f t="shared" si="33"/>
        <v>0</v>
      </c>
      <c r="J180" s="25">
        <f t="shared" si="33"/>
        <v>300399.55068336637</v>
      </c>
    </row>
    <row r="181" spans="1:10">
      <c r="A181" s="31" t="s">
        <v>131</v>
      </c>
      <c r="B181" s="30"/>
      <c r="C181" s="30"/>
      <c r="D181" s="30"/>
      <c r="E181" s="30"/>
      <c r="F181" s="30"/>
      <c r="G181" s="30"/>
      <c r="H181" s="30"/>
      <c r="I181" s="30"/>
      <c r="J181" s="30"/>
    </row>
    <row r="182" spans="1:10">
      <c r="A182" s="29" t="s">
        <v>282</v>
      </c>
      <c r="B182" s="6">
        <v>0.04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f t="shared" ref="J182:J187" si="34">SUM(B182:I182)</f>
        <v>0.04</v>
      </c>
    </row>
    <row r="183" spans="1:10">
      <c r="A183" s="29" t="s">
        <v>281</v>
      </c>
      <c r="B183" s="6">
        <v>-71.209999999999994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217.30051743528421</v>
      </c>
      <c r="I183" s="6">
        <v>0</v>
      </c>
      <c r="J183" s="6">
        <f t="shared" si="34"/>
        <v>146.0905174352842</v>
      </c>
    </row>
    <row r="184" spans="1:10">
      <c r="A184" s="29" t="s">
        <v>280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33105.980000000003</v>
      </c>
      <c r="J184" s="6">
        <f t="shared" si="34"/>
        <v>33105.980000000003</v>
      </c>
    </row>
    <row r="185" spans="1:10">
      <c r="A185" s="29" t="s">
        <v>130</v>
      </c>
      <c r="B185" s="6">
        <v>-186.92</v>
      </c>
      <c r="C185" s="6">
        <v>0</v>
      </c>
      <c r="D185" s="6">
        <v>-0.1</v>
      </c>
      <c r="E185" s="6">
        <v>-1.352575060957917E-2</v>
      </c>
      <c r="F185" s="6">
        <v>0</v>
      </c>
      <c r="G185" s="6">
        <v>0</v>
      </c>
      <c r="H185" s="6">
        <v>1.3653424310495008</v>
      </c>
      <c r="I185" s="6">
        <v>0</v>
      </c>
      <c r="J185" s="6">
        <f t="shared" si="34"/>
        <v>-185.66818331956006</v>
      </c>
    </row>
    <row r="186" spans="1:10">
      <c r="A186" s="29" t="s">
        <v>279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-2.9575146960279985</v>
      </c>
      <c r="I186" s="6">
        <v>0</v>
      </c>
      <c r="J186" s="6">
        <f t="shared" si="34"/>
        <v>-2.9575146960279985</v>
      </c>
    </row>
    <row r="187" spans="1:10">
      <c r="A187" s="29" t="s">
        <v>278</v>
      </c>
      <c r="B187" s="6">
        <v>2507454.5099999998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f t="shared" si="34"/>
        <v>2507454.5099999998</v>
      </c>
    </row>
    <row r="188" spans="1:10">
      <c r="A188" s="28" t="s">
        <v>129</v>
      </c>
      <c r="B188" s="25">
        <f t="shared" ref="B188:J188" si="35">SUM(B182:B187)</f>
        <v>2507196.42</v>
      </c>
      <c r="C188" s="25">
        <f t="shared" si="35"/>
        <v>0</v>
      </c>
      <c r="D188" s="25">
        <f t="shared" si="35"/>
        <v>-0.1</v>
      </c>
      <c r="E188" s="25">
        <f t="shared" si="35"/>
        <v>-1.352575060957917E-2</v>
      </c>
      <c r="F188" s="25">
        <f t="shared" si="35"/>
        <v>0</v>
      </c>
      <c r="G188" s="25">
        <f t="shared" si="35"/>
        <v>0</v>
      </c>
      <c r="H188" s="25">
        <f t="shared" si="35"/>
        <v>215.70834517030571</v>
      </c>
      <c r="I188" s="25">
        <f t="shared" si="35"/>
        <v>33105.980000000003</v>
      </c>
      <c r="J188" s="25">
        <f t="shared" si="35"/>
        <v>2540517.9948194195</v>
      </c>
    </row>
    <row r="189" spans="1:10">
      <c r="A189" s="31" t="s">
        <v>5</v>
      </c>
      <c r="B189" s="30"/>
      <c r="C189" s="30"/>
      <c r="D189" s="30"/>
      <c r="E189" s="30"/>
      <c r="F189" s="30"/>
      <c r="G189" s="30"/>
      <c r="H189" s="30"/>
      <c r="I189" s="30"/>
      <c r="J189" s="30"/>
    </row>
    <row r="190" spans="1:10">
      <c r="A190" s="29" t="s">
        <v>159</v>
      </c>
      <c r="B190" s="6">
        <v>-1405469.59</v>
      </c>
      <c r="C190" s="6">
        <v>1</v>
      </c>
      <c r="D190" s="6">
        <v>-77028.350000000006</v>
      </c>
      <c r="E190" s="6">
        <v>0</v>
      </c>
      <c r="F190" s="6">
        <v>0</v>
      </c>
      <c r="G190" s="6">
        <v>-240.29288486537996</v>
      </c>
      <c r="H190" s="6">
        <v>144837.17235596175</v>
      </c>
      <c r="I190" s="6">
        <v>0</v>
      </c>
      <c r="J190" s="6">
        <f>SUM(B190:I190)</f>
        <v>-1337900.0605289037</v>
      </c>
    </row>
    <row r="191" spans="1:10">
      <c r="A191" s="29" t="s">
        <v>4</v>
      </c>
      <c r="B191" s="6">
        <v>0</v>
      </c>
      <c r="C191" s="6">
        <v>0</v>
      </c>
      <c r="D191" s="6">
        <v>0</v>
      </c>
      <c r="E191" s="6">
        <v>52285.336123528265</v>
      </c>
      <c r="F191" s="6">
        <v>0</v>
      </c>
      <c r="G191" s="6">
        <v>0</v>
      </c>
      <c r="H191" s="6">
        <v>0</v>
      </c>
      <c r="I191" s="6">
        <v>0</v>
      </c>
      <c r="J191" s="6">
        <f>SUM(B191:I191)</f>
        <v>52285.336123528265</v>
      </c>
    </row>
    <row r="192" spans="1:10">
      <c r="A192" s="28" t="s">
        <v>3</v>
      </c>
      <c r="B192" s="25">
        <f t="shared" ref="B192:J192" si="36">SUM(B190:B191)</f>
        <v>-1405469.59</v>
      </c>
      <c r="C192" s="25">
        <f t="shared" si="36"/>
        <v>1</v>
      </c>
      <c r="D192" s="25">
        <f t="shared" si="36"/>
        <v>-77028.350000000006</v>
      </c>
      <c r="E192" s="25">
        <f t="shared" si="36"/>
        <v>52285.336123528265</v>
      </c>
      <c r="F192" s="25">
        <f t="shared" si="36"/>
        <v>0</v>
      </c>
      <c r="G192" s="25">
        <f t="shared" si="36"/>
        <v>-240.29288486537996</v>
      </c>
      <c r="H192" s="25">
        <f t="shared" si="36"/>
        <v>144837.17235596175</v>
      </c>
      <c r="I192" s="25">
        <f t="shared" si="36"/>
        <v>0</v>
      </c>
      <c r="J192" s="25">
        <f t="shared" si="36"/>
        <v>-1285614.7244053755</v>
      </c>
    </row>
    <row r="193" spans="1:11">
      <c r="A193" s="27" t="s">
        <v>2</v>
      </c>
      <c r="B193" s="25">
        <f t="shared" ref="B193:J193" si="37">SUM(B175,B180,B188,B192)</f>
        <v>6139723.6900000004</v>
      </c>
      <c r="C193" s="25">
        <f t="shared" si="37"/>
        <v>178.49</v>
      </c>
      <c r="D193" s="25">
        <f t="shared" si="37"/>
        <v>29416.559999999983</v>
      </c>
      <c r="E193" s="25">
        <f t="shared" si="37"/>
        <v>124588.4159654165</v>
      </c>
      <c r="F193" s="25">
        <f t="shared" si="37"/>
        <v>3564.6078727815957</v>
      </c>
      <c r="G193" s="25">
        <f t="shared" si="37"/>
        <v>347.54730194111369</v>
      </c>
      <c r="H193" s="25">
        <f t="shared" si="37"/>
        <v>269319.63856148592</v>
      </c>
      <c r="I193" s="25">
        <f t="shared" si="37"/>
        <v>33105.980000000003</v>
      </c>
      <c r="J193" s="25">
        <f t="shared" si="37"/>
        <v>6600244.9297016244</v>
      </c>
    </row>
    <row r="194" spans="1:11">
      <c r="A194" s="2" t="s">
        <v>128</v>
      </c>
      <c r="B194" s="6">
        <v>31712.38</v>
      </c>
      <c r="C194" s="6">
        <v>0</v>
      </c>
      <c r="D194" s="6">
        <v>-2577.5100000000002</v>
      </c>
      <c r="E194" s="6">
        <v>1850.55054145094</v>
      </c>
      <c r="F194" s="6">
        <v>0</v>
      </c>
      <c r="G194" s="6">
        <v>0</v>
      </c>
      <c r="H194" s="6">
        <v>-10922.27984782676</v>
      </c>
      <c r="I194" s="6">
        <v>0</v>
      </c>
      <c r="J194" s="6">
        <f>SUM(B194:I194)</f>
        <v>20063.140693624184</v>
      </c>
    </row>
    <row r="195" spans="1:11">
      <c r="A195" s="2" t="s">
        <v>152</v>
      </c>
      <c r="B195" s="6">
        <v>-131682.09</v>
      </c>
      <c r="C195" s="6">
        <v>0</v>
      </c>
      <c r="D195" s="6">
        <v>-34224.11</v>
      </c>
      <c r="E195" s="6">
        <v>1.7575523626900875</v>
      </c>
      <c r="F195" s="6">
        <v>0</v>
      </c>
      <c r="G195" s="6">
        <v>487.85725738820082</v>
      </c>
      <c r="H195" s="6">
        <v>27.468812827670547</v>
      </c>
      <c r="I195" s="6">
        <v>0</v>
      </c>
      <c r="J195" s="6">
        <f>SUM(B195:I195)</f>
        <v>-165389.11637742145</v>
      </c>
    </row>
    <row r="196" spans="1:11">
      <c r="A196" s="2" t="s">
        <v>158</v>
      </c>
      <c r="B196" s="6">
        <v>-3925.77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f>SUM(B196:I196)</f>
        <v>-3925.77</v>
      </c>
    </row>
    <row r="197" spans="1:11">
      <c r="A197" s="26" t="s">
        <v>277</v>
      </c>
      <c r="B197" s="25">
        <f t="shared" ref="B197:J197" si="38">SUM(B193:B196)</f>
        <v>6035828.2100000009</v>
      </c>
      <c r="C197" s="25">
        <f t="shared" si="38"/>
        <v>178.49</v>
      </c>
      <c r="D197" s="25">
        <f t="shared" si="38"/>
        <v>-7385.0600000000195</v>
      </c>
      <c r="E197" s="25">
        <f t="shared" si="38"/>
        <v>126440.72405923012</v>
      </c>
      <c r="F197" s="25">
        <f t="shared" si="38"/>
        <v>3564.6078727815957</v>
      </c>
      <c r="G197" s="25">
        <f t="shared" si="38"/>
        <v>835.40455932931445</v>
      </c>
      <c r="H197" s="25">
        <f t="shared" si="38"/>
        <v>258424.82752648683</v>
      </c>
      <c r="I197" s="25">
        <f t="shared" si="38"/>
        <v>33105.980000000003</v>
      </c>
      <c r="J197" s="25">
        <f t="shared" si="38"/>
        <v>6450993.1840178277</v>
      </c>
    </row>
    <row r="198" spans="1:11">
      <c r="A198" s="24" t="s">
        <v>276</v>
      </c>
      <c r="B198" s="23">
        <f t="shared" ref="B198:J198" si="39">B169-B197</f>
        <v>-5285828.2100000009</v>
      </c>
      <c r="C198" s="23">
        <f t="shared" si="39"/>
        <v>-178.49</v>
      </c>
      <c r="D198" s="23">
        <f t="shared" si="39"/>
        <v>7385.0600000000195</v>
      </c>
      <c r="E198" s="23">
        <f t="shared" si="39"/>
        <v>-126440.72405923012</v>
      </c>
      <c r="F198" s="23">
        <f t="shared" si="39"/>
        <v>-3564.6078727815957</v>
      </c>
      <c r="G198" s="23">
        <f t="shared" si="39"/>
        <v>-835.40455932931445</v>
      </c>
      <c r="H198" s="23">
        <f t="shared" si="39"/>
        <v>-258424.82752648683</v>
      </c>
      <c r="I198" s="23">
        <f t="shared" si="39"/>
        <v>-783105.98</v>
      </c>
      <c r="J198" s="23">
        <f t="shared" si="39"/>
        <v>-6450993.1840178277</v>
      </c>
    </row>
    <row r="199" spans="1:11">
      <c r="A199" s="24" t="s">
        <v>275</v>
      </c>
      <c r="B199" s="23">
        <f t="shared" ref="B199:J199" si="40">B163+B198</f>
        <v>-2822308.5599999949</v>
      </c>
      <c r="C199" s="23">
        <f t="shared" si="40"/>
        <v>28560.74</v>
      </c>
      <c r="D199" s="23">
        <f t="shared" si="40"/>
        <v>-204623.96999999977</v>
      </c>
      <c r="E199" s="23">
        <f t="shared" si="40"/>
        <v>156855.78145380149</v>
      </c>
      <c r="F199" s="23">
        <f t="shared" si="40"/>
        <v>-12206.689910867</v>
      </c>
      <c r="G199" s="23">
        <f t="shared" si="40"/>
        <v>-1974.9917951182399</v>
      </c>
      <c r="H199" s="23">
        <f t="shared" si="40"/>
        <v>434947.66702660953</v>
      </c>
      <c r="I199" s="23">
        <f t="shared" si="40"/>
        <v>-758060.03999999957</v>
      </c>
      <c r="J199" s="23">
        <f t="shared" si="40"/>
        <v>-3178810.0632255804</v>
      </c>
      <c r="K199" s="36">
        <f>J199-'Rodeo Inc BS'!B192</f>
        <v>-356501.50322558545</v>
      </c>
    </row>
  </sheetData>
  <mergeCells count="9">
    <mergeCell ref="B7:J7"/>
    <mergeCell ref="B8:J8"/>
    <mergeCell ref="B9:J9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77D2-178C-48E7-A540-E4AC305EDB94}">
  <dimension ref="A1:B194"/>
  <sheetViews>
    <sheetView topLeftCell="A64" workbookViewId="0">
      <selection sqref="A1:B1"/>
    </sheetView>
  </sheetViews>
  <sheetFormatPr baseColWidth="10" defaultColWidth="8.77734375" defaultRowHeight="10.199999999999999"/>
  <cols>
    <col min="1" max="1" width="48.77734375" style="1" bestFit="1" customWidth="1"/>
    <col min="2" max="2" width="12" style="1" customWidth="1"/>
    <col min="3" max="16384" width="8.77734375" style="1"/>
  </cols>
  <sheetData>
    <row r="1" spans="1:2" ht="15.6">
      <c r="A1" s="41" t="s">
        <v>393</v>
      </c>
      <c r="B1" s="41"/>
    </row>
    <row r="2" spans="1:2" ht="15.6">
      <c r="A2" s="41" t="s">
        <v>402</v>
      </c>
      <c r="B2" s="41"/>
    </row>
    <row r="3" spans="1:2" ht="17.399999999999999">
      <c r="A3" s="40" t="s">
        <v>392</v>
      </c>
      <c r="B3" s="40"/>
    </row>
    <row r="4" spans="1:2" ht="17.399999999999999">
      <c r="A4" s="40" t="s">
        <v>273</v>
      </c>
      <c r="B4" s="40"/>
    </row>
    <row r="5" spans="1:2" ht="17.399999999999999">
      <c r="A5" s="40" t="s">
        <v>126</v>
      </c>
      <c r="B5" s="40"/>
    </row>
    <row r="6" spans="1:2" ht="17.399999999999999">
      <c r="A6" s="40" t="s">
        <v>126</v>
      </c>
      <c r="B6" s="40"/>
    </row>
    <row r="7" spans="1:2">
      <c r="A7" s="5" t="s">
        <v>328</v>
      </c>
      <c r="B7" s="4" t="s">
        <v>1</v>
      </c>
    </row>
    <row r="8" spans="1:2">
      <c r="A8" s="34" t="s">
        <v>391</v>
      </c>
      <c r="B8" s="30"/>
    </row>
    <row r="9" spans="1:2">
      <c r="A9" s="33" t="s">
        <v>390</v>
      </c>
      <c r="B9" s="30"/>
    </row>
    <row r="10" spans="1:2">
      <c r="A10" s="32" t="s">
        <v>389</v>
      </c>
      <c r="B10" s="30"/>
    </row>
    <row r="11" spans="1:2">
      <c r="A11" s="31" t="s">
        <v>124</v>
      </c>
      <c r="B11" s="30"/>
    </row>
    <row r="12" spans="1:2">
      <c r="A12" s="29" t="s">
        <v>403</v>
      </c>
      <c r="B12" s="6">
        <v>2162.6</v>
      </c>
    </row>
    <row r="13" spans="1:2">
      <c r="A13" s="29" t="s">
        <v>404</v>
      </c>
      <c r="B13" s="6">
        <v>17715409.710000001</v>
      </c>
    </row>
    <row r="14" spans="1:2">
      <c r="A14" s="29" t="s">
        <v>405</v>
      </c>
      <c r="B14" s="6">
        <v>2862493</v>
      </c>
    </row>
    <row r="15" spans="1:2">
      <c r="A15" s="29" t="s">
        <v>269</v>
      </c>
      <c r="B15" s="6">
        <v>-22948.86</v>
      </c>
    </row>
    <row r="16" spans="1:2">
      <c r="A16" s="28" t="s">
        <v>123</v>
      </c>
      <c r="B16" s="25">
        <f>SUM(B12:B15)</f>
        <v>20557116.450000003</v>
      </c>
    </row>
    <row r="17" spans="1:2">
      <c r="A17" s="27" t="s">
        <v>388</v>
      </c>
      <c r="B17" s="25">
        <f>SUM(B16)</f>
        <v>20557116.450000003</v>
      </c>
    </row>
    <row r="18" spans="1:2">
      <c r="A18" s="32" t="s">
        <v>387</v>
      </c>
      <c r="B18" s="30"/>
    </row>
    <row r="19" spans="1:2">
      <c r="A19" s="31" t="s">
        <v>122</v>
      </c>
      <c r="B19" s="30"/>
    </row>
    <row r="20" spans="1:2">
      <c r="A20" s="29" t="s">
        <v>268</v>
      </c>
      <c r="B20" s="6">
        <v>2807741.83</v>
      </c>
    </row>
    <row r="21" spans="1:2">
      <c r="A21" s="29" t="s">
        <v>121</v>
      </c>
      <c r="B21" s="6">
        <v>24505</v>
      </c>
    </row>
    <row r="22" spans="1:2">
      <c r="A22" s="28" t="s">
        <v>120</v>
      </c>
      <c r="B22" s="25">
        <f>SUM(B20:B21)</f>
        <v>2832246.83</v>
      </c>
    </row>
    <row r="23" spans="1:2">
      <c r="A23" s="27" t="s">
        <v>386</v>
      </c>
      <c r="B23" s="25">
        <f>SUM(B22)</f>
        <v>2832246.83</v>
      </c>
    </row>
    <row r="24" spans="1:2">
      <c r="A24" s="32" t="s">
        <v>385</v>
      </c>
      <c r="B24" s="30"/>
    </row>
    <row r="25" spans="1:2">
      <c r="A25" s="31" t="s">
        <v>384</v>
      </c>
      <c r="B25" s="30"/>
    </row>
    <row r="26" spans="1:2">
      <c r="A26" s="29" t="s">
        <v>150</v>
      </c>
      <c r="B26" s="6">
        <v>726704.07</v>
      </c>
    </row>
    <row r="27" spans="1:2">
      <c r="A27" s="28" t="s">
        <v>383</v>
      </c>
      <c r="B27" s="25">
        <f>SUM(B26)</f>
        <v>726704.07</v>
      </c>
    </row>
    <row r="28" spans="1:2">
      <c r="A28" s="27" t="s">
        <v>382</v>
      </c>
      <c r="B28" s="25">
        <f>SUM(B27)</f>
        <v>726704.07</v>
      </c>
    </row>
    <row r="29" spans="1:2">
      <c r="A29" s="32" t="s">
        <v>381</v>
      </c>
      <c r="B29" s="30"/>
    </row>
    <row r="30" spans="1:2">
      <c r="A30" s="31" t="s">
        <v>380</v>
      </c>
      <c r="B30" s="30"/>
    </row>
    <row r="31" spans="1:2">
      <c r="A31" s="29" t="s">
        <v>267</v>
      </c>
      <c r="B31" s="6">
        <v>344725.08</v>
      </c>
    </row>
    <row r="32" spans="1:2">
      <c r="A32" s="29" t="s">
        <v>379</v>
      </c>
      <c r="B32" s="6">
        <v>1103913.97</v>
      </c>
    </row>
    <row r="33" spans="1:2">
      <c r="A33" s="29" t="s">
        <v>151</v>
      </c>
      <c r="B33" s="6">
        <v>-0.12</v>
      </c>
    </row>
    <row r="34" spans="1:2">
      <c r="A34" s="29" t="s">
        <v>266</v>
      </c>
      <c r="B34" s="6">
        <v>18990</v>
      </c>
    </row>
    <row r="35" spans="1:2">
      <c r="A35" s="29" t="s">
        <v>265</v>
      </c>
      <c r="B35" s="6">
        <v>190000</v>
      </c>
    </row>
    <row r="36" spans="1:2">
      <c r="A36" s="28" t="s">
        <v>378</v>
      </c>
      <c r="B36" s="25">
        <f>SUM(B31:B35)</f>
        <v>1657628.93</v>
      </c>
    </row>
    <row r="37" spans="1:2">
      <c r="A37" s="31" t="s">
        <v>377</v>
      </c>
      <c r="B37" s="30"/>
    </row>
    <row r="38" spans="1:2">
      <c r="A38" s="29" t="s">
        <v>264</v>
      </c>
      <c r="B38" s="6">
        <v>92584.08</v>
      </c>
    </row>
    <row r="39" spans="1:2">
      <c r="A39" s="29" t="s">
        <v>263</v>
      </c>
      <c r="B39" s="6">
        <v>84551.44</v>
      </c>
    </row>
    <row r="40" spans="1:2">
      <c r="A40" s="28" t="s">
        <v>376</v>
      </c>
      <c r="B40" s="25">
        <f>SUM(B38:B39)</f>
        <v>177135.52000000002</v>
      </c>
    </row>
    <row r="41" spans="1:2">
      <c r="A41" s="31" t="s">
        <v>119</v>
      </c>
      <c r="B41" s="30"/>
    </row>
    <row r="42" spans="1:2">
      <c r="A42" s="29" t="s">
        <v>117</v>
      </c>
      <c r="B42" s="6">
        <v>3354804.18</v>
      </c>
    </row>
    <row r="43" spans="1:2">
      <c r="A43" s="28" t="s">
        <v>116</v>
      </c>
      <c r="B43" s="25">
        <f>SUM(B42)</f>
        <v>3354804.18</v>
      </c>
    </row>
    <row r="44" spans="1:2">
      <c r="A44" s="31" t="s">
        <v>375</v>
      </c>
      <c r="B44" s="30"/>
    </row>
    <row r="45" spans="1:2">
      <c r="A45" s="29" t="s">
        <v>262</v>
      </c>
      <c r="B45" s="6">
        <v>2978137.82</v>
      </c>
    </row>
    <row r="46" spans="1:2">
      <c r="A46" s="29" t="s">
        <v>261</v>
      </c>
      <c r="B46" s="6">
        <v>1051530.01</v>
      </c>
    </row>
    <row r="47" spans="1:2">
      <c r="A47" s="28" t="s">
        <v>374</v>
      </c>
      <c r="B47" s="25">
        <f>SUM(B45:B46)</f>
        <v>4029667.83</v>
      </c>
    </row>
    <row r="48" spans="1:2">
      <c r="A48" s="31" t="s">
        <v>373</v>
      </c>
      <c r="B48" s="30"/>
    </row>
    <row r="49" spans="1:2">
      <c r="A49" s="29" t="s">
        <v>406</v>
      </c>
      <c r="B49" s="6">
        <v>-0.01</v>
      </c>
    </row>
    <row r="50" spans="1:2">
      <c r="A50" s="29" t="s">
        <v>407</v>
      </c>
      <c r="B50" s="6">
        <v>-1088414.3899999999</v>
      </c>
    </row>
    <row r="51" spans="1:2">
      <c r="A51" s="29" t="s">
        <v>372</v>
      </c>
      <c r="B51" s="6">
        <v>140000</v>
      </c>
    </row>
    <row r="52" spans="1:2">
      <c r="A52" s="29" t="s">
        <v>408</v>
      </c>
      <c r="B52" s="6">
        <v>384.65</v>
      </c>
    </row>
    <row r="53" spans="1:2">
      <c r="A53" s="29" t="s">
        <v>409</v>
      </c>
      <c r="B53" s="6">
        <v>1798578.42</v>
      </c>
    </row>
    <row r="54" spans="1:2">
      <c r="A54" s="29" t="s">
        <v>401</v>
      </c>
      <c r="B54" s="6">
        <v>10000</v>
      </c>
    </row>
    <row r="55" spans="1:2">
      <c r="A55" s="28" t="s">
        <v>371</v>
      </c>
      <c r="B55" s="25">
        <f>SUM(B49:B54)</f>
        <v>860548.67</v>
      </c>
    </row>
    <row r="56" spans="1:2">
      <c r="A56" s="27" t="s">
        <v>370</v>
      </c>
      <c r="B56" s="25">
        <f>SUM(B36,B40,B43,B47,B55)</f>
        <v>10079785.130000001</v>
      </c>
    </row>
    <row r="57" spans="1:2">
      <c r="A57" s="35" t="s">
        <v>369</v>
      </c>
      <c r="B57" s="23">
        <f>B17+B23+B28+B56</f>
        <v>34195852.480000004</v>
      </c>
    </row>
    <row r="58" spans="1:2">
      <c r="A58" s="33" t="s">
        <v>368</v>
      </c>
      <c r="B58" s="30"/>
    </row>
    <row r="59" spans="1:2">
      <c r="A59" s="32" t="s">
        <v>115</v>
      </c>
      <c r="B59" s="30"/>
    </row>
    <row r="60" spans="1:2">
      <c r="A60" s="3" t="s">
        <v>114</v>
      </c>
      <c r="B60" s="6">
        <v>4204743.01</v>
      </c>
    </row>
    <row r="61" spans="1:2">
      <c r="A61" s="3" t="s">
        <v>113</v>
      </c>
      <c r="B61" s="6">
        <v>-2827221.47</v>
      </c>
    </row>
    <row r="62" spans="1:2">
      <c r="A62" s="3" t="s">
        <v>260</v>
      </c>
      <c r="B62" s="6">
        <v>778838.37</v>
      </c>
    </row>
    <row r="63" spans="1:2">
      <c r="A63" s="3" t="s">
        <v>259</v>
      </c>
      <c r="B63" s="6">
        <v>-344196.86</v>
      </c>
    </row>
    <row r="64" spans="1:2">
      <c r="A64" s="3" t="s">
        <v>112</v>
      </c>
      <c r="B64" s="6">
        <v>30858663.039999999</v>
      </c>
    </row>
    <row r="65" spans="1:2">
      <c r="A65" s="3" t="s">
        <v>258</v>
      </c>
      <c r="B65" s="6">
        <v>-1327387</v>
      </c>
    </row>
    <row r="66" spans="1:2">
      <c r="A66" s="3" t="s">
        <v>111</v>
      </c>
      <c r="B66" s="6">
        <v>-23187341.940000001</v>
      </c>
    </row>
    <row r="67" spans="1:2">
      <c r="A67" s="3" t="s">
        <v>257</v>
      </c>
      <c r="B67" s="6">
        <v>614194.23</v>
      </c>
    </row>
    <row r="68" spans="1:2">
      <c r="A68" s="3" t="s">
        <v>256</v>
      </c>
      <c r="B68" s="6">
        <v>658916.44999999995</v>
      </c>
    </row>
    <row r="69" spans="1:2">
      <c r="A69" s="3" t="s">
        <v>255</v>
      </c>
      <c r="B69" s="6">
        <v>2363594.11</v>
      </c>
    </row>
    <row r="70" spans="1:2">
      <c r="A70" s="3" t="s">
        <v>254</v>
      </c>
      <c r="B70" s="6">
        <v>-511764.45</v>
      </c>
    </row>
    <row r="71" spans="1:2">
      <c r="A71" s="3" t="s">
        <v>253</v>
      </c>
      <c r="B71" s="6">
        <v>-1379157.19</v>
      </c>
    </row>
    <row r="72" spans="1:2">
      <c r="A72" s="3" t="s">
        <v>110</v>
      </c>
      <c r="B72" s="6">
        <v>207995.9</v>
      </c>
    </row>
    <row r="73" spans="1:2">
      <c r="A73" s="3" t="s">
        <v>109</v>
      </c>
      <c r="B73" s="6">
        <v>-187945.16</v>
      </c>
    </row>
    <row r="74" spans="1:2">
      <c r="A74" s="3" t="s">
        <v>108</v>
      </c>
      <c r="B74" s="6">
        <v>486464.15</v>
      </c>
    </row>
    <row r="75" spans="1:2">
      <c r="A75" s="3" t="s">
        <v>107</v>
      </c>
      <c r="B75" s="6">
        <v>-379313.7</v>
      </c>
    </row>
    <row r="76" spans="1:2">
      <c r="A76" s="3" t="s">
        <v>252</v>
      </c>
      <c r="B76" s="6">
        <v>225016.78</v>
      </c>
    </row>
    <row r="77" spans="1:2">
      <c r="A77" s="3" t="s">
        <v>251</v>
      </c>
      <c r="B77" s="6">
        <v>-223893.6</v>
      </c>
    </row>
    <row r="78" spans="1:2">
      <c r="A78" s="3" t="s">
        <v>155</v>
      </c>
      <c r="B78" s="6">
        <v>695251.73</v>
      </c>
    </row>
    <row r="79" spans="1:2">
      <c r="A79" s="3" t="s">
        <v>154</v>
      </c>
      <c r="B79" s="6">
        <v>-654430.6</v>
      </c>
    </row>
    <row r="80" spans="1:2">
      <c r="A80" s="3" t="s">
        <v>106</v>
      </c>
      <c r="B80" s="6">
        <v>3480344.98</v>
      </c>
    </row>
    <row r="81" spans="1:2">
      <c r="A81" s="3" t="s">
        <v>105</v>
      </c>
      <c r="B81" s="6">
        <v>-2581119.0499999998</v>
      </c>
    </row>
    <row r="82" spans="1:2">
      <c r="A82" s="3" t="s">
        <v>250</v>
      </c>
      <c r="B82" s="6">
        <v>200164.68</v>
      </c>
    </row>
    <row r="83" spans="1:2">
      <c r="A83" s="3" t="s">
        <v>249</v>
      </c>
      <c r="B83" s="6">
        <v>-125002.02</v>
      </c>
    </row>
    <row r="84" spans="1:2">
      <c r="A84" s="3" t="s">
        <v>248</v>
      </c>
      <c r="B84" s="6">
        <v>188273.29</v>
      </c>
    </row>
    <row r="85" spans="1:2">
      <c r="A85" s="3" t="s">
        <v>247</v>
      </c>
      <c r="B85" s="6">
        <v>-150469.32999999999</v>
      </c>
    </row>
    <row r="86" spans="1:2">
      <c r="A86" s="3" t="s">
        <v>246</v>
      </c>
      <c r="B86" s="6">
        <v>2421663.5099999998</v>
      </c>
    </row>
    <row r="87" spans="1:2">
      <c r="A87" s="3" t="s">
        <v>245</v>
      </c>
      <c r="B87" s="6">
        <v>-213557.88</v>
      </c>
    </row>
    <row r="88" spans="1:2">
      <c r="A88" s="3" t="s">
        <v>244</v>
      </c>
      <c r="B88" s="6">
        <v>429363.25</v>
      </c>
    </row>
    <row r="89" spans="1:2">
      <c r="A89" s="3" t="s">
        <v>243</v>
      </c>
      <c r="B89" s="6">
        <v>-210504.02</v>
      </c>
    </row>
    <row r="90" spans="1:2">
      <c r="A90" s="3" t="s">
        <v>242</v>
      </c>
      <c r="B90" s="6">
        <v>-217934.7</v>
      </c>
    </row>
    <row r="91" spans="1:2">
      <c r="A91" s="27" t="s">
        <v>104</v>
      </c>
      <c r="B91" s="25">
        <f>SUM(B60:B90)</f>
        <v>13292248.51</v>
      </c>
    </row>
    <row r="92" spans="1:2">
      <c r="A92" s="32" t="s">
        <v>103</v>
      </c>
      <c r="B92" s="30"/>
    </row>
    <row r="93" spans="1:2">
      <c r="A93" s="3" t="s">
        <v>241</v>
      </c>
      <c r="B93" s="6">
        <v>954782.41</v>
      </c>
    </row>
    <row r="94" spans="1:2">
      <c r="A94" s="3" t="s">
        <v>240</v>
      </c>
      <c r="B94" s="6">
        <v>-841465.54</v>
      </c>
    </row>
    <row r="95" spans="1:2">
      <c r="A95" s="3" t="s">
        <v>102</v>
      </c>
      <c r="B95" s="6">
        <v>5301482.59</v>
      </c>
    </row>
    <row r="96" spans="1:2">
      <c r="A96" s="3" t="s">
        <v>101</v>
      </c>
      <c r="B96" s="6">
        <v>-4445697.62</v>
      </c>
    </row>
    <row r="97" spans="1:2">
      <c r="A97" s="3" t="s">
        <v>239</v>
      </c>
      <c r="B97" s="6">
        <v>14524.43</v>
      </c>
    </row>
    <row r="98" spans="1:2">
      <c r="A98" s="3" t="s">
        <v>238</v>
      </c>
      <c r="B98" s="6">
        <v>-10745.68</v>
      </c>
    </row>
    <row r="99" spans="1:2">
      <c r="A99" s="3" t="s">
        <v>237</v>
      </c>
      <c r="B99" s="6">
        <v>216420.04</v>
      </c>
    </row>
    <row r="100" spans="1:2">
      <c r="A100" s="3" t="s">
        <v>236</v>
      </c>
      <c r="B100" s="6">
        <v>-164309.19</v>
      </c>
    </row>
    <row r="101" spans="1:2">
      <c r="A101" s="3" t="s">
        <v>235</v>
      </c>
      <c r="B101" s="6">
        <v>244070.68</v>
      </c>
    </row>
    <row r="102" spans="1:2">
      <c r="A102" s="3" t="s">
        <v>234</v>
      </c>
      <c r="B102" s="6">
        <v>4205743.2699999996</v>
      </c>
    </row>
    <row r="103" spans="1:2">
      <c r="A103" s="3" t="s">
        <v>233</v>
      </c>
      <c r="B103" s="6">
        <v>-4205743.2699999996</v>
      </c>
    </row>
    <row r="104" spans="1:2">
      <c r="A104" s="27" t="s">
        <v>100</v>
      </c>
      <c r="B104" s="25">
        <f>SUM(B93:B103)</f>
        <v>1269062.1200000001</v>
      </c>
    </row>
    <row r="105" spans="1:2">
      <c r="A105" s="26" t="s">
        <v>367</v>
      </c>
      <c r="B105" s="25">
        <f>SUM(B91,B104)</f>
        <v>14561310.629999999</v>
      </c>
    </row>
    <row r="106" spans="1:2">
      <c r="A106" s="33" t="s">
        <v>366</v>
      </c>
      <c r="B106" s="30"/>
    </row>
    <row r="107" spans="1:2">
      <c r="A107" s="32" t="s">
        <v>365</v>
      </c>
      <c r="B107" s="30"/>
    </row>
    <row r="108" spans="1:2">
      <c r="A108" s="3" t="s">
        <v>232</v>
      </c>
      <c r="B108" s="6">
        <v>2559900</v>
      </c>
    </row>
    <row r="109" spans="1:2">
      <c r="A109" s="3" t="s">
        <v>410</v>
      </c>
      <c r="B109" s="6">
        <v>390920</v>
      </c>
    </row>
    <row r="110" spans="1:2">
      <c r="A110" s="3" t="s">
        <v>411</v>
      </c>
      <c r="B110" s="6">
        <v>253930</v>
      </c>
    </row>
    <row r="111" spans="1:2">
      <c r="A111" s="3" t="s">
        <v>231</v>
      </c>
      <c r="B111" s="6">
        <v>164.34</v>
      </c>
    </row>
    <row r="112" spans="1:2">
      <c r="A112" s="3" t="s">
        <v>412</v>
      </c>
      <c r="B112" s="6">
        <v>1511.34</v>
      </c>
    </row>
    <row r="113" spans="1:2">
      <c r="A113" s="3" t="s">
        <v>230</v>
      </c>
      <c r="B113" s="6">
        <v>161795.70000000001</v>
      </c>
    </row>
    <row r="114" spans="1:2">
      <c r="A114" s="27" t="s">
        <v>364</v>
      </c>
      <c r="B114" s="25">
        <f>SUM(B108:B113)</f>
        <v>3368221.38</v>
      </c>
    </row>
    <row r="115" spans="1:2">
      <c r="A115" s="26" t="s">
        <v>363</v>
      </c>
      <c r="B115" s="25">
        <f>SUM(B114)</f>
        <v>3368221.38</v>
      </c>
    </row>
    <row r="116" spans="1:2">
      <c r="A116" s="24" t="s">
        <v>362</v>
      </c>
      <c r="B116" s="23">
        <f>B57+B105+B115</f>
        <v>52125384.490000002</v>
      </c>
    </row>
    <row r="117" spans="1:2">
      <c r="A117" s="34" t="s">
        <v>361</v>
      </c>
      <c r="B117" s="30"/>
    </row>
    <row r="118" spans="1:2">
      <c r="A118" s="33" t="s">
        <v>360</v>
      </c>
      <c r="B118" s="30"/>
    </row>
    <row r="119" spans="1:2">
      <c r="A119" s="32" t="s">
        <v>359</v>
      </c>
      <c r="B119" s="30"/>
    </row>
    <row r="120" spans="1:2">
      <c r="A120" s="31" t="s">
        <v>99</v>
      </c>
      <c r="B120" s="30"/>
    </row>
    <row r="121" spans="1:2">
      <c r="A121" s="29" t="s">
        <v>98</v>
      </c>
      <c r="B121" s="6">
        <v>1523880.46</v>
      </c>
    </row>
    <row r="122" spans="1:2">
      <c r="A122" s="29" t="s">
        <v>229</v>
      </c>
      <c r="B122" s="6">
        <v>1107734.23</v>
      </c>
    </row>
    <row r="123" spans="1:2">
      <c r="A123" s="28" t="s">
        <v>97</v>
      </c>
      <c r="B123" s="25">
        <f>SUM(B121:B122)</f>
        <v>2631614.69</v>
      </c>
    </row>
    <row r="124" spans="1:2">
      <c r="A124" s="27" t="s">
        <v>358</v>
      </c>
      <c r="B124" s="25">
        <f>SUM(B123)</f>
        <v>2631614.69</v>
      </c>
    </row>
    <row r="125" spans="1:2">
      <c r="A125" s="32" t="s">
        <v>357</v>
      </c>
      <c r="B125" s="30"/>
    </row>
    <row r="126" spans="1:2">
      <c r="A126" s="31" t="s">
        <v>356</v>
      </c>
      <c r="B126" s="30"/>
    </row>
    <row r="127" spans="1:2">
      <c r="A127" s="29" t="s">
        <v>413</v>
      </c>
      <c r="B127" s="6">
        <v>173628.26</v>
      </c>
    </row>
    <row r="128" spans="1:2">
      <c r="A128" s="28" t="s">
        <v>355</v>
      </c>
      <c r="B128" s="25">
        <f>SUM(B127)</f>
        <v>173628.26</v>
      </c>
    </row>
    <row r="129" spans="1:2">
      <c r="A129" s="27" t="s">
        <v>354</v>
      </c>
      <c r="B129" s="25">
        <f>SUM(B128)</f>
        <v>173628.26</v>
      </c>
    </row>
    <row r="130" spans="1:2">
      <c r="A130" s="32" t="s">
        <v>353</v>
      </c>
      <c r="B130" s="30"/>
    </row>
    <row r="131" spans="1:2">
      <c r="A131" s="31" t="s">
        <v>96</v>
      </c>
      <c r="B131" s="30"/>
    </row>
    <row r="132" spans="1:2">
      <c r="A132" s="29" t="s">
        <v>95</v>
      </c>
      <c r="B132" s="6">
        <v>327683.27</v>
      </c>
    </row>
    <row r="133" spans="1:2">
      <c r="A133" s="29" t="s">
        <v>352</v>
      </c>
      <c r="B133" s="6">
        <v>5598.36</v>
      </c>
    </row>
    <row r="134" spans="1:2">
      <c r="A134" s="29" t="s">
        <v>228</v>
      </c>
      <c r="B134" s="6">
        <v>2586.2800000000002</v>
      </c>
    </row>
    <row r="135" spans="1:2">
      <c r="A135" s="28" t="s">
        <v>94</v>
      </c>
      <c r="B135" s="25">
        <f>SUM(B132:B134)</f>
        <v>335867.91000000003</v>
      </c>
    </row>
    <row r="136" spans="1:2">
      <c r="A136" s="31" t="s">
        <v>90</v>
      </c>
      <c r="B136" s="30"/>
    </row>
    <row r="137" spans="1:2">
      <c r="A137" s="29" t="s">
        <v>89</v>
      </c>
      <c r="B137" s="6">
        <v>1207504.6000000001</v>
      </c>
    </row>
    <row r="138" spans="1:2">
      <c r="A138" s="29" t="s">
        <v>88</v>
      </c>
      <c r="B138" s="6">
        <v>-225484.48</v>
      </c>
    </row>
    <row r="139" spans="1:2">
      <c r="A139" s="29" t="s">
        <v>227</v>
      </c>
      <c r="B139" s="6">
        <v>101799.15</v>
      </c>
    </row>
    <row r="140" spans="1:2">
      <c r="A140" s="29" t="s">
        <v>87</v>
      </c>
      <c r="B140" s="6">
        <v>373950</v>
      </c>
    </row>
    <row r="141" spans="1:2">
      <c r="A141" s="29" t="s">
        <v>226</v>
      </c>
      <c r="B141" s="6">
        <v>720.36</v>
      </c>
    </row>
    <row r="142" spans="1:2">
      <c r="A142" s="29" t="s">
        <v>225</v>
      </c>
      <c r="B142" s="6">
        <v>715222.93</v>
      </c>
    </row>
    <row r="143" spans="1:2">
      <c r="A143" s="29" t="s">
        <v>224</v>
      </c>
      <c r="B143" s="6">
        <v>-233.35</v>
      </c>
    </row>
    <row r="144" spans="1:2">
      <c r="A144" s="29" t="s">
        <v>223</v>
      </c>
      <c r="B144" s="6">
        <v>98164.69</v>
      </c>
    </row>
    <row r="145" spans="1:2">
      <c r="A145" s="29" t="s">
        <v>86</v>
      </c>
      <c r="B145" s="6">
        <v>1691216.75</v>
      </c>
    </row>
    <row r="146" spans="1:2">
      <c r="A146" s="29" t="s">
        <v>222</v>
      </c>
      <c r="B146" s="6">
        <v>1747.09</v>
      </c>
    </row>
    <row r="147" spans="1:2">
      <c r="A147" s="29" t="s">
        <v>221</v>
      </c>
      <c r="B147" s="6">
        <v>25319.85</v>
      </c>
    </row>
    <row r="148" spans="1:2">
      <c r="A148" s="28" t="s">
        <v>85</v>
      </c>
      <c r="B148" s="25">
        <f>SUM(B137:B147)</f>
        <v>3989927.59</v>
      </c>
    </row>
    <row r="149" spans="1:2">
      <c r="A149" s="31" t="s">
        <v>351</v>
      </c>
      <c r="B149" s="30"/>
    </row>
    <row r="150" spans="1:2">
      <c r="A150" s="29" t="s">
        <v>220</v>
      </c>
      <c r="B150" s="6">
        <v>381398.67</v>
      </c>
    </row>
    <row r="151" spans="1:2">
      <c r="A151" s="29" t="s">
        <v>219</v>
      </c>
      <c r="B151" s="6">
        <v>647706.68000000005</v>
      </c>
    </row>
    <row r="152" spans="1:2">
      <c r="A152" s="28" t="s">
        <v>350</v>
      </c>
      <c r="B152" s="25">
        <f>SUM(B150:B151)</f>
        <v>1029105.3500000001</v>
      </c>
    </row>
    <row r="153" spans="1:2">
      <c r="A153" s="31" t="s">
        <v>349</v>
      </c>
      <c r="B153" s="30"/>
    </row>
    <row r="154" spans="1:2">
      <c r="A154" s="29" t="s">
        <v>218</v>
      </c>
      <c r="B154" s="6">
        <v>6941384.7599999998</v>
      </c>
    </row>
    <row r="155" spans="1:2">
      <c r="A155" s="28" t="s">
        <v>348</v>
      </c>
      <c r="B155" s="25">
        <f>SUM(B154)</f>
        <v>6941384.7599999998</v>
      </c>
    </row>
    <row r="156" spans="1:2">
      <c r="A156" s="31" t="s">
        <v>347</v>
      </c>
      <c r="B156" s="30"/>
    </row>
    <row r="157" spans="1:2">
      <c r="A157" s="29" t="s">
        <v>217</v>
      </c>
      <c r="B157" s="6">
        <v>1316017.33</v>
      </c>
    </row>
    <row r="158" spans="1:2">
      <c r="A158" s="29" t="s">
        <v>216</v>
      </c>
      <c r="B158" s="6">
        <v>58560</v>
      </c>
    </row>
    <row r="159" spans="1:2">
      <c r="A159" s="28" t="s">
        <v>346</v>
      </c>
      <c r="B159" s="25">
        <f>SUM(B157:B158)</f>
        <v>1374577.33</v>
      </c>
    </row>
    <row r="160" spans="1:2">
      <c r="A160" s="31" t="s">
        <v>84</v>
      </c>
      <c r="B160" s="30"/>
    </row>
    <row r="161" spans="1:2">
      <c r="A161" s="29" t="s">
        <v>215</v>
      </c>
      <c r="B161" s="6">
        <v>-133784.56</v>
      </c>
    </row>
    <row r="162" spans="1:2">
      <c r="A162" s="29" t="s">
        <v>214</v>
      </c>
      <c r="B162" s="6">
        <v>-901732.53</v>
      </c>
    </row>
    <row r="163" spans="1:2">
      <c r="A163" s="29" t="s">
        <v>213</v>
      </c>
      <c r="B163" s="6">
        <v>0.03</v>
      </c>
    </row>
    <row r="164" spans="1:2">
      <c r="A164" s="28" t="s">
        <v>80</v>
      </c>
      <c r="B164" s="25">
        <f>SUM(B161:B163)</f>
        <v>-1035517.06</v>
      </c>
    </row>
    <row r="165" spans="1:2">
      <c r="A165" s="27" t="s">
        <v>345</v>
      </c>
      <c r="B165" s="25">
        <f>SUM(B135,B148,B152,B155,B159,B164)</f>
        <v>12635345.879999999</v>
      </c>
    </row>
    <row r="166" spans="1:2">
      <c r="A166" s="33" t="s">
        <v>344</v>
      </c>
      <c r="B166" s="30">
        <f>B124+B129+B165</f>
        <v>15440588.829999998</v>
      </c>
    </row>
    <row r="167" spans="1:2">
      <c r="A167" s="33" t="s">
        <v>343</v>
      </c>
      <c r="B167" s="30"/>
    </row>
    <row r="168" spans="1:2">
      <c r="A168" s="32" t="s">
        <v>342</v>
      </c>
      <c r="B168" s="30"/>
    </row>
    <row r="169" spans="1:2">
      <c r="A169" s="3" t="s">
        <v>212</v>
      </c>
      <c r="B169" s="6">
        <v>113159.15</v>
      </c>
    </row>
    <row r="170" spans="1:2">
      <c r="A170" s="3" t="s">
        <v>211</v>
      </c>
      <c r="B170" s="6">
        <v>82960</v>
      </c>
    </row>
    <row r="171" spans="1:2">
      <c r="A171" s="3" t="s">
        <v>210</v>
      </c>
      <c r="B171" s="6">
        <v>1250555.8400000001</v>
      </c>
    </row>
    <row r="172" spans="1:2">
      <c r="A172" s="3" t="s">
        <v>341</v>
      </c>
      <c r="B172" s="6">
        <v>19576325</v>
      </c>
    </row>
    <row r="173" spans="1:2">
      <c r="A173" s="27" t="s">
        <v>340</v>
      </c>
      <c r="B173" s="25">
        <f>SUM(B169:B172)</f>
        <v>21022999.989999998</v>
      </c>
    </row>
    <row r="174" spans="1:2">
      <c r="A174" s="26" t="s">
        <v>339</v>
      </c>
      <c r="B174" s="25">
        <f>SUM(B173)</f>
        <v>21022999.989999998</v>
      </c>
    </row>
    <row r="175" spans="1:2">
      <c r="A175" s="33" t="s">
        <v>338</v>
      </c>
      <c r="B175" s="30"/>
    </row>
    <row r="176" spans="1:2" hidden="1">
      <c r="A176" s="33" t="s">
        <v>338</v>
      </c>
      <c r="B176" s="30"/>
    </row>
    <row r="177" spans="1:2">
      <c r="A177" s="32" t="s">
        <v>79</v>
      </c>
      <c r="B177" s="30"/>
    </row>
    <row r="178" spans="1:2">
      <c r="A178" s="3" t="s">
        <v>337</v>
      </c>
      <c r="B178" s="6">
        <v>3138675</v>
      </c>
    </row>
    <row r="179" spans="1:2">
      <c r="A179" s="3" t="s">
        <v>336</v>
      </c>
      <c r="B179" s="6">
        <v>644851</v>
      </c>
    </row>
    <row r="180" spans="1:2">
      <c r="A180" s="27" t="s">
        <v>77</v>
      </c>
      <c r="B180" s="25">
        <f>SUM(B178:B179)</f>
        <v>3783526</v>
      </c>
    </row>
    <row r="181" spans="1:2">
      <c r="A181" s="32" t="s">
        <v>76</v>
      </c>
      <c r="B181" s="30"/>
    </row>
    <row r="182" spans="1:2">
      <c r="A182" s="3" t="s">
        <v>209</v>
      </c>
      <c r="B182" s="6">
        <v>-5125000</v>
      </c>
    </row>
    <row r="183" spans="1:2">
      <c r="A183" s="3" t="s">
        <v>335</v>
      </c>
      <c r="B183" s="6">
        <v>-28625000</v>
      </c>
    </row>
    <row r="184" spans="1:2">
      <c r="A184" s="3" t="s">
        <v>208</v>
      </c>
      <c r="B184" s="6">
        <v>-38334.99</v>
      </c>
    </row>
    <row r="185" spans="1:2">
      <c r="A185" s="3" t="s">
        <v>207</v>
      </c>
      <c r="B185" s="6">
        <v>-432797.88</v>
      </c>
    </row>
    <row r="186" spans="1:2">
      <c r="A186" s="3" t="s">
        <v>206</v>
      </c>
      <c r="B186" s="6">
        <v>1485785.26</v>
      </c>
    </row>
    <row r="187" spans="1:2">
      <c r="A187" s="3" t="s">
        <v>205</v>
      </c>
      <c r="B187" s="6">
        <v>-0.46</v>
      </c>
    </row>
    <row r="188" spans="1:2">
      <c r="A188" s="3" t="s">
        <v>75</v>
      </c>
      <c r="B188" s="6">
        <v>-11523914.24</v>
      </c>
    </row>
    <row r="189" spans="1:2">
      <c r="A189" s="27" t="s">
        <v>73</v>
      </c>
      <c r="B189" s="25">
        <f>SUM(B182:B188)</f>
        <v>-44259262.310000002</v>
      </c>
    </row>
    <row r="190" spans="1:2" hidden="1">
      <c r="A190" s="26" t="s">
        <v>334</v>
      </c>
      <c r="B190" s="25">
        <f>SUM(B180,B189)</f>
        <v>-40475736.310000002</v>
      </c>
    </row>
    <row r="191" spans="1:2">
      <c r="A191" s="2" t="s">
        <v>333</v>
      </c>
      <c r="B191" s="6">
        <v>58959840.53999988</v>
      </c>
    </row>
    <row r="192" spans="1:2">
      <c r="A192" s="2" t="s">
        <v>275</v>
      </c>
      <c r="B192" s="6">
        <v>-2822308.5599999949</v>
      </c>
    </row>
    <row r="193" spans="1:2">
      <c r="A193" s="35" t="s">
        <v>332</v>
      </c>
      <c r="B193" s="23">
        <f>B190+B191+B192+0</f>
        <v>15661795.669999883</v>
      </c>
    </row>
    <row r="194" spans="1:2">
      <c r="A194" s="24" t="s">
        <v>331</v>
      </c>
      <c r="B194" s="23">
        <f>B166+B174+B193</f>
        <v>52125384.489999875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6DEB-8E01-468B-894A-83D9D26A8178}">
  <dimension ref="A1:C162"/>
  <sheetViews>
    <sheetView workbookViewId="0">
      <selection sqref="A1:C1"/>
    </sheetView>
  </sheetViews>
  <sheetFormatPr baseColWidth="10" defaultColWidth="8.77734375" defaultRowHeight="10.199999999999999"/>
  <cols>
    <col min="1" max="1" width="49.77734375" style="8" bestFit="1" customWidth="1"/>
    <col min="2" max="3" width="11" style="8" bestFit="1" customWidth="1"/>
    <col min="4" max="16384" width="8.77734375" style="8"/>
  </cols>
  <sheetData>
    <row r="1" spans="1:3" ht="15.6">
      <c r="A1" s="39" t="s">
        <v>393</v>
      </c>
      <c r="B1" s="39"/>
      <c r="C1" s="39"/>
    </row>
    <row r="2" spans="1:3" ht="15.6">
      <c r="A2" s="39" t="s">
        <v>414</v>
      </c>
      <c r="B2" s="39"/>
      <c r="C2" s="39"/>
    </row>
    <row r="3" spans="1:3" ht="17.399999999999999">
      <c r="A3" s="38" t="s">
        <v>127</v>
      </c>
      <c r="B3" s="38"/>
      <c r="C3" s="38"/>
    </row>
    <row r="4" spans="1:3" ht="17.399999999999999">
      <c r="A4" s="38" t="s">
        <v>273</v>
      </c>
      <c r="B4" s="38"/>
      <c r="C4" s="38"/>
    </row>
    <row r="5" spans="1:3" ht="17.399999999999999">
      <c r="A5" s="38" t="s">
        <v>126</v>
      </c>
      <c r="B5" s="38"/>
      <c r="C5" s="38"/>
    </row>
    <row r="6" spans="1:3" ht="17.399999999999999">
      <c r="A6" s="38" t="s">
        <v>126</v>
      </c>
      <c r="B6" s="38"/>
      <c r="C6" s="38"/>
    </row>
    <row r="7" spans="1:3">
      <c r="A7" s="22" t="s">
        <v>125</v>
      </c>
      <c r="B7" s="21" t="s">
        <v>157</v>
      </c>
      <c r="C7" s="21" t="s">
        <v>156</v>
      </c>
    </row>
    <row r="8" spans="1:3">
      <c r="A8" s="16" t="s">
        <v>124</v>
      </c>
      <c r="B8" s="11"/>
      <c r="C8" s="11"/>
    </row>
    <row r="9" spans="1:3">
      <c r="A9" s="17" t="s">
        <v>415</v>
      </c>
      <c r="B9" s="11">
        <v>100</v>
      </c>
      <c r="C9" s="11"/>
    </row>
    <row r="10" spans="1:3">
      <c r="A10" s="17" t="s">
        <v>416</v>
      </c>
      <c r="B10" s="11">
        <v>255258.59</v>
      </c>
      <c r="C10" s="11"/>
    </row>
    <row r="11" spans="1:3">
      <c r="A11" s="10" t="s">
        <v>123</v>
      </c>
      <c r="B11" s="9">
        <f>SUM(B9:B10)</f>
        <v>255358.59</v>
      </c>
      <c r="C11" s="9">
        <f>SUM(C9:C10)</f>
        <v>0</v>
      </c>
    </row>
    <row r="12" spans="1:3">
      <c r="A12" s="16" t="s">
        <v>122</v>
      </c>
      <c r="B12" s="11"/>
      <c r="C12" s="11"/>
    </row>
    <row r="13" spans="1:3">
      <c r="A13" s="17" t="s">
        <v>268</v>
      </c>
      <c r="B13" s="11">
        <v>45600</v>
      </c>
      <c r="C13" s="11"/>
    </row>
    <row r="14" spans="1:3">
      <c r="A14" s="17" t="s">
        <v>121</v>
      </c>
      <c r="B14" s="11">
        <v>583371.18999999994</v>
      </c>
      <c r="C14" s="11"/>
    </row>
    <row r="15" spans="1:3">
      <c r="A15" s="10" t="s">
        <v>120</v>
      </c>
      <c r="B15" s="9">
        <f>SUM(B13:B14)</f>
        <v>628971.18999999994</v>
      </c>
      <c r="C15" s="9">
        <f>SUM(C13:C14)</f>
        <v>0</v>
      </c>
    </row>
    <row r="16" spans="1:3">
      <c r="A16" s="16" t="s">
        <v>119</v>
      </c>
      <c r="B16" s="11"/>
      <c r="C16" s="11"/>
    </row>
    <row r="17" spans="1:3">
      <c r="A17" s="17" t="s">
        <v>118</v>
      </c>
      <c r="B17" s="11">
        <v>32300</v>
      </c>
      <c r="C17" s="11"/>
    </row>
    <row r="18" spans="1:3">
      <c r="A18" s="17" t="s">
        <v>117</v>
      </c>
      <c r="B18" s="11">
        <v>40876.07</v>
      </c>
      <c r="C18" s="11"/>
    </row>
    <row r="19" spans="1:3">
      <c r="A19" s="10" t="s">
        <v>116</v>
      </c>
      <c r="B19" s="9">
        <f>SUM(B17:B18)</f>
        <v>73176.070000000007</v>
      </c>
      <c r="C19" s="9">
        <f>SUM(C17:C18)</f>
        <v>0</v>
      </c>
    </row>
    <row r="20" spans="1:3">
      <c r="A20" s="16" t="s">
        <v>115</v>
      </c>
      <c r="B20" s="11"/>
      <c r="C20" s="11"/>
    </row>
    <row r="21" spans="1:3">
      <c r="A21" s="17" t="s">
        <v>114</v>
      </c>
      <c r="B21" s="11">
        <v>73866.66</v>
      </c>
      <c r="C21" s="11"/>
    </row>
    <row r="22" spans="1:3">
      <c r="A22" s="17" t="s">
        <v>113</v>
      </c>
      <c r="B22" s="11"/>
      <c r="C22" s="11">
        <v>31738.43</v>
      </c>
    </row>
    <row r="23" spans="1:3">
      <c r="A23" s="17" t="s">
        <v>112</v>
      </c>
      <c r="B23" s="11">
        <v>350047.48</v>
      </c>
      <c r="C23" s="11"/>
    </row>
    <row r="24" spans="1:3">
      <c r="A24" s="17" t="s">
        <v>111</v>
      </c>
      <c r="B24" s="11"/>
      <c r="C24" s="11">
        <v>255419</v>
      </c>
    </row>
    <row r="25" spans="1:3">
      <c r="A25" s="17" t="s">
        <v>110</v>
      </c>
      <c r="B25" s="11">
        <v>5395.31</v>
      </c>
      <c r="C25" s="11"/>
    </row>
    <row r="26" spans="1:3">
      <c r="A26" s="17" t="s">
        <v>109</v>
      </c>
      <c r="B26" s="11"/>
      <c r="C26" s="11">
        <v>4598.0200000000004</v>
      </c>
    </row>
    <row r="27" spans="1:3">
      <c r="A27" s="17" t="s">
        <v>108</v>
      </c>
      <c r="B27" s="11">
        <v>1311.63</v>
      </c>
      <c r="C27" s="11"/>
    </row>
    <row r="28" spans="1:3">
      <c r="A28" s="17" t="s">
        <v>107</v>
      </c>
      <c r="B28" s="11"/>
      <c r="C28" s="11">
        <v>1253.79</v>
      </c>
    </row>
    <row r="29" spans="1:3">
      <c r="A29" s="17" t="s">
        <v>155</v>
      </c>
      <c r="B29" s="11">
        <v>7059.22</v>
      </c>
      <c r="C29" s="11"/>
    </row>
    <row r="30" spans="1:3">
      <c r="A30" s="17" t="s">
        <v>154</v>
      </c>
      <c r="B30" s="11"/>
      <c r="C30" s="11">
        <v>4119.07</v>
      </c>
    </row>
    <row r="31" spans="1:3">
      <c r="A31" s="17" t="s">
        <v>106</v>
      </c>
      <c r="B31" s="11">
        <v>97513.77</v>
      </c>
      <c r="C31" s="11"/>
    </row>
    <row r="32" spans="1:3">
      <c r="A32" s="17" t="s">
        <v>105</v>
      </c>
      <c r="B32" s="11"/>
      <c r="C32" s="11">
        <v>59227.6</v>
      </c>
    </row>
    <row r="33" spans="1:3">
      <c r="A33" s="10" t="s">
        <v>104</v>
      </c>
      <c r="B33" s="9">
        <f>SUM(B21:B32)</f>
        <v>535194.06999999995</v>
      </c>
      <c r="C33" s="9">
        <f>SUM(C21:C32)</f>
        <v>356355.91</v>
      </c>
    </row>
    <row r="34" spans="1:3">
      <c r="A34" s="16" t="s">
        <v>103</v>
      </c>
      <c r="B34" s="11"/>
      <c r="C34" s="11"/>
    </row>
    <row r="35" spans="1:3">
      <c r="A35" s="17" t="s">
        <v>102</v>
      </c>
      <c r="B35" s="11">
        <v>40088.620000000003</v>
      </c>
      <c r="C35" s="11"/>
    </row>
    <row r="36" spans="1:3">
      <c r="A36" s="17" t="s">
        <v>101</v>
      </c>
      <c r="B36" s="11"/>
      <c r="C36" s="11">
        <v>38743.68</v>
      </c>
    </row>
    <row r="37" spans="1:3">
      <c r="A37" s="10" t="s">
        <v>100</v>
      </c>
      <c r="B37" s="9">
        <f>SUM(B35:B36)</f>
        <v>40088.620000000003</v>
      </c>
      <c r="C37" s="9">
        <f>SUM(C35:C36)</f>
        <v>38743.68</v>
      </c>
    </row>
    <row r="38" spans="1:3">
      <c r="A38" s="16" t="s">
        <v>99</v>
      </c>
      <c r="B38" s="11"/>
      <c r="C38" s="11"/>
    </row>
    <row r="39" spans="1:3">
      <c r="A39" s="17" t="s">
        <v>98</v>
      </c>
      <c r="B39" s="11"/>
      <c r="C39" s="11">
        <v>4069.66</v>
      </c>
    </row>
    <row r="40" spans="1:3">
      <c r="A40" s="17" t="s">
        <v>229</v>
      </c>
      <c r="B40" s="11"/>
      <c r="C40" s="11">
        <v>5768.2</v>
      </c>
    </row>
    <row r="41" spans="1:3">
      <c r="A41" s="10" t="s">
        <v>97</v>
      </c>
      <c r="B41" s="9">
        <f>SUM(B39:B40)</f>
        <v>0</v>
      </c>
      <c r="C41" s="9">
        <f>SUM(C39:C40)</f>
        <v>9837.86</v>
      </c>
    </row>
    <row r="42" spans="1:3">
      <c r="A42" s="16" t="s">
        <v>96</v>
      </c>
      <c r="B42" s="11"/>
      <c r="C42" s="11"/>
    </row>
    <row r="43" spans="1:3">
      <c r="A43" s="17" t="s">
        <v>95</v>
      </c>
      <c r="B43" s="11"/>
      <c r="C43" s="11">
        <v>5883</v>
      </c>
    </row>
    <row r="44" spans="1:3">
      <c r="A44" s="10" t="s">
        <v>94</v>
      </c>
      <c r="B44" s="9">
        <f>SUM(B43)</f>
        <v>0</v>
      </c>
      <c r="C44" s="9">
        <f>SUM(C43)</f>
        <v>5883</v>
      </c>
    </row>
    <row r="45" spans="1:3">
      <c r="A45" s="16" t="s">
        <v>93</v>
      </c>
      <c r="B45" s="11"/>
      <c r="C45" s="11"/>
    </row>
    <row r="46" spans="1:3">
      <c r="A46" s="17" t="s">
        <v>92</v>
      </c>
      <c r="B46" s="11"/>
      <c r="C46" s="11">
        <v>2455.56</v>
      </c>
    </row>
    <row r="47" spans="1:3">
      <c r="A47" s="10" t="s">
        <v>91</v>
      </c>
      <c r="B47" s="9">
        <f>SUM(B46)</f>
        <v>0</v>
      </c>
      <c r="C47" s="9">
        <f>SUM(C46)</f>
        <v>2455.56</v>
      </c>
    </row>
    <row r="48" spans="1:3">
      <c r="A48" s="16" t="s">
        <v>90</v>
      </c>
      <c r="B48" s="11"/>
      <c r="C48" s="11"/>
    </row>
    <row r="49" spans="1:3">
      <c r="A49" s="17" t="s">
        <v>89</v>
      </c>
      <c r="B49" s="11"/>
      <c r="C49" s="11">
        <v>2925.31</v>
      </c>
    </row>
    <row r="50" spans="1:3">
      <c r="A50" s="17" t="s">
        <v>88</v>
      </c>
      <c r="B50" s="11">
        <v>209.73</v>
      </c>
      <c r="C50" s="11"/>
    </row>
    <row r="51" spans="1:3">
      <c r="A51" s="17" t="s">
        <v>87</v>
      </c>
      <c r="B51" s="11"/>
      <c r="C51" s="11">
        <v>112500</v>
      </c>
    </row>
    <row r="52" spans="1:3">
      <c r="A52" s="17" t="s">
        <v>225</v>
      </c>
      <c r="B52" s="11"/>
      <c r="C52" s="11">
        <v>8142.93</v>
      </c>
    </row>
    <row r="53" spans="1:3">
      <c r="A53" s="17" t="s">
        <v>86</v>
      </c>
      <c r="B53" s="11"/>
      <c r="C53" s="11">
        <v>96666.05</v>
      </c>
    </row>
    <row r="54" spans="1:3">
      <c r="A54" s="10" t="s">
        <v>85</v>
      </c>
      <c r="B54" s="9">
        <f>SUM(B49:B53)</f>
        <v>209.73</v>
      </c>
      <c r="C54" s="9">
        <f>SUM(C49:C53)</f>
        <v>220234.28999999998</v>
      </c>
    </row>
    <row r="55" spans="1:3">
      <c r="A55" s="16" t="s">
        <v>84</v>
      </c>
      <c r="B55" s="11"/>
      <c r="C55" s="11"/>
    </row>
    <row r="56" spans="1:3">
      <c r="A56" s="17" t="s">
        <v>83</v>
      </c>
      <c r="B56" s="11">
        <v>57831.71</v>
      </c>
      <c r="C56" s="11"/>
    </row>
    <row r="57" spans="1:3">
      <c r="A57" s="17" t="s">
        <v>82</v>
      </c>
      <c r="B57" s="11">
        <v>94.46</v>
      </c>
      <c r="C57" s="11"/>
    </row>
    <row r="58" spans="1:3">
      <c r="A58" s="17" t="s">
        <v>81</v>
      </c>
      <c r="B58" s="11">
        <v>40040.78</v>
      </c>
      <c r="C58" s="11"/>
    </row>
    <row r="59" spans="1:3">
      <c r="A59" s="10" t="s">
        <v>80</v>
      </c>
      <c r="B59" s="9">
        <f>SUM(B56:B58)</f>
        <v>97966.95</v>
      </c>
      <c r="C59" s="9">
        <f>SUM(C56:C58)</f>
        <v>0</v>
      </c>
    </row>
    <row r="60" spans="1:3">
      <c r="A60" s="16" t="s">
        <v>79</v>
      </c>
      <c r="B60" s="11"/>
      <c r="C60" s="11"/>
    </row>
    <row r="61" spans="1:3">
      <c r="A61" s="17" t="s">
        <v>78</v>
      </c>
      <c r="B61" s="11"/>
      <c r="C61" s="11">
        <v>100</v>
      </c>
    </row>
    <row r="62" spans="1:3">
      <c r="A62" s="10" t="s">
        <v>77</v>
      </c>
      <c r="B62" s="9">
        <f>SUM(B61)</f>
        <v>0</v>
      </c>
      <c r="C62" s="9">
        <f>SUM(C61)</f>
        <v>100</v>
      </c>
    </row>
    <row r="63" spans="1:3">
      <c r="A63" s="16" t="s">
        <v>76</v>
      </c>
      <c r="B63" s="11"/>
      <c r="C63" s="11"/>
    </row>
    <row r="64" spans="1:3">
      <c r="A64" s="17" t="s">
        <v>75</v>
      </c>
      <c r="B64" s="11"/>
      <c r="C64" s="11">
        <v>310387.45</v>
      </c>
    </row>
    <row r="65" spans="1:3">
      <c r="A65" s="17" t="s">
        <v>74</v>
      </c>
      <c r="B65" s="11"/>
      <c r="C65" s="11">
        <v>572192.77</v>
      </c>
    </row>
    <row r="66" spans="1:3">
      <c r="A66" s="10" t="s">
        <v>73</v>
      </c>
      <c r="B66" s="9">
        <f>SUM(B64:B65)</f>
        <v>0</v>
      </c>
      <c r="C66" s="9">
        <f>SUM(C64:C65)</f>
        <v>882580.22</v>
      </c>
    </row>
    <row r="67" spans="1:3">
      <c r="A67" s="16" t="s">
        <v>72</v>
      </c>
      <c r="B67" s="11"/>
      <c r="C67" s="11"/>
    </row>
    <row r="68" spans="1:3">
      <c r="A68" s="15" t="s">
        <v>71</v>
      </c>
      <c r="B68" s="11"/>
      <c r="C68" s="11"/>
    </row>
    <row r="69" spans="1:3">
      <c r="A69" s="14" t="s">
        <v>70</v>
      </c>
      <c r="B69" s="11"/>
      <c r="C69" s="11">
        <v>174900</v>
      </c>
    </row>
    <row r="70" spans="1:3">
      <c r="A70" s="14" t="s">
        <v>69</v>
      </c>
      <c r="B70" s="11"/>
      <c r="C70" s="11">
        <v>1822405.77</v>
      </c>
    </row>
    <row r="71" spans="1:3">
      <c r="A71" s="13" t="s">
        <v>68</v>
      </c>
      <c r="B71" s="9">
        <f>SUM(B69:B70)</f>
        <v>0</v>
      </c>
      <c r="C71" s="9">
        <f>SUM(C69:C70)</f>
        <v>1997305.77</v>
      </c>
    </row>
    <row r="72" spans="1:3">
      <c r="A72" s="15" t="s">
        <v>149</v>
      </c>
      <c r="B72" s="11"/>
      <c r="C72" s="11"/>
    </row>
    <row r="73" spans="1:3">
      <c r="A73" s="14" t="s">
        <v>148</v>
      </c>
      <c r="B73" s="11">
        <v>8500</v>
      </c>
      <c r="C73" s="11"/>
    </row>
    <row r="74" spans="1:3">
      <c r="A74" s="13" t="s">
        <v>147</v>
      </c>
      <c r="B74" s="9">
        <f>SUM(B73)</f>
        <v>8500</v>
      </c>
      <c r="C74" s="9">
        <f>SUM(C73)</f>
        <v>0</v>
      </c>
    </row>
    <row r="75" spans="1:3">
      <c r="A75" s="10" t="s">
        <v>67</v>
      </c>
      <c r="B75" s="9">
        <f>SUM(B71,B74)</f>
        <v>8500</v>
      </c>
      <c r="C75" s="9">
        <f>SUM(C71,C74)</f>
        <v>1997305.77</v>
      </c>
    </row>
    <row r="76" spans="1:3">
      <c r="A76" s="16" t="s">
        <v>66</v>
      </c>
      <c r="B76" s="11"/>
      <c r="C76" s="11"/>
    </row>
    <row r="77" spans="1:3">
      <c r="A77" s="15" t="s">
        <v>65</v>
      </c>
      <c r="B77" s="11"/>
      <c r="C77" s="11"/>
    </row>
    <row r="78" spans="1:3">
      <c r="A78" s="20" t="s">
        <v>64</v>
      </c>
      <c r="B78" s="11"/>
      <c r="C78" s="11"/>
    </row>
    <row r="79" spans="1:3">
      <c r="A79" s="19" t="s">
        <v>64</v>
      </c>
      <c r="B79" s="11">
        <v>873915.07</v>
      </c>
      <c r="C79" s="11"/>
    </row>
    <row r="80" spans="1:3">
      <c r="A80" s="18" t="s">
        <v>63</v>
      </c>
      <c r="B80" s="9">
        <f>SUM(B79)</f>
        <v>873915.07</v>
      </c>
      <c r="C80" s="9">
        <f>SUM(C79)</f>
        <v>0</v>
      </c>
    </row>
    <row r="81" spans="1:3">
      <c r="A81" s="20" t="s">
        <v>62</v>
      </c>
      <c r="B81" s="11"/>
      <c r="C81" s="11"/>
    </row>
    <row r="82" spans="1:3">
      <c r="A82" s="19" t="s">
        <v>62</v>
      </c>
      <c r="B82" s="11">
        <v>68377.08</v>
      </c>
      <c r="C82" s="11"/>
    </row>
    <row r="83" spans="1:3">
      <c r="A83" s="18" t="s">
        <v>61</v>
      </c>
      <c r="B83" s="9">
        <f>SUM(B82)</f>
        <v>68377.08</v>
      </c>
      <c r="C83" s="9">
        <f>SUM(C82)</f>
        <v>0</v>
      </c>
    </row>
    <row r="84" spans="1:3">
      <c r="A84" s="14" t="s">
        <v>60</v>
      </c>
      <c r="B84" s="11">
        <v>150000</v>
      </c>
      <c r="C84" s="11"/>
    </row>
    <row r="85" spans="1:3">
      <c r="A85" s="14" t="s">
        <v>59</v>
      </c>
      <c r="B85" s="11">
        <v>35333.269999999997</v>
      </c>
      <c r="C85" s="11"/>
    </row>
    <row r="86" spans="1:3">
      <c r="A86" s="14" t="s">
        <v>58</v>
      </c>
      <c r="B86" s="11">
        <v>43472.18</v>
      </c>
      <c r="C86" s="11"/>
    </row>
    <row r="87" spans="1:3">
      <c r="A87" s="13" t="s">
        <v>57</v>
      </c>
      <c r="B87" s="9">
        <f>SUM(B80,B83:B86)</f>
        <v>1171097.5999999999</v>
      </c>
      <c r="C87" s="9">
        <f>SUM(C80,C83:C86)</f>
        <v>0</v>
      </c>
    </row>
    <row r="88" spans="1:3">
      <c r="A88" s="15" t="s">
        <v>56</v>
      </c>
      <c r="B88" s="11"/>
      <c r="C88" s="11"/>
    </row>
    <row r="89" spans="1:3">
      <c r="A89" s="14" t="s">
        <v>145</v>
      </c>
      <c r="B89" s="11">
        <v>3623.72</v>
      </c>
      <c r="C89" s="11"/>
    </row>
    <row r="90" spans="1:3">
      <c r="A90" s="14" t="s">
        <v>144</v>
      </c>
      <c r="B90" s="11">
        <v>2855.06</v>
      </c>
      <c r="C90" s="11"/>
    </row>
    <row r="91" spans="1:3">
      <c r="A91" s="14" t="s">
        <v>55</v>
      </c>
      <c r="B91" s="11">
        <v>1617.41</v>
      </c>
      <c r="C91" s="11"/>
    </row>
    <row r="92" spans="1:3">
      <c r="A92" s="13" t="s">
        <v>54</v>
      </c>
      <c r="B92" s="9">
        <f>SUM(B89:B91)</f>
        <v>8096.19</v>
      </c>
      <c r="C92" s="9">
        <f>SUM(C89:C91)</f>
        <v>0</v>
      </c>
    </row>
    <row r="93" spans="1:3">
      <c r="A93" s="10" t="s">
        <v>53</v>
      </c>
      <c r="B93" s="9">
        <f>SUM(B87,B92)</f>
        <v>1179193.7899999998</v>
      </c>
      <c r="C93" s="9">
        <f>SUM(C87,C92)</f>
        <v>0</v>
      </c>
    </row>
    <row r="94" spans="1:3">
      <c r="A94" s="16" t="s">
        <v>52</v>
      </c>
      <c r="B94" s="11"/>
      <c r="C94" s="11"/>
    </row>
    <row r="95" spans="1:3">
      <c r="A95" s="15" t="s">
        <v>51</v>
      </c>
      <c r="B95" s="11"/>
      <c r="C95" s="11"/>
    </row>
    <row r="96" spans="1:3">
      <c r="A96" s="14" t="s">
        <v>51</v>
      </c>
      <c r="B96" s="11">
        <v>73910.179999999993</v>
      </c>
      <c r="C96" s="11"/>
    </row>
    <row r="97" spans="1:3">
      <c r="A97" s="13" t="s">
        <v>50</v>
      </c>
      <c r="B97" s="9">
        <f>SUM(B96)</f>
        <v>73910.179999999993</v>
      </c>
      <c r="C97" s="9">
        <f>SUM(C96)</f>
        <v>0</v>
      </c>
    </row>
    <row r="98" spans="1:3">
      <c r="A98" s="15" t="s">
        <v>49</v>
      </c>
      <c r="B98" s="11"/>
      <c r="C98" s="11"/>
    </row>
    <row r="99" spans="1:3">
      <c r="A99" s="14" t="s">
        <v>49</v>
      </c>
      <c r="B99" s="11">
        <v>6279.64</v>
      </c>
      <c r="C99" s="11"/>
    </row>
    <row r="100" spans="1:3">
      <c r="A100" s="13" t="s">
        <v>48</v>
      </c>
      <c r="B100" s="9">
        <f>SUM(B99)</f>
        <v>6279.64</v>
      </c>
      <c r="C100" s="9">
        <f>SUM(C99)</f>
        <v>0</v>
      </c>
    </row>
    <row r="101" spans="1:3">
      <c r="A101" s="17" t="s">
        <v>143</v>
      </c>
      <c r="B101" s="11">
        <v>4430.92</v>
      </c>
      <c r="C101" s="11"/>
    </row>
    <row r="102" spans="1:3">
      <c r="A102" s="17" t="s">
        <v>142</v>
      </c>
      <c r="B102" s="11">
        <v>7334.89</v>
      </c>
      <c r="C102" s="11"/>
    </row>
    <row r="103" spans="1:3">
      <c r="A103" s="10" t="s">
        <v>47</v>
      </c>
      <c r="B103" s="9">
        <f>SUM(B97,B100:B102)</f>
        <v>91955.62999999999</v>
      </c>
      <c r="C103" s="9">
        <f>SUM(C97,C100:C102)</f>
        <v>0</v>
      </c>
    </row>
    <row r="104" spans="1:3">
      <c r="A104" s="16" t="s">
        <v>46</v>
      </c>
      <c r="B104" s="11"/>
      <c r="C104" s="11"/>
    </row>
    <row r="105" spans="1:3">
      <c r="A105" s="15" t="s">
        <v>45</v>
      </c>
      <c r="B105" s="11"/>
      <c r="C105" s="11"/>
    </row>
    <row r="106" spans="1:3">
      <c r="A106" s="14" t="s">
        <v>44</v>
      </c>
      <c r="B106" s="11">
        <v>8367.2000000000007</v>
      </c>
      <c r="C106" s="11"/>
    </row>
    <row r="107" spans="1:3">
      <c r="A107" s="14" t="s">
        <v>43</v>
      </c>
      <c r="B107" s="11">
        <v>12478.16</v>
      </c>
      <c r="C107" s="11"/>
    </row>
    <row r="108" spans="1:3">
      <c r="A108" s="14" t="s">
        <v>141</v>
      </c>
      <c r="B108" s="11">
        <v>14000</v>
      </c>
      <c r="C108" s="11"/>
    </row>
    <row r="109" spans="1:3">
      <c r="A109" s="13" t="s">
        <v>42</v>
      </c>
      <c r="B109" s="9">
        <f>SUM(B106:B108)</f>
        <v>34845.360000000001</v>
      </c>
      <c r="C109" s="9">
        <f>SUM(C106:C108)</f>
        <v>0</v>
      </c>
    </row>
    <row r="110" spans="1:3">
      <c r="A110" s="15" t="s">
        <v>140</v>
      </c>
      <c r="B110" s="11"/>
      <c r="C110" s="11"/>
    </row>
    <row r="111" spans="1:3">
      <c r="A111" s="14" t="s">
        <v>139</v>
      </c>
      <c r="B111" s="11">
        <v>118.68</v>
      </c>
      <c r="C111" s="11"/>
    </row>
    <row r="112" spans="1:3">
      <c r="A112" s="13" t="s">
        <v>138</v>
      </c>
      <c r="B112" s="9">
        <f>SUM(B111)</f>
        <v>118.68</v>
      </c>
      <c r="C112" s="9">
        <f>SUM(C111)</f>
        <v>0</v>
      </c>
    </row>
    <row r="113" spans="1:3">
      <c r="A113" s="15" t="s">
        <v>41</v>
      </c>
      <c r="B113" s="11"/>
      <c r="C113" s="11"/>
    </row>
    <row r="114" spans="1:3">
      <c r="A114" s="14" t="s">
        <v>40</v>
      </c>
      <c r="B114" s="11">
        <v>1626.92</v>
      </c>
      <c r="C114" s="11"/>
    </row>
    <row r="115" spans="1:3">
      <c r="A115" s="13" t="s">
        <v>39</v>
      </c>
      <c r="B115" s="9">
        <f>SUM(B114)</f>
        <v>1626.92</v>
      </c>
      <c r="C115" s="9">
        <f>SUM(C114)</f>
        <v>0</v>
      </c>
    </row>
    <row r="116" spans="1:3">
      <c r="A116" s="15" t="s">
        <v>38</v>
      </c>
      <c r="B116" s="11"/>
      <c r="C116" s="11"/>
    </row>
    <row r="117" spans="1:3">
      <c r="A117" s="14" t="s">
        <v>37</v>
      </c>
      <c r="B117" s="11">
        <v>2009.84</v>
      </c>
      <c r="C117" s="11"/>
    </row>
    <row r="118" spans="1:3">
      <c r="A118" s="13" t="s">
        <v>36</v>
      </c>
      <c r="B118" s="9">
        <f>SUM(B117)</f>
        <v>2009.84</v>
      </c>
      <c r="C118" s="9">
        <f>SUM(C117)</f>
        <v>0</v>
      </c>
    </row>
    <row r="119" spans="1:3">
      <c r="A119" s="15" t="s">
        <v>35</v>
      </c>
      <c r="B119" s="11"/>
      <c r="C119" s="11"/>
    </row>
    <row r="120" spans="1:3">
      <c r="A120" s="14" t="s">
        <v>34</v>
      </c>
      <c r="B120" s="11">
        <v>326034.23</v>
      </c>
      <c r="C120" s="11"/>
    </row>
    <row r="121" spans="1:3">
      <c r="A121" s="14" t="s">
        <v>33</v>
      </c>
      <c r="B121" s="11">
        <v>15431.04</v>
      </c>
      <c r="C121" s="11"/>
    </row>
    <row r="122" spans="1:3">
      <c r="A122" s="14" t="s">
        <v>32</v>
      </c>
      <c r="B122" s="11">
        <v>3752.1</v>
      </c>
      <c r="C122" s="11"/>
    </row>
    <row r="123" spans="1:3">
      <c r="A123" s="14" t="s">
        <v>31</v>
      </c>
      <c r="B123" s="11">
        <v>37060.019999999997</v>
      </c>
      <c r="C123" s="11"/>
    </row>
    <row r="124" spans="1:3">
      <c r="A124" s="14" t="s">
        <v>30</v>
      </c>
      <c r="B124" s="11">
        <v>14787.38</v>
      </c>
      <c r="C124" s="11"/>
    </row>
    <row r="125" spans="1:3">
      <c r="A125" s="14" t="s">
        <v>29</v>
      </c>
      <c r="B125" s="11">
        <v>2258.4499999999998</v>
      </c>
      <c r="C125" s="11"/>
    </row>
    <row r="126" spans="1:3">
      <c r="A126" s="14" t="s">
        <v>28</v>
      </c>
      <c r="B126" s="11">
        <v>9910.75</v>
      </c>
      <c r="C126" s="11"/>
    </row>
    <row r="127" spans="1:3">
      <c r="A127" s="14" t="s">
        <v>137</v>
      </c>
      <c r="B127" s="11">
        <v>5707.7</v>
      </c>
      <c r="C127" s="11"/>
    </row>
    <row r="128" spans="1:3">
      <c r="A128" s="14" t="s">
        <v>136</v>
      </c>
      <c r="B128" s="11">
        <v>1053.8599999999999</v>
      </c>
      <c r="C128" s="11"/>
    </row>
    <row r="129" spans="1:3">
      <c r="A129" s="13" t="s">
        <v>27</v>
      </c>
      <c r="B129" s="9">
        <f>SUM(B120:B128)</f>
        <v>415995.52999999997</v>
      </c>
      <c r="C129" s="9">
        <f>SUM(C120:C128)</f>
        <v>0</v>
      </c>
    </row>
    <row r="130" spans="1:3">
      <c r="A130" s="15" t="s">
        <v>26</v>
      </c>
      <c r="B130" s="11"/>
      <c r="C130" s="11"/>
    </row>
    <row r="131" spans="1:3">
      <c r="A131" s="14" t="s">
        <v>135</v>
      </c>
      <c r="B131" s="11">
        <v>255.12</v>
      </c>
      <c r="C131" s="11"/>
    </row>
    <row r="132" spans="1:3">
      <c r="A132" s="14" t="s">
        <v>25</v>
      </c>
      <c r="B132" s="11">
        <v>607.9</v>
      </c>
      <c r="C132" s="11"/>
    </row>
    <row r="133" spans="1:3">
      <c r="A133" s="14" t="s">
        <v>171</v>
      </c>
      <c r="B133" s="11">
        <v>143.93</v>
      </c>
      <c r="C133" s="11"/>
    </row>
    <row r="134" spans="1:3">
      <c r="A134" s="13" t="s">
        <v>24</v>
      </c>
      <c r="B134" s="9">
        <f>SUM(B131:B133)</f>
        <v>1006.95</v>
      </c>
      <c r="C134" s="9">
        <f>SUM(C131:C133)</f>
        <v>0</v>
      </c>
    </row>
    <row r="135" spans="1:3">
      <c r="A135" s="15" t="s">
        <v>23</v>
      </c>
      <c r="B135" s="11"/>
      <c r="C135" s="11"/>
    </row>
    <row r="136" spans="1:3">
      <c r="A136" s="14" t="s">
        <v>22</v>
      </c>
      <c r="B136" s="11">
        <v>2946.23</v>
      </c>
      <c r="C136" s="11"/>
    </row>
    <row r="137" spans="1:3">
      <c r="A137" s="14" t="s">
        <v>21</v>
      </c>
      <c r="B137" s="11">
        <v>9075.69</v>
      </c>
      <c r="C137" s="11"/>
    </row>
    <row r="138" spans="1:3">
      <c r="A138" s="13" t="s">
        <v>20</v>
      </c>
      <c r="B138" s="9">
        <f>SUM(B136:B137)</f>
        <v>12021.92</v>
      </c>
      <c r="C138" s="9">
        <f>SUM(C136:C137)</f>
        <v>0</v>
      </c>
    </row>
    <row r="139" spans="1:3">
      <c r="A139" s="15" t="s">
        <v>19</v>
      </c>
      <c r="B139" s="11"/>
      <c r="C139" s="11"/>
    </row>
    <row r="140" spans="1:3">
      <c r="A140" s="14" t="s">
        <v>18</v>
      </c>
      <c r="B140" s="11">
        <v>19287.39</v>
      </c>
      <c r="C140" s="11"/>
    </row>
    <row r="141" spans="1:3">
      <c r="A141" s="14" t="s">
        <v>153</v>
      </c>
      <c r="B141" s="11">
        <v>18700.599999999999</v>
      </c>
      <c r="C141" s="11"/>
    </row>
    <row r="142" spans="1:3">
      <c r="A142" s="14" t="s">
        <v>165</v>
      </c>
      <c r="B142" s="11">
        <v>94.98</v>
      </c>
      <c r="C142" s="11"/>
    </row>
    <row r="143" spans="1:3">
      <c r="A143" s="14" t="s">
        <v>17</v>
      </c>
      <c r="B143" s="11">
        <v>4858.57</v>
      </c>
      <c r="C143" s="11"/>
    </row>
    <row r="144" spans="1:3">
      <c r="A144" s="13" t="s">
        <v>16</v>
      </c>
      <c r="B144" s="9">
        <f>SUM(B140:B143)</f>
        <v>42941.54</v>
      </c>
      <c r="C144" s="9">
        <f>SUM(C140:C143)</f>
        <v>0</v>
      </c>
    </row>
    <row r="145" spans="1:3">
      <c r="A145" s="10" t="s">
        <v>15</v>
      </c>
      <c r="B145" s="9">
        <f>SUM(B109,B112,B115,B118,B129,B134,B138,B144)</f>
        <v>510566.73999999993</v>
      </c>
      <c r="C145" s="9">
        <f>SUM(C109,C112,C115,C118,C129,C134,C138,C144)</f>
        <v>0</v>
      </c>
    </row>
    <row r="146" spans="1:3">
      <c r="A146" s="16" t="s">
        <v>14</v>
      </c>
      <c r="B146" s="11"/>
      <c r="C146" s="11"/>
    </row>
    <row r="147" spans="1:3">
      <c r="A147" s="15" t="s">
        <v>13</v>
      </c>
      <c r="B147" s="11"/>
      <c r="C147" s="11"/>
    </row>
    <row r="148" spans="1:3">
      <c r="A148" s="14" t="s">
        <v>12</v>
      </c>
      <c r="B148" s="11">
        <v>50428.11</v>
      </c>
      <c r="C148" s="11"/>
    </row>
    <row r="149" spans="1:3">
      <c r="A149" s="14" t="s">
        <v>11</v>
      </c>
      <c r="B149" s="11">
        <v>576.44000000000005</v>
      </c>
      <c r="C149" s="11"/>
    </row>
    <row r="150" spans="1:3">
      <c r="A150" s="13" t="s">
        <v>10</v>
      </c>
      <c r="B150" s="9">
        <f>SUM(B148:B149)</f>
        <v>51004.55</v>
      </c>
      <c r="C150" s="9">
        <f>SUM(C148:C149)</f>
        <v>0</v>
      </c>
    </row>
    <row r="151" spans="1:3">
      <c r="A151" s="15" t="s">
        <v>9</v>
      </c>
      <c r="B151" s="11"/>
      <c r="C151" s="11"/>
    </row>
    <row r="152" spans="1:3">
      <c r="A152" s="14" t="s">
        <v>8</v>
      </c>
      <c r="B152" s="11">
        <v>1697.25</v>
      </c>
      <c r="C152" s="11"/>
    </row>
    <row r="153" spans="1:3">
      <c r="A153" s="13" t="s">
        <v>6</v>
      </c>
      <c r="B153" s="9">
        <f>SUM(B152)</f>
        <v>1697.25</v>
      </c>
      <c r="C153" s="9">
        <f>SUM(C152)</f>
        <v>0</v>
      </c>
    </row>
    <row r="154" spans="1:3">
      <c r="A154" s="15" t="s">
        <v>131</v>
      </c>
      <c r="B154" s="11"/>
      <c r="C154" s="11"/>
    </row>
    <row r="155" spans="1:3">
      <c r="A155" s="14" t="s">
        <v>130</v>
      </c>
      <c r="B155" s="11"/>
      <c r="C155" s="11">
        <v>0.01</v>
      </c>
    </row>
    <row r="156" spans="1:3">
      <c r="A156" s="13" t="s">
        <v>129</v>
      </c>
      <c r="B156" s="9">
        <f>SUM(B155)</f>
        <v>0</v>
      </c>
      <c r="C156" s="9">
        <f>SUM(C155)</f>
        <v>0.01</v>
      </c>
    </row>
    <row r="157" spans="1:3">
      <c r="A157" s="15" t="s">
        <v>5</v>
      </c>
      <c r="B157" s="11"/>
      <c r="C157" s="11"/>
    </row>
    <row r="158" spans="1:3">
      <c r="A158" s="14" t="s">
        <v>4</v>
      </c>
      <c r="B158" s="11">
        <v>38258.239999999998</v>
      </c>
      <c r="C158" s="11"/>
    </row>
    <row r="159" spans="1:3">
      <c r="A159" s="13" t="s">
        <v>3</v>
      </c>
      <c r="B159" s="9">
        <f>SUM(B158)</f>
        <v>38258.239999999998</v>
      </c>
      <c r="C159" s="9">
        <f>SUM(C158)</f>
        <v>0</v>
      </c>
    </row>
    <row r="160" spans="1:3">
      <c r="A160" s="10" t="s">
        <v>2</v>
      </c>
      <c r="B160" s="9">
        <f>SUM(B150,B153,B156,B159)</f>
        <v>90960.040000000008</v>
      </c>
      <c r="C160" s="9">
        <f>SUM(C150,C153,C156,C159)</f>
        <v>0.01</v>
      </c>
    </row>
    <row r="161" spans="1:3">
      <c r="A161" s="12" t="s">
        <v>128</v>
      </c>
      <c r="B161" s="11">
        <v>1354.88</v>
      </c>
      <c r="C161" s="11"/>
    </row>
    <row r="162" spans="1:3">
      <c r="A162" s="10" t="s">
        <v>0</v>
      </c>
      <c r="B162" s="9">
        <f>SUM(B11,B15,B19,B33,B37,B41,B44,B47,B54,B59,B62,B66,B75,B93,B103,B145,B160:B161)</f>
        <v>3513496.2999999993</v>
      </c>
      <c r="C162" s="9">
        <f>SUM(C11,C15,C19,C33,C37,C41,C44,C47,C54,C59,C62,C66,C75,C93,C103,C145,C160:C161)</f>
        <v>3513496.3</v>
      </c>
    </row>
  </sheetData>
  <mergeCells count="6">
    <mergeCell ref="A6:C6"/>
    <mergeCell ref="A1:C1"/>
    <mergeCell ref="A2:C2"/>
    <mergeCell ref="A3:C3"/>
    <mergeCell ref="A4:C4"/>
    <mergeCell ref="A5:C5"/>
  </mergeCells>
  <pageMargins left="0.75" right="0.75" top="1" bottom="1" header="0.5" footer="0.5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8FF3-A944-44FA-80F3-B09459772D92}">
  <dimension ref="B16:C32"/>
  <sheetViews>
    <sheetView workbookViewId="0"/>
  </sheetViews>
  <sheetFormatPr baseColWidth="10" defaultColWidth="8.88671875" defaultRowHeight="14.4"/>
  <sheetData>
    <row r="16" spans="2:2">
      <c r="B16" s="7" t="s">
        <v>271</v>
      </c>
    </row>
    <row r="31" spans="2:3">
      <c r="B31" t="s">
        <v>272</v>
      </c>
      <c r="C31">
        <v>1.3226</v>
      </c>
    </row>
    <row r="32" spans="2:3">
      <c r="B32" t="s">
        <v>270</v>
      </c>
      <c r="C32">
        <v>1.3496999999999999</v>
      </c>
    </row>
  </sheetData>
  <hyperlinks>
    <hyperlink ref="B16" r:id="rId1" display="https://www.bankofcanada.ca/rates/exchange/daily-exchange-rates-lookup/?lookupPage=lookup_daily_exchange_rates_2017.php&amp;startRange=2017-01-01&amp;series%5B%5D=FXUSDCAD&amp;lookupPage=lookup_daily_exchange_rates_2017.php&amp;startRange=2017-01-01&amp;rangeType=range&amp;rangeValue=&amp;dFrom=2023-01-01&amp;dTo=2023-12-31&amp;submit_button=Submit" xr:uid="{90E34D86-C89F-43AD-B8D6-B95CE63FD638}"/>
  </hyperlinks>
  <pageMargins left="0.7" right="0.7" top="0.75" bottom="0.75" header="0.3" footer="0.3"/>
  <customProperties>
    <customPr name="OrphanNamesChecke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No xmlns="64b4adc2-996d-435f-ba7d-a20cbe6d4a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9F4137C1E4E40AC9F97F9C15D2885" ma:contentTypeVersion="5" ma:contentTypeDescription="Create a new document." ma:contentTypeScope="" ma:versionID="3d69dc6940126d2dd753eb2d354798df">
  <xsd:schema xmlns:xsd="http://www.w3.org/2001/XMLSchema" xmlns:xs="http://www.w3.org/2001/XMLSchema" xmlns:p="http://schemas.microsoft.com/office/2006/metadata/properties" xmlns:ns2="64b4adc2-996d-435f-ba7d-a20cbe6d4a1a" targetNamespace="http://schemas.microsoft.com/office/2006/metadata/properties" ma:root="true" ma:fieldsID="1dd8e64714a5395e33614213fdd71948" ns2:_="">
    <xsd:import namespace="64b4adc2-996d-435f-ba7d-a20cbe6d4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f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4adc2-996d-435f-ba7d-a20cbe6d4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fNo" ma:index="12" nillable="true" ma:displayName="RefNo" ma:description="RefNo" ma:internalName="Ref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19F4B2-5AA0-41FF-B2A0-12FF4C18CE68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64b4adc2-996d-435f-ba7d-a20cbe6d4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7098BBC-3062-4A9A-BA06-126575001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4adc2-996d-435f-ba7d-a20cbe6d4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1CF64-0BE8-4725-B289-09EA88B1373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PBC --&gt;</vt:lpstr>
      <vt:lpstr>Rodeo Inc PL</vt:lpstr>
      <vt:lpstr>Rodeo Inc BS</vt:lpstr>
      <vt:lpstr>Rodeo Corp TB</vt:lpstr>
      <vt:lpstr>Exchange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Pourzandi, Ava</dc:creator>
  <cp:lastModifiedBy>Ndiaye, Saphiétou</cp:lastModifiedBy>
  <dcterms:created xsi:type="dcterms:W3CDTF">2022-02-24T15:54:07Z</dcterms:created>
  <dcterms:modified xsi:type="dcterms:W3CDTF">2026-03-31T19:59:27Z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0x010100A949F4137C1E4E40AC9F97F9C15D2885</vt:lpwstr>
  </property>
</Properties>
</file>