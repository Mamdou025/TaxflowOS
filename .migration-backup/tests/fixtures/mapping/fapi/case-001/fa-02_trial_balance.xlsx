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can-my.sharepoint.com/personal/saphietoundiaye_kpmg_ca/Documents/Tax Tech/Sinaxe/Trial balance mapping/Rodeo FX/2024/"/>
    </mc:Choice>
  </mc:AlternateContent>
  <xr:revisionPtr revIDLastSave="6" documentId="8_{64A16A65-BD8A-4F5D-89AE-58301C924608}" xr6:coauthVersionLast="47" xr6:coauthVersionMax="47" xr10:uidLastSave="{EC932D19-A040-434A-BE9F-5274ADFD077D}"/>
  <bookViews>
    <workbookView xWindow="12996" yWindow="1152" windowWidth="21420" windowHeight="15108" xr2:uid="{A474225E-EF73-47FD-9E3A-3FBA564980AC}"/>
  </bookViews>
  <sheets>
    <sheet name="BalanceSheet" sheetId="1" r:id="rId1"/>
    <sheet name="P&amp;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2" l="1"/>
  <c r="B106" i="2" s="1"/>
  <c r="B107" i="2" s="1"/>
  <c r="B103" i="2"/>
  <c r="B100" i="2"/>
  <c r="B97" i="2"/>
  <c r="B94" i="2"/>
  <c r="B85" i="2"/>
  <c r="B86" i="2" s="1"/>
  <c r="B84" i="2"/>
  <c r="B78" i="2"/>
  <c r="B74" i="2"/>
  <c r="B69" i="2"/>
  <c r="B58" i="2"/>
  <c r="B55" i="2"/>
  <c r="B52" i="2"/>
  <c r="B49" i="2"/>
  <c r="B43" i="2"/>
  <c r="B34" i="2"/>
  <c r="B35" i="2" s="1"/>
  <c r="B33" i="2"/>
  <c r="B28" i="2"/>
  <c r="B18" i="2"/>
  <c r="B19" i="2" s="1"/>
  <c r="B17" i="2"/>
  <c r="B14" i="2"/>
  <c r="B87" i="1"/>
  <c r="B90" i="1" s="1"/>
  <c r="B86" i="1"/>
  <c r="B83" i="1"/>
  <c r="B76" i="1"/>
  <c r="B71" i="1"/>
  <c r="B64" i="1"/>
  <c r="B61" i="1"/>
  <c r="B77" i="1" s="1"/>
  <c r="B56" i="1"/>
  <c r="B57" i="1" s="1"/>
  <c r="B47" i="1"/>
  <c r="B43" i="1"/>
  <c r="B48" i="1" s="1"/>
  <c r="B26" i="1"/>
  <c r="B27" i="1" s="1"/>
  <c r="B20" i="1"/>
  <c r="B21" i="1" s="1"/>
  <c r="B15" i="1"/>
  <c r="B14" i="1"/>
  <c r="B36" i="2" l="1"/>
  <c r="B87" i="2" s="1"/>
  <c r="B108" i="2" s="1"/>
  <c r="B28" i="1"/>
  <c r="B49" i="1" s="1"/>
  <c r="B78" i="1"/>
  <c r="B91" i="1" s="1"/>
</calcChain>
</file>

<file path=xl/sharedStrings.xml><?xml version="1.0" encoding="utf-8"?>
<sst xmlns="http://schemas.openxmlformats.org/spreadsheetml/2006/main" count="201" uniqueCount="192">
  <si>
    <t>Balance Sheet</t>
  </si>
  <si>
    <t>End of Dec 2024</t>
  </si>
  <si>
    <t/>
  </si>
  <si>
    <t>Financial Row</t>
  </si>
  <si>
    <t>Amount</t>
  </si>
  <si>
    <t>ASSETS</t>
  </si>
  <si>
    <t>Current Assets</t>
  </si>
  <si>
    <t>Bank</t>
  </si>
  <si>
    <t>10000 - BANK</t>
  </si>
  <si>
    <t>Total - 10000 - BANK</t>
  </si>
  <si>
    <t>Total Bank</t>
  </si>
  <si>
    <t>Accounts Receivable</t>
  </si>
  <si>
    <t>12000 - ACCOUNTS RECEIVABLE</t>
  </si>
  <si>
    <t>12100 - Comptes clients</t>
  </si>
  <si>
    <t>12200 - Comptes clients - intercos</t>
  </si>
  <si>
    <t>Total - 12000 - ACCOUNTS RECEIVABLE</t>
  </si>
  <si>
    <t>Total Accounts Receivable</t>
  </si>
  <si>
    <t>Other Current Asset</t>
  </si>
  <si>
    <t>15000 - PREPAID EXPENSES</t>
  </si>
  <si>
    <t>15050 - Dépôts CT</t>
  </si>
  <si>
    <t>15100 - Frais payés d'avance</t>
  </si>
  <si>
    <t>Total - 15000 - PREPAID EXPENSES</t>
  </si>
  <si>
    <t>Total Other Current Asset</t>
  </si>
  <si>
    <t>Total Current Assets</t>
  </si>
  <si>
    <t>Fixed Assets</t>
  </si>
  <si>
    <t>18000 - FIXED ASSETS</t>
  </si>
  <si>
    <t>18010 - Ameliorations locatives</t>
  </si>
  <si>
    <t>18020 - Amort. cum. ameliorations locatives</t>
  </si>
  <si>
    <t>18110 - Équipements informatique</t>
  </si>
  <si>
    <t>18120 - Amort cum. Équip. informatique</t>
  </si>
  <si>
    <t>18210 - Équipement Téléphonique</t>
  </si>
  <si>
    <t>18220 - Amort cum. Équip. téléphonique</t>
  </si>
  <si>
    <t>18310 - Équipement de photographie</t>
  </si>
  <si>
    <t>18320 - Amort. cum. Équip. photographie</t>
  </si>
  <si>
    <t>18350 - Équipement Audio</t>
  </si>
  <si>
    <t>18360 - Amort.cum.équip. Audio</t>
  </si>
  <si>
    <t>18410 - Mobilier de bureau &amp; matériel</t>
  </si>
  <si>
    <t>18420 - Amort. cum. - Matér./mobil./inst.</t>
  </si>
  <si>
    <t>Total - 18000 - FIXED ASSETS</t>
  </si>
  <si>
    <t>19000 - INTANGIBLE ASSETS</t>
  </si>
  <si>
    <t>19110 - Licences</t>
  </si>
  <si>
    <t>19120 - Amort cum. Licences</t>
  </si>
  <si>
    <t>Total - 19000 - INTANGIBLE ASSETS</t>
  </si>
  <si>
    <t>Total Fixed Assets</t>
  </si>
  <si>
    <t>Total ASSETS</t>
  </si>
  <si>
    <t>Liabilities &amp; Equity</t>
  </si>
  <si>
    <t>Current Liabilities</t>
  </si>
  <si>
    <t>Accounts Payable</t>
  </si>
  <si>
    <t>21000 - ACCOUNTS PAYABLE</t>
  </si>
  <si>
    <t>21010 - Comptes fournisseurs</t>
  </si>
  <si>
    <t>21020 - Comptes fournisseurs - intercos</t>
  </si>
  <si>
    <t>Total - 21000 - ACCOUNTS PAYABLE</t>
  </si>
  <si>
    <t>Total Accounts Payable</t>
  </si>
  <si>
    <t>Other Current Liability</t>
  </si>
  <si>
    <t>22000 - ACCRUED LIABILITIES</t>
  </si>
  <si>
    <t>22100 - Frais courus à payer</t>
  </si>
  <si>
    <t>Total - 22000 - ACCRUED LIABILITIES</t>
  </si>
  <si>
    <t>22500 - CREDITS CARDS PAYABLE</t>
  </si>
  <si>
    <t>22520 - Carte de crédit à payer - (USD)</t>
  </si>
  <si>
    <t>Total - 22500 - CREDITS CARDS PAYABLE</t>
  </si>
  <si>
    <t>23000 - SALARIES PAYABLE</t>
  </si>
  <si>
    <t>23010 - Salaires à payer</t>
  </si>
  <si>
    <t>23020 - Ass-groupe à payer</t>
  </si>
  <si>
    <t>23040 - Bonis à payer</t>
  </si>
  <si>
    <t>23060 - DAS à payer</t>
  </si>
  <si>
    <t>23070 - Vacances à payer</t>
  </si>
  <si>
    <t>Total - 23000 - SALARIES PAYABLE</t>
  </si>
  <si>
    <t>28000 - INCOME TAXES PAYABLE</t>
  </si>
  <si>
    <t>28400 - Impôt State of California à payer</t>
  </si>
  <si>
    <t>28410 - Impôt State of Georgia à payer</t>
  </si>
  <si>
    <t>28450 - Impôt IRS à payer</t>
  </si>
  <si>
    <t>Total - 28000 - INCOME TAXES PAYABLE</t>
  </si>
  <si>
    <t>Total Other Current Liability</t>
  </si>
  <si>
    <t>Total Current Liabilities</t>
  </si>
  <si>
    <t>Equity</t>
  </si>
  <si>
    <t>30000 - SHARE CAPITAL</t>
  </si>
  <si>
    <t>30250 - Actions ordinaires</t>
  </si>
  <si>
    <t>Total - 30000 - SHARE CAPITAL</t>
  </si>
  <si>
    <t>31000 - RETAINED EARNINGS</t>
  </si>
  <si>
    <t>31200 - Bénéfices non répartis- exer. préc.</t>
  </si>
  <si>
    <t>Total - 31000 - RETAINED EARNINGS</t>
  </si>
  <si>
    <t>Total - Equity</t>
  </si>
  <si>
    <t>Retained Earnings</t>
  </si>
  <si>
    <t>Net Income</t>
  </si>
  <si>
    <t>Total Equity</t>
  </si>
  <si>
    <t>Total Liabilities &amp; Equity</t>
  </si>
  <si>
    <t>Profit and Loss</t>
  </si>
  <si>
    <t>From Jan 2024 to Dec 2024</t>
  </si>
  <si>
    <t>Ordinary Income/Expense</t>
  </si>
  <si>
    <t>Income</t>
  </si>
  <si>
    <t>40000 - SALES</t>
  </si>
  <si>
    <t>42000 - SALES REVENUE</t>
  </si>
  <si>
    <t>42100 - Ventes</t>
  </si>
  <si>
    <t>42200 - Revenus - intercos</t>
  </si>
  <si>
    <t>Total - 42000 - SALES REVENUE</t>
  </si>
  <si>
    <t>43000 - UNEARNED REVENUE</t>
  </si>
  <si>
    <t>43100 - Variation TEC/RR</t>
  </si>
  <si>
    <t>Total - 43000 - UNEARNED REVENUE</t>
  </si>
  <si>
    <t>Total - 40000 - SALES</t>
  </si>
  <si>
    <t>Total - Income</t>
  </si>
  <si>
    <t>Cost Of Sales</t>
  </si>
  <si>
    <t>50000 - COST OF SALES</t>
  </si>
  <si>
    <t>51000 - SALARIES AND SOCIAL CHARGES</t>
  </si>
  <si>
    <t>51100 - Salaire COGS</t>
  </si>
  <si>
    <t>51200 - Charges sociales COGS</t>
  </si>
  <si>
    <t>51300 - Boni COGS</t>
  </si>
  <si>
    <t>51400 - Régime de pension (RPDB)/401k COGS</t>
  </si>
  <si>
    <t>51500 - Assurance collective COGS</t>
  </si>
  <si>
    <t>Total - 51000 - SALARIES AND SOCIAL CHARGES</t>
  </si>
  <si>
    <t>53000 - PRODUCTION EXPENSES</t>
  </si>
  <si>
    <t>53100 - Repas Projets</t>
  </si>
  <si>
    <t>53150 - Frais de voyage et déplacement Projets</t>
  </si>
  <si>
    <t>53200 - Dépenses Projets</t>
  </si>
  <si>
    <t>Total - 53000 - PRODUCTION EXPENSES</t>
  </si>
  <si>
    <t>Total - 50000 - COST OF SALES</t>
  </si>
  <si>
    <t>Total - Cost Of Sales</t>
  </si>
  <si>
    <t>Gross Profit</t>
  </si>
  <si>
    <t>Expense</t>
  </si>
  <si>
    <t>60000 - ADMINISTRATIVE SALARIES AND SOCIAL CHARGES</t>
  </si>
  <si>
    <t>60100 - Salaires</t>
  </si>
  <si>
    <t>60150 - Charges sociales</t>
  </si>
  <si>
    <t>60250 - Régime de pension (RPDB)/ 401k</t>
  </si>
  <si>
    <t>60300 - Assurance collective</t>
  </si>
  <si>
    <t>Total - 60000 - ADMINISTRATIVE SALARIES AND SOCIAL CHARGES</t>
  </si>
  <si>
    <t>61000 - SELLING AND ADMINISTRATIVE EXPENSES</t>
  </si>
  <si>
    <t>62000 - PROFESSIONNAL FEES</t>
  </si>
  <si>
    <t>62100 - Honoraires professionnels</t>
  </si>
  <si>
    <t>62200 - Frais légaux</t>
  </si>
  <si>
    <t>62300 - Consultant</t>
  </si>
  <si>
    <t>Total - 62000 - PROFESSIONNAL FEES</t>
  </si>
  <si>
    <t>63000 - TRAVEL EXPENSES</t>
  </si>
  <si>
    <t>63010 - Frais de voyage et déplacement</t>
  </si>
  <si>
    <t>Total - 63000 - TRAVEL EXPENSES</t>
  </si>
  <si>
    <t>64000 - MEALS</t>
  </si>
  <si>
    <t>64010 - Repas</t>
  </si>
  <si>
    <t>Total - 64000 - MEALS</t>
  </si>
  <si>
    <t>65000 - INSURANCE</t>
  </si>
  <si>
    <t>65100 - Assurance commercial multirisques</t>
  </si>
  <si>
    <t>Total - 65000 - INSURANCE</t>
  </si>
  <si>
    <t>68000 - FACILITY EXPENSES</t>
  </si>
  <si>
    <t>68010 - Loyer</t>
  </si>
  <si>
    <t>68030 - Chauffage et Électricité</t>
  </si>
  <si>
    <t>68050 - Téléphone</t>
  </si>
  <si>
    <t>68090 - Réparation &amp; Entretien local</t>
  </si>
  <si>
    <t>68110 - Frais de bureau</t>
  </si>
  <si>
    <t>68120 - Sécurité</t>
  </si>
  <si>
    <t>68130 - Taxes &amp; permis</t>
  </si>
  <si>
    <t>68150 - Frais de livraison</t>
  </si>
  <si>
    <t>68170 - Épicerie</t>
  </si>
  <si>
    <t>Total - 68000 - FACILITY EXPENSES</t>
  </si>
  <si>
    <t>69000 - MARKETING AND COMMUNICATIONS EXPENSES</t>
  </si>
  <si>
    <t>69150 - Events &amp; Awards</t>
  </si>
  <si>
    <t>69170 - Événements corporatifs</t>
  </si>
  <si>
    <t>69212 - Cadeaux employés</t>
  </si>
  <si>
    <t>Total - 69000 - MARKETING AND COMMUNICATIONS EXPENSES</t>
  </si>
  <si>
    <t>70000 - HUMAN RESOURCE EXPENSES</t>
  </si>
  <si>
    <t>70070 - CSST/ Worker compensation</t>
  </si>
  <si>
    <t>70090 - Frais de paie</t>
  </si>
  <si>
    <t>Total - 70000 - HUMAN RESOURCE EXPENSES</t>
  </si>
  <si>
    <t>71000 - TECHNOLOGY EXPENSES</t>
  </si>
  <si>
    <t>71010 - Internet</t>
  </si>
  <si>
    <t>71031 - Frais de maintenance - Hardware</t>
  </si>
  <si>
    <t>71050 - Subscription</t>
  </si>
  <si>
    <t>71110 - Fourniture IT</t>
  </si>
  <si>
    <t>Total - 71000 - TECHNOLOGY EXPENSES</t>
  </si>
  <si>
    <t>Total - 61000 - SELLING AND ADMINISTRATIVE EXPENSES</t>
  </si>
  <si>
    <t>Total - Expense</t>
  </si>
  <si>
    <t>Net Ordinary Income</t>
  </si>
  <si>
    <t>Other Income and Expenses</t>
  </si>
  <si>
    <t>Other Expense</t>
  </si>
  <si>
    <t>80000 - OTHER EXPENSES</t>
  </si>
  <si>
    <t>82000 - AMORTIZATION</t>
  </si>
  <si>
    <t>82100 - Amortissement immob. Corporelles</t>
  </si>
  <si>
    <t>82150 - Amortissement immob. Incorporelles</t>
  </si>
  <si>
    <t>Total - 82000 - AMORTIZATION</t>
  </si>
  <si>
    <t>83000 - FINANCIAL EXPENSES</t>
  </si>
  <si>
    <t>83100 - Frais bancaires</t>
  </si>
  <si>
    <t>Total - 83000 - FINANCIAL EXPENSES</t>
  </si>
  <si>
    <t>85000 - FOREIGN EXCHANGE (GAINS) LOSSES</t>
  </si>
  <si>
    <t>85550 - Rounding Gain/Loss</t>
  </si>
  <si>
    <t>Total - 85000 - FOREIGN EXCHANGE (GAINS) LOSSES</t>
  </si>
  <si>
    <t>90000 - INCOME TAX EXPENSE</t>
  </si>
  <si>
    <t>90100 - Impôts U.S.</t>
  </si>
  <si>
    <t>Total - 90000 - INCOME TAX EXPENSE</t>
  </si>
  <si>
    <t>Total - 80000 - OTHER EXPENSES</t>
  </si>
  <si>
    <t>85500 - Échange devises réalisé</t>
  </si>
  <si>
    <t>Total - Other Expense</t>
  </si>
  <si>
    <t>Net Other Income</t>
  </si>
  <si>
    <t>Client A</t>
  </si>
  <si>
    <t>10011 - Petite caisse - Client A Corp.</t>
  </si>
  <si>
    <t>10310 - Compte courant CNB - 127881391 - Client A Corp (USD)</t>
  </si>
  <si>
    <t>Client A Imagination Inc. : Groupe Client A Inc : Client A Inc. : Client A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</si>
</sst>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3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Alignment="1">
      <alignment horizontal="left" vertical="center"/>
    </xf>
    <xf numFmtId="164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indent="1"/>
    </xf>
    <xf numFmtId="0" fontId="21" fillId="0" borderId="0" xfId="0" applyFont="1" applyAlignment="1">
      <alignment horizontal="left" indent="2"/>
    </xf>
    <xf numFmtId="0" fontId="21" fillId="0" borderId="0" xfId="0" applyFont="1" applyAlignment="1">
      <alignment horizontal="left" indent="3"/>
    </xf>
    <xf numFmtId="0" fontId="22" fillId="0" borderId="0" xfId="0" applyFont="1" applyAlignment="1">
      <alignment horizontal="left" indent="4"/>
    </xf>
    <xf numFmtId="164" fontId="22" fillId="0" borderId="0" xfId="0" applyNumberFormat="1" applyFont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164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2"/>
    </xf>
    <xf numFmtId="0" fontId="21" fillId="0" borderId="11" xfId="0" applyFont="1" applyBorder="1" applyAlignment="1">
      <alignment horizontal="left" indent="1"/>
    </xf>
    <xf numFmtId="164" fontId="21" fillId="0" borderId="11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 indent="3"/>
    </xf>
    <xf numFmtId="0" fontId="21" fillId="0" borderId="10" xfId="0" applyFont="1" applyBorder="1" applyAlignment="1">
      <alignment horizontal="left" indent="1"/>
    </xf>
    <xf numFmtId="0" fontId="21" fillId="0" borderId="11" xfId="0" applyFont="1" applyBorder="1" applyAlignment="1">
      <alignment horizontal="left" vertical="center"/>
    </xf>
    <xf numFmtId="0" fontId="22" fillId="0" borderId="0" xfId="0" applyFont="1" applyAlignment="1">
      <alignment horizontal="left" indent="2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 customBuiltin="1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1D2C-FBBA-4263-ADA7-FA800671E020}">
  <dimension ref="A1:B91"/>
  <sheetViews>
    <sheetView tabSelected="1" workbookViewId="0">
      <selection activeCell="G7" sqref="G7"/>
    </sheetView>
  </sheetViews>
  <sheetFormatPr baseColWidth="10" defaultColWidth="9.140625" defaultRowHeight="10.199999999999999" x14ac:dyDescent="0.2"/>
  <cols>
    <col min="1" max="1" width="46.28515625" customWidth="1"/>
    <col min="2" max="2" width="63.28515625" customWidth="1"/>
  </cols>
  <sheetData>
    <row r="1" spans="1:2" ht="15.6" x14ac:dyDescent="0.3">
      <c r="A1" s="19" t="s">
        <v>188</v>
      </c>
      <c r="B1" s="19"/>
    </row>
    <row r="2" spans="1:2" ht="15.6" x14ac:dyDescent="0.3">
      <c r="A2" s="19" t="s">
        <v>191</v>
      </c>
      <c r="B2" s="19"/>
    </row>
    <row r="3" spans="1:2" ht="17.399999999999999" x14ac:dyDescent="0.3">
      <c r="A3" s="20" t="s">
        <v>0</v>
      </c>
      <c r="B3" s="20"/>
    </row>
    <row r="4" spans="1:2" ht="17.399999999999999" x14ac:dyDescent="0.3">
      <c r="A4" s="20" t="s">
        <v>1</v>
      </c>
      <c r="B4" s="20"/>
    </row>
    <row r="5" spans="1:2" ht="17.399999999999999" x14ac:dyDescent="0.3">
      <c r="A5" s="20" t="s">
        <v>2</v>
      </c>
      <c r="B5" s="20"/>
    </row>
    <row r="6" spans="1:2" ht="17.399999999999999" x14ac:dyDescent="0.3">
      <c r="A6" s="20" t="s">
        <v>2</v>
      </c>
      <c r="B6" s="20"/>
    </row>
    <row r="7" spans="1:2" x14ac:dyDescent="0.2">
      <c r="A7" s="1" t="s">
        <v>3</v>
      </c>
      <c r="B7" s="2" t="s">
        <v>4</v>
      </c>
    </row>
    <row r="8" spans="1:2" x14ac:dyDescent="0.2">
      <c r="A8" s="3" t="s">
        <v>5</v>
      </c>
      <c r="B8" s="4"/>
    </row>
    <row r="9" spans="1:2" x14ac:dyDescent="0.2">
      <c r="A9" s="5" t="s">
        <v>6</v>
      </c>
      <c r="B9" s="4"/>
    </row>
    <row r="10" spans="1:2" x14ac:dyDescent="0.2">
      <c r="A10" s="6" t="s">
        <v>7</v>
      </c>
      <c r="B10" s="4"/>
    </row>
    <row r="11" spans="1:2" x14ac:dyDescent="0.2">
      <c r="A11" s="7" t="s">
        <v>8</v>
      </c>
      <c r="B11" s="4"/>
    </row>
    <row r="12" spans="1:2" x14ac:dyDescent="0.2">
      <c r="A12" s="8" t="s">
        <v>189</v>
      </c>
      <c r="B12" s="9">
        <v>100</v>
      </c>
    </row>
    <row r="13" spans="1:2" x14ac:dyDescent="0.2">
      <c r="A13" s="8" t="s">
        <v>190</v>
      </c>
      <c r="B13" s="9">
        <v>255258.59</v>
      </c>
    </row>
    <row r="14" spans="1:2" x14ac:dyDescent="0.2">
      <c r="A14" s="10" t="s">
        <v>9</v>
      </c>
      <c r="B14" s="11">
        <f>SUM(B12:B13)</f>
        <v>255358.59</v>
      </c>
    </row>
    <row r="15" spans="1:2" x14ac:dyDescent="0.2">
      <c r="A15" s="12" t="s">
        <v>10</v>
      </c>
      <c r="B15" s="11">
        <f>SUM(B14)</f>
        <v>255358.59</v>
      </c>
    </row>
    <row r="16" spans="1:2" x14ac:dyDescent="0.2">
      <c r="A16" s="6" t="s">
        <v>11</v>
      </c>
      <c r="B16" s="4"/>
    </row>
    <row r="17" spans="1:2" x14ac:dyDescent="0.2">
      <c r="A17" s="7" t="s">
        <v>12</v>
      </c>
      <c r="B17" s="4"/>
    </row>
    <row r="18" spans="1:2" x14ac:dyDescent="0.2">
      <c r="A18" s="8" t="s">
        <v>13</v>
      </c>
      <c r="B18" s="9">
        <v>45600</v>
      </c>
    </row>
    <row r="19" spans="1:2" x14ac:dyDescent="0.2">
      <c r="A19" s="8" t="s">
        <v>14</v>
      </c>
      <c r="B19" s="9">
        <v>583371.18999999994</v>
      </c>
    </row>
    <row r="20" spans="1:2" x14ac:dyDescent="0.2">
      <c r="A20" s="10" t="s">
        <v>15</v>
      </c>
      <c r="B20" s="11">
        <f>SUM(B18:B19)</f>
        <v>628971.18999999994</v>
      </c>
    </row>
    <row r="21" spans="1:2" x14ac:dyDescent="0.2">
      <c r="A21" s="12" t="s">
        <v>16</v>
      </c>
      <c r="B21" s="11">
        <f>SUM(B20)</f>
        <v>628971.18999999994</v>
      </c>
    </row>
    <row r="22" spans="1:2" x14ac:dyDescent="0.2">
      <c r="A22" s="6" t="s">
        <v>17</v>
      </c>
      <c r="B22" s="4"/>
    </row>
    <row r="23" spans="1:2" x14ac:dyDescent="0.2">
      <c r="A23" s="7" t="s">
        <v>18</v>
      </c>
      <c r="B23" s="4"/>
    </row>
    <row r="24" spans="1:2" x14ac:dyDescent="0.2">
      <c r="A24" s="8" t="s">
        <v>19</v>
      </c>
      <c r="B24" s="9">
        <v>32300</v>
      </c>
    </row>
    <row r="25" spans="1:2" x14ac:dyDescent="0.2">
      <c r="A25" s="8" t="s">
        <v>20</v>
      </c>
      <c r="B25" s="9">
        <v>40876.07</v>
      </c>
    </row>
    <row r="26" spans="1:2" x14ac:dyDescent="0.2">
      <c r="A26" s="10" t="s">
        <v>21</v>
      </c>
      <c r="B26" s="11">
        <f>SUM(B24:B25)</f>
        <v>73176.070000000007</v>
      </c>
    </row>
    <row r="27" spans="1:2" x14ac:dyDescent="0.2">
      <c r="A27" s="12" t="s">
        <v>22</v>
      </c>
      <c r="B27" s="11">
        <f>SUM(B26)</f>
        <v>73176.070000000007</v>
      </c>
    </row>
    <row r="28" spans="1:2" x14ac:dyDescent="0.2">
      <c r="A28" s="13" t="s">
        <v>23</v>
      </c>
      <c r="B28" s="14">
        <f>B15+B21+0+B27</f>
        <v>957505.84999999986</v>
      </c>
    </row>
    <row r="29" spans="1:2" x14ac:dyDescent="0.2">
      <c r="A29" s="5" t="s">
        <v>24</v>
      </c>
      <c r="B29" s="4"/>
    </row>
    <row r="30" spans="1:2" x14ac:dyDescent="0.2">
      <c r="A30" s="6" t="s">
        <v>25</v>
      </c>
      <c r="B30" s="4"/>
    </row>
    <row r="31" spans="1:2" x14ac:dyDescent="0.2">
      <c r="A31" s="15" t="s">
        <v>26</v>
      </c>
      <c r="B31" s="9">
        <v>73866.66</v>
      </c>
    </row>
    <row r="32" spans="1:2" x14ac:dyDescent="0.2">
      <c r="A32" s="15" t="s">
        <v>27</v>
      </c>
      <c r="B32" s="9">
        <v>-31738.43</v>
      </c>
    </row>
    <row r="33" spans="1:2" x14ac:dyDescent="0.2">
      <c r="A33" s="15" t="s">
        <v>28</v>
      </c>
      <c r="B33" s="9">
        <v>350047.48</v>
      </c>
    </row>
    <row r="34" spans="1:2" x14ac:dyDescent="0.2">
      <c r="A34" s="15" t="s">
        <v>29</v>
      </c>
      <c r="B34" s="9">
        <v>-255419</v>
      </c>
    </row>
    <row r="35" spans="1:2" x14ac:dyDescent="0.2">
      <c r="A35" s="15" t="s">
        <v>30</v>
      </c>
      <c r="B35" s="9">
        <v>5395.31</v>
      </c>
    </row>
    <row r="36" spans="1:2" x14ac:dyDescent="0.2">
      <c r="A36" s="15" t="s">
        <v>31</v>
      </c>
      <c r="B36" s="9">
        <v>-4598.0200000000004</v>
      </c>
    </row>
    <row r="37" spans="1:2" x14ac:dyDescent="0.2">
      <c r="A37" s="15" t="s">
        <v>32</v>
      </c>
      <c r="B37" s="9">
        <v>1311.63</v>
      </c>
    </row>
    <row r="38" spans="1:2" x14ac:dyDescent="0.2">
      <c r="A38" s="15" t="s">
        <v>33</v>
      </c>
      <c r="B38" s="9">
        <v>-1253.79</v>
      </c>
    </row>
    <row r="39" spans="1:2" x14ac:dyDescent="0.2">
      <c r="A39" s="15" t="s">
        <v>34</v>
      </c>
      <c r="B39" s="9">
        <v>7059.22</v>
      </c>
    </row>
    <row r="40" spans="1:2" x14ac:dyDescent="0.2">
      <c r="A40" s="15" t="s">
        <v>35</v>
      </c>
      <c r="B40" s="9">
        <v>-4119.07</v>
      </c>
    </row>
    <row r="41" spans="1:2" x14ac:dyDescent="0.2">
      <c r="A41" s="15" t="s">
        <v>36</v>
      </c>
      <c r="B41" s="9">
        <v>97513.77</v>
      </c>
    </row>
    <row r="42" spans="1:2" x14ac:dyDescent="0.2">
      <c r="A42" s="15" t="s">
        <v>37</v>
      </c>
      <c r="B42" s="9">
        <v>-59227.6</v>
      </c>
    </row>
    <row r="43" spans="1:2" x14ac:dyDescent="0.2">
      <c r="A43" s="12" t="s">
        <v>38</v>
      </c>
      <c r="B43" s="11">
        <f>SUM(B31:B42)</f>
        <v>178838.15999999995</v>
      </c>
    </row>
    <row r="44" spans="1:2" x14ac:dyDescent="0.2">
      <c r="A44" s="6" t="s">
        <v>39</v>
      </c>
      <c r="B44" s="4"/>
    </row>
    <row r="45" spans="1:2" x14ac:dyDescent="0.2">
      <c r="A45" s="15" t="s">
        <v>40</v>
      </c>
      <c r="B45" s="9">
        <v>40088.620000000003</v>
      </c>
    </row>
    <row r="46" spans="1:2" x14ac:dyDescent="0.2">
      <c r="A46" s="15" t="s">
        <v>41</v>
      </c>
      <c r="B46" s="9">
        <v>-38743.68</v>
      </c>
    </row>
    <row r="47" spans="1:2" x14ac:dyDescent="0.2">
      <c r="A47" s="12" t="s">
        <v>42</v>
      </c>
      <c r="B47" s="11">
        <f>SUM(B45:B46)</f>
        <v>1344.9400000000023</v>
      </c>
    </row>
    <row r="48" spans="1:2" x14ac:dyDescent="0.2">
      <c r="A48" s="16" t="s">
        <v>43</v>
      </c>
      <c r="B48" s="11">
        <f>SUM(B43,B47)</f>
        <v>180183.09999999995</v>
      </c>
    </row>
    <row r="49" spans="1:2" x14ac:dyDescent="0.2">
      <c r="A49" s="17" t="s">
        <v>44</v>
      </c>
      <c r="B49" s="14">
        <f>B28+B48+0</f>
        <v>1137688.9499999997</v>
      </c>
    </row>
    <row r="50" spans="1:2" x14ac:dyDescent="0.2">
      <c r="A50" s="3" t="s">
        <v>45</v>
      </c>
      <c r="B50" s="4"/>
    </row>
    <row r="51" spans="1:2" x14ac:dyDescent="0.2">
      <c r="A51" s="5" t="s">
        <v>46</v>
      </c>
      <c r="B51" s="4"/>
    </row>
    <row r="52" spans="1:2" x14ac:dyDescent="0.2">
      <c r="A52" s="6" t="s">
        <v>47</v>
      </c>
      <c r="B52" s="4"/>
    </row>
    <row r="53" spans="1:2" x14ac:dyDescent="0.2">
      <c r="A53" s="7" t="s">
        <v>48</v>
      </c>
      <c r="B53" s="4"/>
    </row>
    <row r="54" spans="1:2" x14ac:dyDescent="0.2">
      <c r="A54" s="8" t="s">
        <v>49</v>
      </c>
      <c r="B54" s="9">
        <v>4069.66</v>
      </c>
    </row>
    <row r="55" spans="1:2" x14ac:dyDescent="0.2">
      <c r="A55" s="8" t="s">
        <v>50</v>
      </c>
      <c r="B55" s="9">
        <v>5768.2</v>
      </c>
    </row>
    <row r="56" spans="1:2" x14ac:dyDescent="0.2">
      <c r="A56" s="10" t="s">
        <v>51</v>
      </c>
      <c r="B56" s="11">
        <f>SUM(B54:B55)</f>
        <v>9837.86</v>
      </c>
    </row>
    <row r="57" spans="1:2" x14ac:dyDescent="0.2">
      <c r="A57" s="12" t="s">
        <v>52</v>
      </c>
      <c r="B57" s="11">
        <f>SUM(B56)</f>
        <v>9837.86</v>
      </c>
    </row>
    <row r="58" spans="1:2" x14ac:dyDescent="0.2">
      <c r="A58" s="6" t="s">
        <v>53</v>
      </c>
      <c r="B58" s="4"/>
    </row>
    <row r="59" spans="1:2" x14ac:dyDescent="0.2">
      <c r="A59" s="7" t="s">
        <v>54</v>
      </c>
      <c r="B59" s="4"/>
    </row>
    <row r="60" spans="1:2" x14ac:dyDescent="0.2">
      <c r="A60" s="8" t="s">
        <v>55</v>
      </c>
      <c r="B60" s="9">
        <v>5883</v>
      </c>
    </row>
    <row r="61" spans="1:2" x14ac:dyDescent="0.2">
      <c r="A61" s="10" t="s">
        <v>56</v>
      </c>
      <c r="B61" s="11">
        <f>SUM(B60)</f>
        <v>5883</v>
      </c>
    </row>
    <row r="62" spans="1:2" x14ac:dyDescent="0.2">
      <c r="A62" s="7" t="s">
        <v>57</v>
      </c>
      <c r="B62" s="4"/>
    </row>
    <row r="63" spans="1:2" x14ac:dyDescent="0.2">
      <c r="A63" s="8" t="s">
        <v>58</v>
      </c>
      <c r="B63" s="9">
        <v>2455.56</v>
      </c>
    </row>
    <row r="64" spans="1:2" x14ac:dyDescent="0.2">
      <c r="A64" s="10" t="s">
        <v>59</v>
      </c>
      <c r="B64" s="11">
        <f>SUM(B63)</f>
        <v>2455.56</v>
      </c>
    </row>
    <row r="65" spans="1:2" x14ac:dyDescent="0.2">
      <c r="A65" s="7" t="s">
        <v>60</v>
      </c>
      <c r="B65" s="4"/>
    </row>
    <row r="66" spans="1:2" x14ac:dyDescent="0.2">
      <c r="A66" s="8" t="s">
        <v>61</v>
      </c>
      <c r="B66" s="9">
        <v>2925.31</v>
      </c>
    </row>
    <row r="67" spans="1:2" x14ac:dyDescent="0.2">
      <c r="A67" s="8" t="s">
        <v>62</v>
      </c>
      <c r="B67" s="9">
        <v>-209.73</v>
      </c>
    </row>
    <row r="68" spans="1:2" x14ac:dyDescent="0.2">
      <c r="A68" s="8" t="s">
        <v>63</v>
      </c>
      <c r="B68" s="9">
        <v>112500</v>
      </c>
    </row>
    <row r="69" spans="1:2" x14ac:dyDescent="0.2">
      <c r="A69" s="8" t="s">
        <v>64</v>
      </c>
      <c r="B69" s="9">
        <v>8142.93</v>
      </c>
    </row>
    <row r="70" spans="1:2" x14ac:dyDescent="0.2">
      <c r="A70" s="8" t="s">
        <v>65</v>
      </c>
      <c r="B70" s="9">
        <v>96666.05</v>
      </c>
    </row>
    <row r="71" spans="1:2" x14ac:dyDescent="0.2">
      <c r="A71" s="10" t="s">
        <v>66</v>
      </c>
      <c r="B71" s="11">
        <f>SUM(B66:B70)</f>
        <v>220024.56</v>
      </c>
    </row>
    <row r="72" spans="1:2" x14ac:dyDescent="0.2">
      <c r="A72" s="7" t="s">
        <v>67</v>
      </c>
      <c r="B72" s="4"/>
    </row>
    <row r="73" spans="1:2" x14ac:dyDescent="0.2">
      <c r="A73" s="8" t="s">
        <v>68</v>
      </c>
      <c r="B73" s="9">
        <v>-57831.71</v>
      </c>
    </row>
    <row r="74" spans="1:2" x14ac:dyDescent="0.2">
      <c r="A74" s="8" t="s">
        <v>69</v>
      </c>
      <c r="B74" s="9">
        <v>-94.46</v>
      </c>
    </row>
    <row r="75" spans="1:2" x14ac:dyDescent="0.2">
      <c r="A75" s="8" t="s">
        <v>70</v>
      </c>
      <c r="B75" s="9">
        <v>-40040.78</v>
      </c>
    </row>
    <row r="76" spans="1:2" x14ac:dyDescent="0.2">
      <c r="A76" s="10" t="s">
        <v>71</v>
      </c>
      <c r="B76" s="11">
        <f>SUM(B73:B75)</f>
        <v>-97966.95</v>
      </c>
    </row>
    <row r="77" spans="1:2" x14ac:dyDescent="0.2">
      <c r="A77" s="12" t="s">
        <v>72</v>
      </c>
      <c r="B77" s="11">
        <f>SUM(B61,B64,B71,B76)</f>
        <v>130396.17</v>
      </c>
    </row>
    <row r="78" spans="1:2" x14ac:dyDescent="0.2">
      <c r="A78" s="5" t="s">
        <v>73</v>
      </c>
      <c r="B78" s="4">
        <f>B57+0+B77</f>
        <v>140234.03</v>
      </c>
    </row>
    <row r="79" spans="1:2" x14ac:dyDescent="0.2">
      <c r="A79" s="5" t="s">
        <v>74</v>
      </c>
      <c r="B79" s="4"/>
    </row>
    <row r="80" spans="1:2" hidden="1" x14ac:dyDescent="0.2">
      <c r="A80" s="5" t="s">
        <v>74</v>
      </c>
      <c r="B80" s="4"/>
    </row>
    <row r="81" spans="1:2" x14ac:dyDescent="0.2">
      <c r="A81" s="6" t="s">
        <v>75</v>
      </c>
      <c r="B81" s="4"/>
    </row>
    <row r="82" spans="1:2" x14ac:dyDescent="0.2">
      <c r="A82" s="15" t="s">
        <v>76</v>
      </c>
      <c r="B82" s="9">
        <v>100</v>
      </c>
    </row>
    <row r="83" spans="1:2" x14ac:dyDescent="0.2">
      <c r="A83" s="12" t="s">
        <v>77</v>
      </c>
      <c r="B83" s="11">
        <f>SUM(B82)</f>
        <v>100</v>
      </c>
    </row>
    <row r="84" spans="1:2" x14ac:dyDescent="0.2">
      <c r="A84" s="6" t="s">
        <v>78</v>
      </c>
      <c r="B84" s="4"/>
    </row>
    <row r="85" spans="1:2" x14ac:dyDescent="0.2">
      <c r="A85" s="15" t="s">
        <v>79</v>
      </c>
      <c r="B85" s="9">
        <v>310387.45</v>
      </c>
    </row>
    <row r="86" spans="1:2" x14ac:dyDescent="0.2">
      <c r="A86" s="12" t="s">
        <v>80</v>
      </c>
      <c r="B86" s="11">
        <f>SUM(B85)</f>
        <v>310387.45</v>
      </c>
    </row>
    <row r="87" spans="1:2" hidden="1" x14ac:dyDescent="0.2">
      <c r="A87" s="16" t="s">
        <v>81</v>
      </c>
      <c r="B87" s="11">
        <f>SUM(B83,B86)</f>
        <v>310487.45</v>
      </c>
    </row>
    <row r="88" spans="1:2" x14ac:dyDescent="0.2">
      <c r="A88" s="18" t="s">
        <v>82</v>
      </c>
      <c r="B88" s="9">
        <v>572192.76999999862</v>
      </c>
    </row>
    <row r="89" spans="1:2" x14ac:dyDescent="0.2">
      <c r="A89" s="18" t="s">
        <v>83</v>
      </c>
      <c r="B89" s="9">
        <v>114774.70000000033</v>
      </c>
    </row>
    <row r="90" spans="1:2" x14ac:dyDescent="0.2">
      <c r="A90" s="13" t="s">
        <v>84</v>
      </c>
      <c r="B90" s="14">
        <f>B87+B88+B89+0</f>
        <v>997454.91999999888</v>
      </c>
    </row>
    <row r="91" spans="1:2" x14ac:dyDescent="0.2">
      <c r="A91" s="17" t="s">
        <v>85</v>
      </c>
      <c r="B91" s="14">
        <f>B78+0+B90</f>
        <v>1137688.9499999988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4C38-09F2-4E80-B7AC-F7014BC086F0}">
  <dimension ref="A1:B108"/>
  <sheetViews>
    <sheetView topLeftCell="A29" workbookViewId="0">
      <selection activeCell="E6" sqref="E6"/>
    </sheetView>
  </sheetViews>
  <sheetFormatPr baseColWidth="10" defaultColWidth="9.140625" defaultRowHeight="10.199999999999999" x14ac:dyDescent="0.2"/>
  <cols>
    <col min="1" max="1" width="59.85546875" customWidth="1"/>
    <col min="2" max="2" width="46.28515625" customWidth="1"/>
  </cols>
  <sheetData>
    <row r="1" spans="1:2" ht="15.6" x14ac:dyDescent="0.3">
      <c r="A1" s="19" t="s">
        <v>188</v>
      </c>
      <c r="B1" s="19"/>
    </row>
    <row r="2" spans="1:2" ht="15.6" x14ac:dyDescent="0.3">
      <c r="A2" s="19" t="s">
        <v>191</v>
      </c>
      <c r="B2" s="19"/>
    </row>
    <row r="3" spans="1:2" ht="17.399999999999999" x14ac:dyDescent="0.3">
      <c r="A3" s="20" t="s">
        <v>86</v>
      </c>
      <c r="B3" s="20"/>
    </row>
    <row r="4" spans="1:2" ht="17.399999999999999" x14ac:dyDescent="0.3">
      <c r="A4" s="20" t="s">
        <v>87</v>
      </c>
      <c r="B4" s="20"/>
    </row>
    <row r="5" spans="1:2" ht="17.399999999999999" x14ac:dyDescent="0.3">
      <c r="A5" s="20" t="s">
        <v>2</v>
      </c>
      <c r="B5" s="20"/>
    </row>
    <row r="6" spans="1:2" ht="17.399999999999999" x14ac:dyDescent="0.3">
      <c r="A6" s="20" t="s">
        <v>2</v>
      </c>
      <c r="B6" s="20"/>
    </row>
    <row r="7" spans="1:2" x14ac:dyDescent="0.2">
      <c r="A7" s="1" t="s">
        <v>3</v>
      </c>
      <c r="B7" s="2" t="s">
        <v>4</v>
      </c>
    </row>
    <row r="8" spans="1:2" x14ac:dyDescent="0.2">
      <c r="A8" s="3" t="s">
        <v>88</v>
      </c>
      <c r="B8" s="4"/>
    </row>
    <row r="9" spans="1:2" x14ac:dyDescent="0.2">
      <c r="A9" s="5" t="s">
        <v>89</v>
      </c>
      <c r="B9" s="4"/>
    </row>
    <row r="10" spans="1:2" x14ac:dyDescent="0.2">
      <c r="A10" s="6" t="s">
        <v>90</v>
      </c>
      <c r="B10" s="4"/>
    </row>
    <row r="11" spans="1:2" x14ac:dyDescent="0.2">
      <c r="A11" s="7" t="s">
        <v>91</v>
      </c>
      <c r="B11" s="4"/>
    </row>
    <row r="12" spans="1:2" x14ac:dyDescent="0.2">
      <c r="A12" s="8" t="s">
        <v>92</v>
      </c>
      <c r="B12" s="9">
        <v>174900</v>
      </c>
    </row>
    <row r="13" spans="1:2" x14ac:dyDescent="0.2">
      <c r="A13" s="8" t="s">
        <v>93</v>
      </c>
      <c r="B13" s="9">
        <v>1822405.77</v>
      </c>
    </row>
    <row r="14" spans="1:2" x14ac:dyDescent="0.2">
      <c r="A14" s="10" t="s">
        <v>94</v>
      </c>
      <c r="B14" s="11">
        <f>SUM(B12:B13)</f>
        <v>1997305.77</v>
      </c>
    </row>
    <row r="15" spans="1:2" x14ac:dyDescent="0.2">
      <c r="A15" s="7" t="s">
        <v>95</v>
      </c>
      <c r="B15" s="4"/>
    </row>
    <row r="16" spans="1:2" x14ac:dyDescent="0.2">
      <c r="A16" s="8" t="s">
        <v>96</v>
      </c>
      <c r="B16" s="9">
        <v>-8500</v>
      </c>
    </row>
    <row r="17" spans="1:2" x14ac:dyDescent="0.2">
      <c r="A17" s="10" t="s">
        <v>97</v>
      </c>
      <c r="B17" s="11">
        <f>SUM(B16)</f>
        <v>-8500</v>
      </c>
    </row>
    <row r="18" spans="1:2" x14ac:dyDescent="0.2">
      <c r="A18" s="12" t="s">
        <v>98</v>
      </c>
      <c r="B18" s="11">
        <f>SUM(B14,B17)</f>
        <v>1988805.77</v>
      </c>
    </row>
    <row r="19" spans="1:2" x14ac:dyDescent="0.2">
      <c r="A19" s="16" t="s">
        <v>99</v>
      </c>
      <c r="B19" s="11">
        <f>SUM(B18)</f>
        <v>1988805.77</v>
      </c>
    </row>
    <row r="20" spans="1:2" x14ac:dyDescent="0.2">
      <c r="A20" s="5" t="s">
        <v>100</v>
      </c>
      <c r="B20" s="4"/>
    </row>
    <row r="21" spans="1:2" x14ac:dyDescent="0.2">
      <c r="A21" s="6" t="s">
        <v>101</v>
      </c>
      <c r="B21" s="4"/>
    </row>
    <row r="22" spans="1:2" x14ac:dyDescent="0.2">
      <c r="A22" s="7" t="s">
        <v>102</v>
      </c>
      <c r="B22" s="4"/>
    </row>
    <row r="23" spans="1:2" x14ac:dyDescent="0.2">
      <c r="A23" s="8" t="s">
        <v>103</v>
      </c>
      <c r="B23" s="9">
        <v>873915.07</v>
      </c>
    </row>
    <row r="24" spans="1:2" x14ac:dyDescent="0.2">
      <c r="A24" s="8" t="s">
        <v>104</v>
      </c>
      <c r="B24" s="9">
        <v>68377.08</v>
      </c>
    </row>
    <row r="25" spans="1:2" x14ac:dyDescent="0.2">
      <c r="A25" s="8" t="s">
        <v>105</v>
      </c>
      <c r="B25" s="9">
        <v>150000</v>
      </c>
    </row>
    <row r="26" spans="1:2" x14ac:dyDescent="0.2">
      <c r="A26" s="8" t="s">
        <v>106</v>
      </c>
      <c r="B26" s="9">
        <v>35333.269999999997</v>
      </c>
    </row>
    <row r="27" spans="1:2" x14ac:dyDescent="0.2">
      <c r="A27" s="8" t="s">
        <v>107</v>
      </c>
      <c r="B27" s="9">
        <v>43472.18</v>
      </c>
    </row>
    <row r="28" spans="1:2" x14ac:dyDescent="0.2">
      <c r="A28" s="10" t="s">
        <v>108</v>
      </c>
      <c r="B28" s="11">
        <f>SUM(B23:B27)</f>
        <v>1171097.5999999999</v>
      </c>
    </row>
    <row r="29" spans="1:2" x14ac:dyDescent="0.2">
      <c r="A29" s="7" t="s">
        <v>109</v>
      </c>
      <c r="B29" s="4"/>
    </row>
    <row r="30" spans="1:2" x14ac:dyDescent="0.2">
      <c r="A30" s="8" t="s">
        <v>110</v>
      </c>
      <c r="B30" s="9">
        <v>3623.72</v>
      </c>
    </row>
    <row r="31" spans="1:2" x14ac:dyDescent="0.2">
      <c r="A31" s="8" t="s">
        <v>111</v>
      </c>
      <c r="B31" s="9">
        <v>2855.06</v>
      </c>
    </row>
    <row r="32" spans="1:2" x14ac:dyDescent="0.2">
      <c r="A32" s="8" t="s">
        <v>112</v>
      </c>
      <c r="B32" s="9">
        <v>1617.41</v>
      </c>
    </row>
    <row r="33" spans="1:2" x14ac:dyDescent="0.2">
      <c r="A33" s="10" t="s">
        <v>113</v>
      </c>
      <c r="B33" s="11">
        <f>SUM(B30:B32)</f>
        <v>8096.19</v>
      </c>
    </row>
    <row r="34" spans="1:2" x14ac:dyDescent="0.2">
      <c r="A34" s="12" t="s">
        <v>114</v>
      </c>
      <c r="B34" s="11">
        <f>SUM(B28,B33)</f>
        <v>1179193.7899999998</v>
      </c>
    </row>
    <row r="35" spans="1:2" x14ac:dyDescent="0.2">
      <c r="A35" s="16" t="s">
        <v>115</v>
      </c>
      <c r="B35" s="11">
        <f>SUM(B34)</f>
        <v>1179193.7899999998</v>
      </c>
    </row>
    <row r="36" spans="1:2" x14ac:dyDescent="0.2">
      <c r="A36" s="13" t="s">
        <v>116</v>
      </c>
      <c r="B36" s="14">
        <f>B19-B35</f>
        <v>809611.98000000021</v>
      </c>
    </row>
    <row r="37" spans="1:2" x14ac:dyDescent="0.2">
      <c r="A37" s="5" t="s">
        <v>117</v>
      </c>
      <c r="B37" s="4"/>
    </row>
    <row r="38" spans="1:2" x14ac:dyDescent="0.2">
      <c r="A38" s="6" t="s">
        <v>118</v>
      </c>
      <c r="B38" s="4"/>
    </row>
    <row r="39" spans="1:2" x14ac:dyDescent="0.2">
      <c r="A39" s="15" t="s">
        <v>119</v>
      </c>
      <c r="B39" s="9">
        <v>73910.179999999993</v>
      </c>
    </row>
    <row r="40" spans="1:2" x14ac:dyDescent="0.2">
      <c r="A40" s="15" t="s">
        <v>120</v>
      </c>
      <c r="B40" s="9">
        <v>6279.64</v>
      </c>
    </row>
    <row r="41" spans="1:2" x14ac:dyDescent="0.2">
      <c r="A41" s="15" t="s">
        <v>121</v>
      </c>
      <c r="B41" s="9">
        <v>4430.92</v>
      </c>
    </row>
    <row r="42" spans="1:2" x14ac:dyDescent="0.2">
      <c r="A42" s="15" t="s">
        <v>122</v>
      </c>
      <c r="B42" s="9">
        <v>7334.89</v>
      </c>
    </row>
    <row r="43" spans="1:2" x14ac:dyDescent="0.2">
      <c r="A43" s="12" t="s">
        <v>123</v>
      </c>
      <c r="B43" s="11">
        <f>SUM(B39:B42)</f>
        <v>91955.62999999999</v>
      </c>
    </row>
    <row r="44" spans="1:2" x14ac:dyDescent="0.2">
      <c r="A44" s="6" t="s">
        <v>124</v>
      </c>
      <c r="B44" s="4"/>
    </row>
    <row r="45" spans="1:2" x14ac:dyDescent="0.2">
      <c r="A45" s="7" t="s">
        <v>125</v>
      </c>
      <c r="B45" s="4"/>
    </row>
    <row r="46" spans="1:2" x14ac:dyDescent="0.2">
      <c r="A46" s="8" t="s">
        <v>126</v>
      </c>
      <c r="B46" s="9">
        <v>8367.2000000000007</v>
      </c>
    </row>
    <row r="47" spans="1:2" x14ac:dyDescent="0.2">
      <c r="A47" s="8" t="s">
        <v>127</v>
      </c>
      <c r="B47" s="9">
        <v>12478.16</v>
      </c>
    </row>
    <row r="48" spans="1:2" x14ac:dyDescent="0.2">
      <c r="A48" s="8" t="s">
        <v>128</v>
      </c>
      <c r="B48" s="9">
        <v>14000</v>
      </c>
    </row>
    <row r="49" spans="1:2" x14ac:dyDescent="0.2">
      <c r="A49" s="10" t="s">
        <v>129</v>
      </c>
      <c r="B49" s="11">
        <f>SUM(B46:B48)</f>
        <v>34845.360000000001</v>
      </c>
    </row>
    <row r="50" spans="1:2" x14ac:dyDescent="0.2">
      <c r="A50" s="7" t="s">
        <v>130</v>
      </c>
      <c r="B50" s="4"/>
    </row>
    <row r="51" spans="1:2" x14ac:dyDescent="0.2">
      <c r="A51" s="8" t="s">
        <v>131</v>
      </c>
      <c r="B51" s="9">
        <v>118.68</v>
      </c>
    </row>
    <row r="52" spans="1:2" x14ac:dyDescent="0.2">
      <c r="A52" s="10" t="s">
        <v>132</v>
      </c>
      <c r="B52" s="11">
        <f>SUM(B51)</f>
        <v>118.68</v>
      </c>
    </row>
    <row r="53" spans="1:2" x14ac:dyDescent="0.2">
      <c r="A53" s="7" t="s">
        <v>133</v>
      </c>
      <c r="B53" s="4"/>
    </row>
    <row r="54" spans="1:2" x14ac:dyDescent="0.2">
      <c r="A54" s="8" t="s">
        <v>134</v>
      </c>
      <c r="B54" s="9">
        <v>1626.92</v>
      </c>
    </row>
    <row r="55" spans="1:2" x14ac:dyDescent="0.2">
      <c r="A55" s="10" t="s">
        <v>135</v>
      </c>
      <c r="B55" s="11">
        <f>SUM(B54)</f>
        <v>1626.92</v>
      </c>
    </row>
    <row r="56" spans="1:2" x14ac:dyDescent="0.2">
      <c r="A56" s="7" t="s">
        <v>136</v>
      </c>
      <c r="B56" s="4"/>
    </row>
    <row r="57" spans="1:2" x14ac:dyDescent="0.2">
      <c r="A57" s="8" t="s">
        <v>137</v>
      </c>
      <c r="B57" s="9">
        <v>2009.84</v>
      </c>
    </row>
    <row r="58" spans="1:2" x14ac:dyDescent="0.2">
      <c r="A58" s="10" t="s">
        <v>138</v>
      </c>
      <c r="B58" s="11">
        <f>SUM(B57)</f>
        <v>2009.84</v>
      </c>
    </row>
    <row r="59" spans="1:2" x14ac:dyDescent="0.2">
      <c r="A59" s="7" t="s">
        <v>139</v>
      </c>
      <c r="B59" s="4"/>
    </row>
    <row r="60" spans="1:2" x14ac:dyDescent="0.2">
      <c r="A60" s="8" t="s">
        <v>140</v>
      </c>
      <c r="B60" s="9">
        <v>326034.23</v>
      </c>
    </row>
    <row r="61" spans="1:2" x14ac:dyDescent="0.2">
      <c r="A61" s="8" t="s">
        <v>141</v>
      </c>
      <c r="B61" s="9">
        <v>15431.04</v>
      </c>
    </row>
    <row r="62" spans="1:2" x14ac:dyDescent="0.2">
      <c r="A62" s="8" t="s">
        <v>142</v>
      </c>
      <c r="B62" s="9">
        <v>3752.1</v>
      </c>
    </row>
    <row r="63" spans="1:2" x14ac:dyDescent="0.2">
      <c r="A63" s="8" t="s">
        <v>143</v>
      </c>
      <c r="B63" s="9">
        <v>37060.019999999997</v>
      </c>
    </row>
    <row r="64" spans="1:2" x14ac:dyDescent="0.2">
      <c r="A64" s="8" t="s">
        <v>144</v>
      </c>
      <c r="B64" s="9">
        <v>14787.38</v>
      </c>
    </row>
    <row r="65" spans="1:2" x14ac:dyDescent="0.2">
      <c r="A65" s="8" t="s">
        <v>145</v>
      </c>
      <c r="B65" s="9">
        <v>2258.4499999999998</v>
      </c>
    </row>
    <row r="66" spans="1:2" x14ac:dyDescent="0.2">
      <c r="A66" s="8" t="s">
        <v>146</v>
      </c>
      <c r="B66" s="9">
        <v>9910.75</v>
      </c>
    </row>
    <row r="67" spans="1:2" x14ac:dyDescent="0.2">
      <c r="A67" s="8" t="s">
        <v>147</v>
      </c>
      <c r="B67" s="9">
        <v>5707.7</v>
      </c>
    </row>
    <row r="68" spans="1:2" x14ac:dyDescent="0.2">
      <c r="A68" s="8" t="s">
        <v>148</v>
      </c>
      <c r="B68" s="9">
        <v>1053.8599999999999</v>
      </c>
    </row>
    <row r="69" spans="1:2" x14ac:dyDescent="0.2">
      <c r="A69" s="10" t="s">
        <v>149</v>
      </c>
      <c r="B69" s="11">
        <f>SUM(B60:B68)</f>
        <v>415995.52999999997</v>
      </c>
    </row>
    <row r="70" spans="1:2" x14ac:dyDescent="0.2">
      <c r="A70" s="7" t="s">
        <v>150</v>
      </c>
      <c r="B70" s="4"/>
    </row>
    <row r="71" spans="1:2" x14ac:dyDescent="0.2">
      <c r="A71" s="8" t="s">
        <v>151</v>
      </c>
      <c r="B71" s="9">
        <v>255.12</v>
      </c>
    </row>
    <row r="72" spans="1:2" x14ac:dyDescent="0.2">
      <c r="A72" s="8" t="s">
        <v>152</v>
      </c>
      <c r="B72" s="9">
        <v>607.9</v>
      </c>
    </row>
    <row r="73" spans="1:2" x14ac:dyDescent="0.2">
      <c r="A73" s="8" t="s">
        <v>153</v>
      </c>
      <c r="B73" s="9">
        <v>143.93</v>
      </c>
    </row>
    <row r="74" spans="1:2" x14ac:dyDescent="0.2">
      <c r="A74" s="10" t="s">
        <v>154</v>
      </c>
      <c r="B74" s="11">
        <f>SUM(B71:B73)</f>
        <v>1006.95</v>
      </c>
    </row>
    <row r="75" spans="1:2" x14ac:dyDescent="0.2">
      <c r="A75" s="7" t="s">
        <v>155</v>
      </c>
      <c r="B75" s="4"/>
    </row>
    <row r="76" spans="1:2" x14ac:dyDescent="0.2">
      <c r="A76" s="8" t="s">
        <v>156</v>
      </c>
      <c r="B76" s="9">
        <v>2946.23</v>
      </c>
    </row>
    <row r="77" spans="1:2" x14ac:dyDescent="0.2">
      <c r="A77" s="8" t="s">
        <v>157</v>
      </c>
      <c r="B77" s="9">
        <v>9075.69</v>
      </c>
    </row>
    <row r="78" spans="1:2" x14ac:dyDescent="0.2">
      <c r="A78" s="10" t="s">
        <v>158</v>
      </c>
      <c r="B78" s="11">
        <f>SUM(B76:B77)</f>
        <v>12021.92</v>
      </c>
    </row>
    <row r="79" spans="1:2" x14ac:dyDescent="0.2">
      <c r="A79" s="7" t="s">
        <v>159</v>
      </c>
      <c r="B79" s="4"/>
    </row>
    <row r="80" spans="1:2" x14ac:dyDescent="0.2">
      <c r="A80" s="8" t="s">
        <v>160</v>
      </c>
      <c r="B80" s="9">
        <v>19287.39</v>
      </c>
    </row>
    <row r="81" spans="1:2" x14ac:dyDescent="0.2">
      <c r="A81" s="8" t="s">
        <v>161</v>
      </c>
      <c r="B81" s="9">
        <v>18700.599999999999</v>
      </c>
    </row>
    <row r="82" spans="1:2" x14ac:dyDescent="0.2">
      <c r="A82" s="8" t="s">
        <v>162</v>
      </c>
      <c r="B82" s="9">
        <v>94.98</v>
      </c>
    </row>
    <row r="83" spans="1:2" x14ac:dyDescent="0.2">
      <c r="A83" s="8" t="s">
        <v>163</v>
      </c>
      <c r="B83" s="9">
        <v>4858.57</v>
      </c>
    </row>
    <row r="84" spans="1:2" x14ac:dyDescent="0.2">
      <c r="A84" s="10" t="s">
        <v>164</v>
      </c>
      <c r="B84" s="11">
        <f>SUM(B80:B83)</f>
        <v>42941.54</v>
      </c>
    </row>
    <row r="85" spans="1:2" x14ac:dyDescent="0.2">
      <c r="A85" s="12" t="s">
        <v>165</v>
      </c>
      <c r="B85" s="11">
        <f>SUM(B49,B52,B55,B58,B69,B74,B78,B84)</f>
        <v>510566.73999999993</v>
      </c>
    </row>
    <row r="86" spans="1:2" x14ac:dyDescent="0.2">
      <c r="A86" s="16" t="s">
        <v>166</v>
      </c>
      <c r="B86" s="11">
        <f>SUM(B43,B85)</f>
        <v>602522.36999999988</v>
      </c>
    </row>
    <row r="87" spans="1:2" x14ac:dyDescent="0.2">
      <c r="A87" s="17" t="s">
        <v>167</v>
      </c>
      <c r="B87" s="14">
        <f>B36-B86</f>
        <v>207089.61000000034</v>
      </c>
    </row>
    <row r="88" spans="1:2" x14ac:dyDescent="0.2">
      <c r="A88" s="3" t="s">
        <v>168</v>
      </c>
      <c r="B88" s="4"/>
    </row>
    <row r="89" spans="1:2" x14ac:dyDescent="0.2">
      <c r="A89" s="5" t="s">
        <v>169</v>
      </c>
      <c r="B89" s="4"/>
    </row>
    <row r="90" spans="1:2" x14ac:dyDescent="0.2">
      <c r="A90" s="6" t="s">
        <v>170</v>
      </c>
      <c r="B90" s="4"/>
    </row>
    <row r="91" spans="1:2" x14ac:dyDescent="0.2">
      <c r="A91" s="7" t="s">
        <v>171</v>
      </c>
      <c r="B91" s="4"/>
    </row>
    <row r="92" spans="1:2" x14ac:dyDescent="0.2">
      <c r="A92" s="8" t="s">
        <v>172</v>
      </c>
      <c r="B92" s="9">
        <v>50428.11</v>
      </c>
    </row>
    <row r="93" spans="1:2" x14ac:dyDescent="0.2">
      <c r="A93" s="8" t="s">
        <v>173</v>
      </c>
      <c r="B93" s="9">
        <v>576.44000000000005</v>
      </c>
    </row>
    <row r="94" spans="1:2" x14ac:dyDescent="0.2">
      <c r="A94" s="10" t="s">
        <v>174</v>
      </c>
      <c r="B94" s="11">
        <f>SUM(B92:B93)</f>
        <v>51004.55</v>
      </c>
    </row>
    <row r="95" spans="1:2" x14ac:dyDescent="0.2">
      <c r="A95" s="7" t="s">
        <v>175</v>
      </c>
      <c r="B95" s="4"/>
    </row>
    <row r="96" spans="1:2" x14ac:dyDescent="0.2">
      <c r="A96" s="8" t="s">
        <v>176</v>
      </c>
      <c r="B96" s="9">
        <v>1697.25</v>
      </c>
    </row>
    <row r="97" spans="1:2" x14ac:dyDescent="0.2">
      <c r="A97" s="10" t="s">
        <v>177</v>
      </c>
      <c r="B97" s="11">
        <f>SUM(B96)</f>
        <v>1697.25</v>
      </c>
    </row>
    <row r="98" spans="1:2" x14ac:dyDescent="0.2">
      <c r="A98" s="7" t="s">
        <v>178</v>
      </c>
      <c r="B98" s="4"/>
    </row>
    <row r="99" spans="1:2" x14ac:dyDescent="0.2">
      <c r="A99" s="8" t="s">
        <v>179</v>
      </c>
      <c r="B99" s="9">
        <v>-0.01</v>
      </c>
    </row>
    <row r="100" spans="1:2" x14ac:dyDescent="0.2">
      <c r="A100" s="10" t="s">
        <v>180</v>
      </c>
      <c r="B100" s="11">
        <f>SUM(B99)</f>
        <v>-0.01</v>
      </c>
    </row>
    <row r="101" spans="1:2" x14ac:dyDescent="0.2">
      <c r="A101" s="7" t="s">
        <v>181</v>
      </c>
      <c r="B101" s="4"/>
    </row>
    <row r="102" spans="1:2" x14ac:dyDescent="0.2">
      <c r="A102" s="8" t="s">
        <v>182</v>
      </c>
      <c r="B102" s="9">
        <v>38258.239999999998</v>
      </c>
    </row>
    <row r="103" spans="1:2" x14ac:dyDescent="0.2">
      <c r="A103" s="10" t="s">
        <v>183</v>
      </c>
      <c r="B103" s="11">
        <f>SUM(B102)</f>
        <v>38258.239999999998</v>
      </c>
    </row>
    <row r="104" spans="1:2" x14ac:dyDescent="0.2">
      <c r="A104" s="12" t="s">
        <v>184</v>
      </c>
      <c r="B104" s="11">
        <f>SUM(B94,B97,B100,B103)</f>
        <v>90960.03</v>
      </c>
    </row>
    <row r="105" spans="1:2" x14ac:dyDescent="0.2">
      <c r="A105" s="18" t="s">
        <v>185</v>
      </c>
      <c r="B105" s="9">
        <v>1354.88</v>
      </c>
    </row>
    <row r="106" spans="1:2" x14ac:dyDescent="0.2">
      <c r="A106" s="16" t="s">
        <v>186</v>
      </c>
      <c r="B106" s="11">
        <f>SUM(B104:B105)</f>
        <v>92314.91</v>
      </c>
    </row>
    <row r="107" spans="1:2" x14ac:dyDescent="0.2">
      <c r="A107" s="17" t="s">
        <v>187</v>
      </c>
      <c r="B107" s="14">
        <f>0-B106</f>
        <v>-92314.91</v>
      </c>
    </row>
    <row r="108" spans="1:2" x14ac:dyDescent="0.2">
      <c r="A108" s="17" t="s">
        <v>83</v>
      </c>
      <c r="B108" s="14">
        <f>B87+B107</f>
        <v>114774.70000000033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BalanceSheet</vt:lpstr>
      <vt:lpstr>P&amp;L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Ndiaye, Saphiétou</cp:lastModifiedBy>
  <dcterms:created xsi:type="dcterms:W3CDTF">2025-06-11T21:26:50Z</dcterms:created>
  <dcterms:modified xsi:type="dcterms:W3CDTF">2026-03-31T19:43:35Z</dcterms:modified>
</cp:coreProperties>
</file>